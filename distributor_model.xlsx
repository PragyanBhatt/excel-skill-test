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comments2.xml" ContentType="application/vnd.openxmlformats-officedocument.spreadsheetml.comments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fcc2447ac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bb3587519e421e"/>
    <x:sheet xmlns:r="http://schemas.openxmlformats.org/officeDocument/2006/relationships" name="Assumptions" sheetId="2" r:id="R876f89777a38440f"/>
    <x:sheet xmlns:r="http://schemas.openxmlformats.org/officeDocument/2006/relationships" name="RegionView" sheetId="3" r:id="R37e6aeb37a284865"/>
    <x:sheet xmlns:r="http://schemas.openxmlformats.org/officeDocument/2006/relationships" name="Sales" sheetId="4" r:id="R6b500823053a40b1"/>
    <x:sheet xmlns:r="http://schemas.openxmlformats.org/officeDocument/2006/relationships" name="Rebates" sheetId="5" r:id="Rb2faa44dc3304ac3"/>
    <x:sheet xmlns:r="http://schemas.openxmlformats.org/officeDocument/2006/relationships" name="Inventory" sheetId="6" r:id="R16b080791bfe4205"/>
    <x:sheet xmlns:r="http://schemas.openxmlformats.org/officeDocument/2006/relationships" name="Purchasing" sheetId="7" r:id="R73f5b23112014f5d"/>
    <x:sheet xmlns:r="http://schemas.openxmlformats.org/officeDocument/2006/relationships" name="OperatingCosts" sheetId="8" r:id="R2134847dd9394a43"/>
    <x:sheet xmlns:r="http://schemas.openxmlformats.org/officeDocument/2006/relationships" name="Cashflow" sheetId="9" r:id="Ra54830d1dc8640b3"/>
    <x:sheet xmlns:r="http://schemas.openxmlformats.org/officeDocument/2006/relationships" name="Orders" sheetId="10" r:id="Rcfa16aa4161f491a"/>
    <x:sheet xmlns:r="http://schemas.openxmlformats.org/officeDocument/2006/relationships" name="Products" sheetId="11" r:id="R6c9d45534ba0432e"/>
    <x:sheet xmlns:r="http://schemas.openxmlformats.org/officeDocument/2006/relationships" name="Supply" sheetId="12" r:id="Ra8dee947307c4bcc"/>
    <x:sheet xmlns:r="http://schemas.openxmlformats.org/officeDocument/2006/relationships" name="Opening" sheetId="13" r:id="Rd9916494d0994067"/>
    <x:sheet xmlns:r="http://schemas.openxmlformats.org/officeDocument/2006/relationships" name="Audit" sheetId="14" r:id="R0c58a76ad5f941b5"/>
  </x:sheets>
  <x:definedNames>
    <x:definedName name="CaseSelector">'Assumptions'!$B$4</x:definedName>
    <x:definedName name="ActiveVolume">'Assumptions'!$C$8:$N$8</x:definedName>
    <x:definedName name="ActiveUplift">'Assumptions'!$C$12:$N$12</x:definedName>
    <x:definedName name="ActiveCostFactor">'Assumptions'!$C$16:$N$16</x:definedName>
    <x:definedName name="RebateStart">'Assumptions'!$G$26</x:definedName>
    <x:definedName name="FlatRate">'Assumptions'!$G$28</x:definedName>
    <x:definedName name="TierOneRate">'Assumptions'!$H$22</x:definedName>
    <x:definedName name="TierTwoRate">'Assumptions'!$H$23</x:definedName>
    <x:definedName name="TierThreeRate">'Assumptions'!$H$24</x:definedName>
    <x:definedName name="TierOneCap">'Assumptions'!$G$22</x:definedName>
    <x:definedName name="TierTwoCap">'Assumptions'!$G$23</x:definedName>
    <x:definedName name="OpeningCash">'Opening'!$G$5</x:definedName>
    <x:definedName name="OpeningAR">'Opening'!$G$6</x:definedName>
    <x:definedName name="OpeningAP">'Opening'!$G$7</x:definedName>
    <x:definedName name="CollectionShare">'Assumptions'!$B$33</x:definedName>
    <x:definedName name="PriceOverrideInputs">'Assumptions'!$A$22:$D$23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C59" authorId="0">
      <x:text>
        <x:r>
          <x:t>Procurement plan for SKU 0005 in July. Keep this review note.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G5" authorId="0">
      <x:text>
        <x:r>
          <x:t>Synthetic opening treasury balance; approved for this benchmark.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(#,##0.00);&quot;-&quot;"/>
    <x:numFmt numFmtId="201" formatCode="@"/>
    <x:numFmt numFmtId="202" formatCode="0.0%"/>
    <x:numFmt numFmtId="203" formatCode="#,##0"/>
    <x:numFmt numFmtId="204" formatCode="mmm yyyy"/>
    <x:numFmt numFmtId="205" formatCode="dd mmm yyyy"/>
    <x:numFmt numFmtId="206" formatCode="mmm yy"/>
    <x:numFmt numFmtId="207" formatCode="#,##0;(#,##0);&quot;-&quot;"/>
    <x:numFmt numFmtId="208" formatCode="0.000000"/>
    <x:numFmt numFmtId="209" formatCode="0000"/>
  </x:numFmts>
  <x:fonts count="10">
    <x:font>
      <x:sz val="11"/>
      <x:name val="Carlito"/>
    </x:font>
    <x:font>
      <x:sz val="10"/>
      <x:color rgb="FF183B56"/>
      <x:name val="Arial"/>
    </x:font>
    <x:font>
      <x:b/>
      <x:sz val="17"/>
      <x:color rgb="FF183B5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2"/>
      <x:color rgb="FF0000FF"/>
      <x:name val="Arial"/>
    </x:font>
    <x:font>
      <x:i/>
      <x:sz val="10"/>
      <x:color rgb="FF64748B"/>
      <x:name val="Arial"/>
    </x:font>
    <x:font>
      <x:sz val="10"/>
      <x:color rgb="FF008000"/>
      <x:name val="Arial"/>
    </x:font>
    <x:font>
      <x:b/>
      <x:sz val="17"/>
      <x:color rgb="FF008000"/>
      <x:name val="Arial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7F1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6" fontId="3" fillId="2" borderId="0" xfId="0" applyNumberFormat="1" applyFont="1" applyFill="1" applyBorder="1" applyAlignment="1">
      <x:alignment vertical="center"/>
    </x:xf>
    <x:xf numFmtId="206" fontId="3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8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/>
  </x:cellXfs>
  <x:cellStyles count="1">
    <x:cellStyle name="Normal" xfId="0"/>
  </x:cellStyles>
  <x:dxfs count="3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71cf81fad4dff" /><Relationship Type="http://schemas.openxmlformats.org/officeDocument/2006/relationships/theme" Target="/xl/theme/theme1.xml" Id="Rcc7002c6e53e4d15" /><Relationship Type="http://schemas.openxmlformats.org/officeDocument/2006/relationships/sharedStrings" Target="/xl/sharedStrings.xml" Id="Rcb4c8352db684e58" /><Relationship Type="http://schemas.openxmlformats.org/officeDocument/2006/relationships/worksheet" Target="/xl/worksheets/sheet1.xml" Id="R50bb3587519e421e" /><Relationship Type="http://schemas.openxmlformats.org/officeDocument/2006/relationships/worksheet" Target="/xl/worksheets/sheet2.xml" Id="R876f89777a38440f" /><Relationship Type="http://schemas.openxmlformats.org/officeDocument/2006/relationships/worksheet" Target="/xl/worksheets/sheet3.xml" Id="R37e6aeb37a284865" /><Relationship Type="http://schemas.openxmlformats.org/officeDocument/2006/relationships/worksheet" Target="/xl/worksheets/sheet4.xml" Id="R6b500823053a40b1" /><Relationship Type="http://schemas.openxmlformats.org/officeDocument/2006/relationships/worksheet" Target="/xl/worksheets/sheet5.xml" Id="Rb2faa44dc3304ac3" /><Relationship Type="http://schemas.openxmlformats.org/officeDocument/2006/relationships/worksheet" Target="/xl/worksheets/sheet6.xml" Id="R16b080791bfe4205" /><Relationship Type="http://schemas.openxmlformats.org/officeDocument/2006/relationships/worksheet" Target="/xl/worksheets/sheet7.xml" Id="R73f5b23112014f5d" /><Relationship Type="http://schemas.openxmlformats.org/officeDocument/2006/relationships/worksheet" Target="/xl/worksheets/sheet8.xml" Id="R2134847dd9394a43" /><Relationship Type="http://schemas.openxmlformats.org/officeDocument/2006/relationships/worksheet" Target="/xl/worksheets/sheet9.xml" Id="Ra54830d1dc8640b3" /><Relationship Type="http://schemas.openxmlformats.org/officeDocument/2006/relationships/worksheet" Target="/xl/worksheets/sheet10.xml" Id="Rcfa16aa4161f491a" /><Relationship Type="http://schemas.openxmlformats.org/officeDocument/2006/relationships/worksheet" Target="/xl/worksheets/sheet11.xml" Id="R6c9d45534ba0432e" /><Relationship Type="http://schemas.openxmlformats.org/officeDocument/2006/relationships/worksheet" Target="/xl/worksheets/sheet12.xml" Id="Ra8dee947307c4bcc" /><Relationship Type="http://schemas.openxmlformats.org/officeDocument/2006/relationships/worksheet" Target="/xl/worksheets/sheet13.xml" Id="Rd9916494d0994067" /><Relationship Type="http://schemas.openxmlformats.org/officeDocument/2006/relationships/worksheet" Target="/xl/worksheets/sheet14.xml" Id="R0c58a76ad5f941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80103fef3d45e3" /><Relationship Type="http://schemas.openxmlformats.org/officeDocument/2006/relationships/chart" Target="/xl/drawings/charts/chart2.xml" Id="Re7c3d50062194208" /><Relationship Type="http://schemas.openxmlformats.org/officeDocument/2006/relationships/chart" Target="/xl/drawings/charts/chart3.xml" Id="R99965c0ad8784b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Revenue and EBITDA (SAR)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NetRevenue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'Dashboard'!$D$13:$D$24</c:f>
              <c:numCache>
                <c:formatCode>#,##0;(#,##0);"-"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spPr>
            <a:ln xmlns:a="http://schemas.openxmlformats.org/drawingml/2006/main" w="19050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'Dashboard'!$G$13:$G$24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Closing cash (SAR)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ClosingCash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'Dashboard'!$H$13:$H$24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Unmet demand (units)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UnmetUnits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'Dashboard'!$I$13:$I$24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80103fef3d45e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c3d50062194208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965c0ad8784b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5" name="MonthlyOutlook" displayName="MonthlyOutlook" ref="A12:I24" headerRowCount="1" totalsRowCount="0" totalsRowShown="0">
  <x:tableColumns count="9">
    <x:tableColumn id="1" name="Month"/>
    <x:tableColumn id="2" name="GrossRevenue"/>
    <x:tableColumn id="3" name="Rebate"/>
    <x:tableColumn id="4" name="NetRevenue"/>
    <x:tableColumn id="5" name="COGS"/>
    <x:tableColumn id="6" name="Opex"/>
    <x:tableColumn id="7" name="EBITDA"/>
    <x:tableColumn id="8" name="ClosingCash"/>
    <x:tableColumn id="9" name="UnmetUn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riceOverrides" displayName="PriceOverrides" ref="A21:D23" headerRowCount="1" totalsRowCount="0" totalsRowShown="0">
  <x:tableColumns count="4">
    <x:tableColumn id="1" name="SKU"/>
    <x:tableColumn id="2" name="Region"/>
    <x:tableColumn id="3" name="EffectiveMonth"/>
    <x:tableColumn id="4" name="Uplif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RebateTiers" displayName="RebateTiers" ref="F21:H24" headerRowCount="1" totalsRowCount="0" totalsRowShown="0">
  <x:tableColumns count="3">
    <x:tableColumn id="1" name="LowerBound"/>
    <x:tableColumn id="2" name="UpperBound"/>
    <x:tableColumn id="3" name="Marginal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ForecastInputs" displayName="ForecastInputs" ref="A38:E230" headerRowCount="1" totalsRowCount="0" totalsRowShown="0">
  <x:tableColumns count="5">
    <x:tableColumn id="1" name="SKU"/>
    <x:tableColumn id="2" name="Region"/>
    <x:tableColumn id="3" name="Month"/>
    <x:tableColumn id="4" name="BaseDemand"/>
    <x:tableColumn id="5" name="BaseUnitPriceS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2" name="RegionMargins" displayName="RegionMargins" ref="A4:I52" headerRowCount="1" totalsRowCount="0" totalsRowShown="0">
  <x:tableColumns count="9">
    <x:tableColumn id="1" name="Region"/>
    <x:tableColumn id="2" name="Month"/>
    <x:tableColumn id="3" name="GrossRevenue"/>
    <x:tableColumn id="4" name="Rebate"/>
    <x:tableColumn id="5" name="NetRevenue"/>
    <x:tableColumn id="6" name="COGS"/>
    <x:tableColumn id="7" name="GrossProfit"/>
    <x:tableColumn id="8" name="Margin"/>
    <x:tableColumn id="9" name="SoldUni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SalesPlan" displayName="SalesPlan" ref="A4:L388" headerRowCount="1" totalsRowCount="0" totalsRowShown="0">
  <x:tableColumns count="12">
    <x:tableColumn id="1" name="SKU"/>
    <x:tableColumn id="2" name="Region"/>
    <x:tableColumn id="3" name="Month"/>
    <x:tableColumn id="4" name="BaseDemand"/>
    <x:tableColumn id="5" name="EffectiveUplift"/>
    <x:tableColumn id="6" name="DesiredUnits"/>
    <x:tableColumn id="7" name="SoldUnits"/>
    <x:tableColumn id="8" name="UnitPrice"/>
    <x:tableColumn id="9" name="GrossRevenue"/>
    <x:tableColumn id="10" name="UnitCost"/>
    <x:tableColumn id="11" name="COGS"/>
    <x:tableColumn id="12" name="GrossProf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RebateCalc" displayName="RebateCalc" ref="A4:F52" headerRowCount="1" totalsRowCount="0" totalsRowShown="0">
  <x:tableColumns count="6">
    <x:tableColumn id="1" name="Region"/>
    <x:tableColumn id="2" name="Month"/>
    <x:tableColumn id="3" name="GrossRevenue"/>
    <x:tableColumn id="4" name="Rebate"/>
    <x:tableColumn id="5" name="NetRevenue"/>
    <x:tableColumn id="6" name="EffectiveR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InventoryPlan" displayName="InventoryPlan" ref="A4:M100" headerRowCount="1" totalsRowCount="0" totalsRowShown="0">
  <x:tableColumns count="13">
    <x:tableColumn id="1" name="SKU"/>
    <x:tableColumn id="2" name="Month"/>
    <x:tableColumn id="3" name="Opening"/>
    <x:tableColumn id="4" name="Receipts"/>
    <x:tableColumn id="5" name="Desired"/>
    <x:tableColumn id="6" name="Available"/>
    <x:tableColumn id="7" name="Fulfilled"/>
    <x:tableColumn id="8" name="Unmet"/>
    <x:tableColumn id="9" name="Ending"/>
    <x:tableColumn id="10" name="Safety"/>
    <x:tableColumn id="11" name="Reorder"/>
    <x:tableColumn id="12" name="FillRatio"/>
    <x:tableColumn id="13" name="COG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urchasePlan" displayName="PurchasePlan" ref="A4:F100" headerRowCount="1" totalsRowCount="0" totalsRowShown="0">
  <x:tableColumns count="6">
    <x:tableColumn id="1" name="SKU"/>
    <x:tableColumn id="2" name="Month"/>
    <x:tableColumn id="3" name="PlannedUnits"/>
    <x:tableColumn id="4" name="ReceiptUnits"/>
    <x:tableColumn id="5" name="UnitCost"/>
    <x:tableColumn id="6" name="Spen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OpCost" displayName="OpCost" ref="A4:G16" headerRowCount="1" totalsRowCount="0" totalsRowShown="0">
  <x:tableColumns count="7">
    <x:tableColumn id="1" name="Month"/>
    <x:tableColumn id="2" name="NetRevenue"/>
    <x:tableColumn id="3" name="CardFees"/>
    <x:tableColumn id="4" name="Storage"/>
    <x:tableColumn id="5" name="Staff"/>
    <x:tableColumn id="6" name="Rent"/>
    <x:tableColumn id="7" name="Opex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CashSchedule" displayName="CashSchedule" ref="A4:G16" headerRowCount="1" totalsRowCount="0" totalsRowShown="0">
  <x:tableColumns count="7">
    <x:tableColumn id="1" name="Month"/>
    <x:tableColumn id="2" name="OpeningCash"/>
    <x:tableColumn id="3" name="Collections"/>
    <x:tableColumn id="4" name="PurchasePayments"/>
    <x:tableColumn id="5" name="OperatingPayments"/>
    <x:tableColumn id="6" name="NetCash"/>
    <x:tableColumn id="7" name="ClosingCas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" name="PostedOrders" displayName="PostedOrders" ref="A4:I3004" headerRowCount="1" totalsRowCount="0" totalsRowShown="0">
  <x:tableColumns count="9">
    <x:tableColumn id="1" name="InvoiceID"/>
    <x:tableColumn id="2" name="Date"/>
    <x:tableColumn id="3" name="Month"/>
    <x:tableColumn id="4" name="SKU"/>
    <x:tableColumn id="5" name="Region"/>
    <x:tableColumn id="6" name="SignedQty"/>
    <x:tableColumn id="7" name="UnitPriceSAR"/>
    <x:tableColumn id="8" name="Discount"/>
    <x:tableColumn id="9" name="PostedNetSA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ProductMaster" displayName="ProductMaster" ref="A4:F12" headerRowCount="1" totalsRowCount="0" totalsRowShown="0">
  <x:tableColumns count="6">
    <x:tableColumn id="1" name="SKU"/>
    <x:tableColumn id="2" name="Product"/>
    <x:tableColumn id="3" name="BasePriceSAR"/>
    <x:tableColumn id="4" name="BaseCostSAR"/>
    <x:tableColumn id="5" name="Elasticity"/>
    <x:tableColumn id="6" name="SafetyStock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4" name="SupplyInputs" displayName="SupplyInputs" ref="A4:D100" headerRowCount="1" totalsRowCount="0" totalsRowShown="0">
  <x:tableColumns count="4">
    <x:tableColumn id="1" name="SKU"/>
    <x:tableColumn id="2" name="Month"/>
    <x:tableColumn id="3" name="PlannedReceipts"/>
    <x:tableColumn id="4" name="Overrid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" name="OpeningStock" displayName="OpeningStock" ref="A4:C12" headerRowCount="1" totalsRowCount="0" totalsRowShown="0">
  <x:tableColumns count="3">
    <x:tableColumn id="1" name="SKU"/>
    <x:tableColumn id="2" name="OpeningUnits"/>
    <x:tableColumn id="3" name="SafetyStock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uditChecks" displayName="AuditChecks" ref="A4:G16" headerRowCount="1" totalsRowCount="0" totalsRowShown="0">
  <x:tableColumns count="7">
    <x:tableColumn id="1" name="Month"/>
    <x:tableColumn id="2" name="ActualRevenueReconciliation"/>
    <x:tableColumn id="3" name="FulfillmentReconciliation"/>
    <x:tableColumn id="4" name="RebateRollup"/>
    <x:tableColumn id="5" name="COGSReconciliation"/>
    <x:tableColumn id="6" name="StockBalance"/>
    <x:tableColumn id="7" name="CashRollforw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fe6d6fbbf541e4" /><Relationship Type="http://schemas.openxmlformats.org/officeDocument/2006/relationships/table" Target="/xl/tables/table1.xml" Id="Red26a7782d8e48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217239b3244e2a" /><Relationship Type="http://schemas.openxmlformats.org/officeDocument/2006/relationships/table" Target="/xl/tables/table3.xml" Id="R29c9aff0fe07428e" /><Relationship Type="http://schemas.openxmlformats.org/officeDocument/2006/relationships/table" Target="/xl/tables/table4.xml" Id="Rdef52bcc7e0a4a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17ad2a4d6b0848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015c752a328941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90673e02d05c4d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9edd3682574246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e4a172de119c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68a972fae49648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eca1e1377e1344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40f4e10b14604f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4d192a78982e40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.xml" Id="R739da6ee135549ff" /><Relationship Type="http://schemas.openxmlformats.org/officeDocument/2006/relationships/vmlDrawing" Target="/xl/drawings/vmldrawing.vml" Id="R20d46ed844814c57" /><Relationship Type="http://schemas.openxmlformats.org/officeDocument/2006/relationships/table" Target="/xl/tables/table14.xml" Id="R5130d4f8127e40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2.xml" Id="Re6b0599de07245de" /><Relationship Type="http://schemas.openxmlformats.org/officeDocument/2006/relationships/vmlDrawing" Target="/xl/drawings/vmldrawing2.vml" Id="R63e4582075bd4ec1" /><Relationship Type="http://schemas.openxmlformats.org/officeDocument/2006/relationships/table" Target="/xl/tables/table15.xml" Id="R9be8ebea342b4c9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f44d7af35f14453f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3" customHeight="1">
      <x:c r="A2" s="3" t="str">
        <x:v>Distributor outlook |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3" customHeight="1">
      <x:c r="A4" s="2" t="str">
        <x:v>ANNUAL NET REVENUE</x:v>
      </x:c>
      <x:c r="B4" s="2"/>
      <x:c r="C4" s="2"/>
      <x:c r="D4" s="2" t="str">
        <x:v>ANNUAL EBITDA</x:v>
      </x:c>
      <x:c r="E4" s="2"/>
      <x:c r="F4" s="2"/>
      <x:c r="G4" s="2" t="str">
        <x:v>DECEMBER CASH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3" customHeight="1">
      <x:c r="A5" s="2"/>
      <x:c r="B5" s="30" t="n">
        <x:f>SUM('OperatingCosts'!B5:B16)</x:f>
        <x:v>9942230.928</x:v>
      </x:c>
      <x:c r="C5" s="2"/>
      <x:c r="D5" s="2"/>
      <x:c r="E5" s="30" t="n">
        <x:f>SUM(G13:G24)</x:f>
        <x:v>3199012.22408</x:v>
      </x:c>
      <x:c r="F5" s="2"/>
      <x:c r="G5" s="2"/>
      <x:c r="H5" s="30" t="n">
        <x:f>'Cashflow'!G16</x:f>
        <x:v>5115141.100879999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3" customHeight="1">
      <x:c r="A8" s="2" t="str">
        <x:v>Scenario</x:v>
      </x:c>
      <x:c r="B8" s="2" t="str">
        <x:f>'Assumptions'!D4</x:f>
        <x:v>Base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3" customHeight="1">
      <x:c r="A10" s="2" t="str">
        <x:v>SAR · January–June posted actuals · July–December constrained forecast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40" customHeight="1">
      <x:c r="A12" s="6" t="str">
        <x:v>Month</x:v>
      </x:c>
      <x:c r="B12" s="6" t="str">
        <x:v>GrossRevenue</x:v>
      </x:c>
      <x:c r="C12" s="6" t="str">
        <x:v>Rebate</x:v>
      </x:c>
      <x:c r="D12" s="6" t="str">
        <x:v>NetRevenue</x:v>
      </x:c>
      <x:c r="E12" s="6" t="str">
        <x:v>COGS</x:v>
      </x:c>
      <x:c r="F12" s="6" t="str">
        <x:v>Opex</x:v>
      </x:c>
      <x:c r="G12" s="6" t="str">
        <x:v>EBITDA</x:v>
      </x:c>
      <x:c r="H12" s="6" t="str">
        <x:v>ClosingCash</x:v>
      </x:c>
      <x:c r="I12" s="6" t="str">
        <x:v>UnmetUnits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3" customHeight="1">
      <x:c r="A13" s="2" t="str">
        <x:v>Jan</x:v>
      </x:c>
      <x:c r="B13" s="32" t="n">
        <x:f>SUMIFS('Rebates'!$C$5:$C$52,'Rebates'!$B$5:$B$52,'OperatingCosts'!A5)</x:f>
        <x:v>455744.60000000003</x:v>
      </x:c>
      <x:c r="C13" s="32" t="n">
        <x:f>SUMIFS('Rebates'!$D$5:$D$52,'Rebates'!$B$5:$B$52,'OperatingCosts'!A5)</x:f>
        <x:v>9114.892</x:v>
      </x:c>
      <x:c r="D13" s="32" t="n">
        <x:f>'OperatingCosts'!B5</x:f>
        <x:v>446629.708</x:v>
      </x:c>
      <x:c r="E13" s="32" t="n">
        <x:f>SUMIFS('Inventory'!$M$5:$M$100,'Inventory'!$B$5:$B$100,'OperatingCosts'!A5)</x:f>
        <x:v>284871</x:v>
      </x:c>
      <x:c r="F13" s="32" t="n">
        <x:f>'OperatingCosts'!G5</x:f>
        <x:v>43833.045620000004</x:v>
      </x:c>
      <x:c r="G13" s="32" t="n">
        <x:f>D13-E13-F13</x:f>
        <x:v>117925.66237999998</x:v>
      </x:c>
      <x:c r="H13" s="32" t="n">
        <x:f>'Cashflow'!G5</x:f>
        <x:v>516470.72078000003</x:v>
      </x:c>
      <x:c r="I13" s="32" t="n">
        <x:f>SUMIFS('Inventory'!$H$5:$H$100,'Inventory'!$B$5:$B$100,'OperatingCosts'!A5)</x:f>
        <x:v>0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3" customHeight="1">
      <x:c r="A14" s="2" t="str">
        <x:v>Feb</x:v>
      </x:c>
      <x:c r="B14" s="32" t="n">
        <x:f>SUMIFS('Rebates'!$C$5:$C$52,'Rebates'!$B$5:$B$52,'OperatingCosts'!A6)</x:f>
        <x:v>440888.2</x:v>
      </x:c>
      <x:c r="C14" s="32" t="n">
        <x:f>SUMIFS('Rebates'!$D$5:$D$52,'Rebates'!$B$5:$B$52,'OperatingCosts'!A6)</x:f>
        <x:v>8817.764</x:v>
      </x:c>
      <x:c r="D14" s="32" t="n">
        <x:f>'OperatingCosts'!B6</x:f>
        <x:v>432070.436</x:v>
      </x:c>
      <x:c r="E14" s="32" t="n">
        <x:f>SUMIFS('Inventory'!$M$5:$M$100,'Inventory'!$B$5:$B$100,'OperatingCosts'!A6)</x:f>
        <x:v>275749</x:v>
      </x:c>
      <x:c r="F14" s="32" t="n">
        <x:f>'OperatingCosts'!G6</x:f>
        <x:v>43681.85654</x:v>
      </x:c>
      <x:c r="G14" s="32" t="n">
        <x:f>D14-E14-F14</x:f>
        <x:v>112639.57945999998</x:v>
      </x:c>
      <x:c r="H14" s="32" t="n">
        <x:f>'Cashflow'!G6</x:f>
        <x:v>615691.1546400001</x:v>
      </x:c>
      <x:c r="I14" s="32" t="n">
        <x:f>SUMIFS('Inventory'!$H$5:$H$100,'Inventory'!$B$5:$B$100,'OperatingCosts'!A6)</x:f>
        <x:v>0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3" customHeight="1">
      <x:c r="A15" s="2" t="str">
        <x:v>Mar</x:v>
      </x:c>
      <x:c r="B15" s="32" t="n">
        <x:f>SUMIFS('Rebates'!$C$5:$C$52,'Rebates'!$B$5:$B$52,'OperatingCosts'!A7)</x:f>
        <x:v>426739.79999999993</x:v>
      </x:c>
      <x:c r="C15" s="32" t="n">
        <x:f>SUMIFS('Rebates'!$D$5:$D$52,'Rebates'!$B$5:$B$52,'OperatingCosts'!A7)</x:f>
        <x:v>8534.795999999998</x:v>
      </x:c>
      <x:c r="D15" s="32" t="n">
        <x:f>'OperatingCosts'!B7</x:f>
        <x:v>418205.004</x:v>
      </x:c>
      <x:c r="E15" s="32" t="n">
        <x:f>SUMIFS('Inventory'!$M$5:$M$100,'Inventory'!$B$5:$B$100,'OperatingCosts'!A7)</x:f>
        <x:v>267359</x:v>
      </x:c>
      <x:c r="F15" s="32" t="n">
        <x:f>'OperatingCosts'!G7</x:f>
        <x:v>43647.87506</x:v>
      </x:c>
      <x:c r="G15" s="32" t="n">
        <x:f>D15-E15-F15</x:f>
        <x:v>107198.12894000002</x:v>
      </x:c>
      <x:c r="H15" s="32" t="n">
        <x:f>'Cashflow'!G7</x:f>
        <x:v>700941.3699800001</x:v>
      </x:c>
      <x:c r="I15" s="32" t="n">
        <x:f>SUMIFS('Inventory'!$H$5:$H$100,'Inventory'!$B$5:$B$100,'OperatingCosts'!A7)</x:f>
        <x:v>0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3" customHeight="1">
      <x:c r="A16" s="2" t="str">
        <x:v>Apr</x:v>
      </x:c>
      <x:c r="B16" s="32" t="n">
        <x:f>SUMIFS('Rebates'!$C$5:$C$52,'Rebates'!$B$5:$B$52,'OperatingCosts'!A8)</x:f>
        <x:v>439347.2</x:v>
      </x:c>
      <x:c r="C16" s="32" t="n">
        <x:f>SUMIFS('Rebates'!$D$5:$D$52,'Rebates'!$B$5:$B$52,'OperatingCosts'!A8)</x:f>
        <x:v>8786.944</x:v>
      </x:c>
      <x:c r="D16" s="32" t="n">
        <x:f>'OperatingCosts'!B8</x:f>
        <x:v>430560.256</x:v>
      </x:c>
      <x:c r="E16" s="32" t="n">
        <x:f>SUMIFS('Inventory'!$M$5:$M$100,'Inventory'!$B$5:$B$100,'OperatingCosts'!A8)</x:f>
        <x:v>274275</x:v>
      </x:c>
      <x:c r="F16" s="32" t="n">
        <x:f>'OperatingCosts'!G8</x:f>
        <x:v>43929.20384</x:v>
      </x:c>
      <x:c r="G16" s="32" t="n">
        <x:f>D16-E16-F16</x:f>
        <x:v>112356.05215999999</x:v>
      </x:c>
      <x:c r="H16" s="32" t="n">
        <x:f>'Cashflow'!G8</x:f>
        <x:v>793021.3717400001</x:v>
      </x:c>
      <x:c r="I16" s="32" t="n">
        <x:f>SUMIFS('Inventory'!$H$5:$H$100,'Inventory'!$B$5:$B$100,'OperatingCosts'!A8)</x:f>
        <x:v>0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3" customHeight="1">
      <x:c r="A17" s="2" t="str">
        <x:v>May</x:v>
      </x:c>
      <x:c r="B17" s="32" t="n">
        <x:f>SUMIFS('Rebates'!$C$5:$C$52,'Rebates'!$B$5:$B$52,'OperatingCosts'!A9)</x:f>
        <x:v>405982</x:v>
      </x:c>
      <x:c r="C17" s="32" t="n">
        <x:f>SUMIFS('Rebates'!$D$5:$D$52,'Rebates'!$B$5:$B$52,'OperatingCosts'!A9)</x:f>
        <x:v>8119.639999999999</x:v>
      </x:c>
      <x:c r="D17" s="32" t="n">
        <x:f>'OperatingCosts'!B9</x:f>
        <x:v>397862.36</x:v>
      </x:c>
      <x:c r="E17" s="32" t="n">
        <x:f>SUMIFS('Inventory'!$M$5:$M$100,'Inventory'!$B$5:$B$100,'OperatingCosts'!A9)</x:f>
        <x:v>253882</x:v>
      </x:c>
      <x:c r="F17" s="32" t="n">
        <x:f>'OperatingCosts'!G9</x:f>
        <x:v>43720.7354</x:v>
      </x:c>
      <x:c r="G17" s="32" t="n">
        <x:f>D17-E17-F17</x:f>
        <x:v>100259.62459999998</x:v>
      </x:c>
      <x:c r="H17" s="32" t="n">
        <x:f>'Cashflow'!G9</x:f>
        <x:v>861622.5755400001</x:v>
      </x:c>
      <x:c r="I17" s="32" t="n">
        <x:f>SUMIFS('Inventory'!$H$5:$H$100,'Inventory'!$B$5:$B$100,'OperatingCosts'!A9)</x:f>
        <x:v>0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3" customHeight="1">
      <x:c r="A18" s="2" t="str">
        <x:v>Jun</x:v>
      </x:c>
      <x:c r="B18" s="32" t="n">
        <x:f>SUMIFS('Rebates'!$C$5:$C$52,'Rebates'!$B$5:$B$52,'OperatingCosts'!A10)</x:f>
        <x:v>396703</x:v>
      </x:c>
      <x:c r="C18" s="32" t="n">
        <x:f>SUMIFS('Rebates'!$D$5:$D$52,'Rebates'!$B$5:$B$52,'OperatingCosts'!A10)</x:f>
        <x:v>7934.06</x:v>
      </x:c>
      <x:c r="D18" s="32" t="n">
        <x:f>'OperatingCosts'!B10</x:f>
        <x:v>388768.94</x:v>
      </x:c>
      <x:c r="E18" s="32" t="n">
        <x:f>SUMIFS('Inventory'!$M$5:$M$100,'Inventory'!$B$5:$B$100,'OperatingCosts'!A10)</x:f>
        <x:v>248328</x:v>
      </x:c>
      <x:c r="F18" s="32" t="n">
        <x:f>'OperatingCosts'!G10</x:f>
        <x:v>43917.9341</x:v>
      </x:c>
      <x:c r="G18" s="32" t="n">
        <x:f>D18-E18-F18</x:f>
        <x:v>96523.0059</x:v>
      </x:c>
      <x:c r="H18" s="32" t="n">
        <x:f>'Cashflow'!G10</x:f>
        <x:v>916212.2654400001</x:v>
      </x:c>
      <x:c r="I18" s="32" t="n">
        <x:f>SUMIFS('Inventory'!$H$5:$H$100,'Inventory'!$B$5:$B$100,'OperatingCosts'!A10)</x:f>
        <x:v>0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3" customHeight="1">
      <x:c r="A19" s="2" t="str">
        <x:v>Jul</x:v>
      </x:c>
      <x:c r="B19" s="32" t="n">
        <x:f>SUMIFS('Rebates'!$C$5:$C$52,'Rebates'!$B$5:$B$52,'OperatingCosts'!A11)</x:f>
        <x:v>1428136.2</x:v>
      </x:c>
      <x:c r="C19" s="32" t="n">
        <x:f>SUMIFS('Rebates'!$D$5:$D$52,'Rebates'!$B$5:$B$52,'OperatingCosts'!A11)</x:f>
        <x:v>28562.724000000002</x:v>
      </x:c>
      <x:c r="D19" s="32" t="n">
        <x:f>'OperatingCosts'!B11</x:f>
        <x:v>1399573.4759999998</x:v>
      </x:c>
      <x:c r="E19" s="32" t="n">
        <x:f>SUMIFS('Inventory'!$M$5:$M$100,'Inventory'!$B$5:$B$100,'OperatingCosts'!A11)</x:f>
        <x:v>865058.94</x:v>
      </x:c>
      <x:c r="F19" s="32" t="n">
        <x:f>'OperatingCosts'!G11</x:f>
        <x:v>56341.602139999995</x:v>
      </x:c>
      <x:c r="G19" s="32" t="n">
        <x:f>D19-E19-F19</x:f>
        <x:v>478172.9338599999</x:v>
      </x:c>
      <x:c r="H19" s="32" t="n">
        <x:f>'Cashflow'!G11</x:f>
        <x:v>1765203.2321</x:v>
      </x:c>
      <x:c r="I19" s="32" t="n">
        <x:f>SUMIFS('Inventory'!$H$5:$H$100,'Inventory'!$B$5:$B$100,'OperatingCosts'!A11)</x:f>
        <x:v>0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3" customHeight="1">
      <x:c r="A20" s="2" t="str">
        <x:v>Aug</x:v>
      </x:c>
      <x:c r="B20" s="32" t="n">
        <x:f>SUMIFS('Rebates'!$C$5:$C$52,'Rebates'!$B$5:$B$52,'OperatingCosts'!A12)</x:f>
        <x:v>1539355.5999999999</x:v>
      </x:c>
      <x:c r="C20" s="32" t="n">
        <x:f>SUMIFS('Rebates'!$D$5:$D$52,'Rebates'!$B$5:$B$52,'OperatingCosts'!A12)</x:f>
        <x:v>30787.112</x:v>
      </x:c>
      <x:c r="D20" s="32" t="n">
        <x:f>'OperatingCosts'!B12</x:f>
        <x:v>1508568.4880000001</x:v>
      </x:c>
      <x:c r="E20" s="32" t="n">
        <x:f>SUMIFS('Inventory'!$M$5:$M$100,'Inventory'!$B$5:$B$100,'OperatingCosts'!A12)</x:f>
        <x:v>932335.0800000001</x:v>
      </x:c>
      <x:c r="F20" s="32" t="n">
        <x:f>'OperatingCosts'!G12</x:f>
        <x:v>54674.12732</x:v>
      </x:c>
      <x:c r="G20" s="32" t="n">
        <x:f>D20-E20-F20</x:f>
        <x:v>521559.2806800001</x:v>
      </x:c>
      <x:c r="H20" s="32" t="n">
        <x:f>'Cashflow'!G12</x:f>
        <x:v>2667918.59038</x:v>
      </x:c>
      <x:c r="I20" s="32" t="n">
        <x:f>SUMIFS('Inventory'!$H$5:$H$100,'Inventory'!$B$5:$B$100,'OperatingCosts'!A12)</x:f>
        <x:v>0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3" customHeight="1">
      <x:c r="A21" s="2" t="str">
        <x:v>Sep</x:v>
      </x:c>
      <x:c r="B21" s="32" t="n">
        <x:f>SUMIFS('Rebates'!$C$5:$C$52,'Rebates'!$B$5:$B$52,'OperatingCosts'!A13)</x:f>
        <x:v>1618047.6</x:v>
      </x:c>
      <x:c r="C21" s="32" t="n">
        <x:f>SUMIFS('Rebates'!$D$5:$D$52,'Rebates'!$B$5:$B$52,'OperatingCosts'!A13)</x:f>
        <x:v>32360.952000000005</x:v>
      </x:c>
      <x:c r="D21" s="32" t="n">
        <x:f>'OperatingCosts'!B13</x:f>
        <x:v>1585686.648</x:v>
      </x:c>
      <x:c r="E21" s="32" t="n">
        <x:f>SUMIFS('Inventory'!$M$5:$M$100,'Inventory'!$B$5:$B$100,'OperatingCosts'!A13)</x:f>
        <x:v>979711.02</x:v>
      </x:c>
      <x:c r="F21" s="32" t="n">
        <x:f>'OperatingCosts'!G13</x:f>
        <x:v>51502.49972</x:v>
      </x:c>
      <x:c r="G21" s="32" t="n">
        <x:f>D21-E21-F21</x:f>
        <x:v>554473.1282800001</x:v>
      </x:c>
      <x:c r="H21" s="32" t="n">
        <x:f>'Cashflow'!G13</x:f>
        <x:v>3657299.10666</x:v>
      </x:c>
      <x:c r="I21" s="32" t="n">
        <x:f>SUMIFS('Inventory'!$H$5:$H$100,'Inventory'!$B$5:$B$100,'OperatingCosts'!A13)</x:f>
        <x:v>111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3" customHeight="1">
      <x:c r="A22" s="2" t="str">
        <x:v>Oct</x:v>
      </x:c>
      <x:c r="B22" s="32" t="n">
        <x:f>SUMIFS('Rebates'!$C$5:$C$52,'Rebates'!$B$5:$B$52,'OperatingCosts'!A14)</x:f>
        <x:v>1245991</x:v>
      </x:c>
      <x:c r="C22" s="32" t="n">
        <x:f>SUMIFS('Rebates'!$D$5:$D$52,'Rebates'!$B$5:$B$52,'OperatingCosts'!A14)</x:f>
        <x:v>24919.820000000003</x:v>
      </x:c>
      <x:c r="D22" s="32" t="n">
        <x:f>'OperatingCosts'!B14</x:f>
        <x:v>1221071.1800000002</x:v>
      </x:c>
      <x:c r="E22" s="32" t="n">
        <x:f>SUMIFS('Inventory'!$M$5:$M$100,'Inventory'!$B$5:$B$100,'OperatingCosts'!A14)</x:f>
        <x:v>755626.2</x:v>
      </x:c>
      <x:c r="F22" s="32" t="n">
        <x:f>'OperatingCosts'!G14</x:f>
        <x:v>44316.0677</x:v>
      </x:c>
      <x:c r="G22" s="32" t="n">
        <x:f>D22-E22-F22</x:f>
        <x:v>421128.9123000002</x:v>
      </x:c>
      <x:c r="H22" s="32" t="n">
        <x:f>'Cashflow'!G14</x:f>
        <x:v>4465474.39256</x:v>
      </x:c>
      <x:c r="I22" s="32" t="n">
        <x:f>SUMIFS('Inventory'!$H$5:$H$100,'Inventory'!$B$5:$B$100,'OperatingCosts'!A14)</x:f>
        <x:v>2255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3" customHeight="1">
      <x:c r="A23" s="2" t="str">
        <x:v>Nov</x:v>
      </x:c>
      <x:c r="B23" s="32" t="n">
        <x:f>SUMIFS('Rebates'!$C$5:$C$52,'Rebates'!$B$5:$B$52,'OperatingCosts'!A15)</x:f>
        <x:v>874099.2</x:v>
      </x:c>
      <x:c r="C23" s="32" t="n">
        <x:f>SUMIFS('Rebates'!$D$5:$D$52,'Rebates'!$B$5:$B$52,'OperatingCosts'!A15)</x:f>
        <x:v>17481.984</x:v>
      </x:c>
      <x:c r="D23" s="32" t="n">
        <x:f>'OperatingCosts'!B15</x:f>
        <x:v>856617.216</x:v>
      </x:c>
      <x:c r="E23" s="32" t="n">
        <x:f>SUMIFS('Inventory'!$M$5:$M$100,'Inventory'!$B$5:$B$100,'OperatingCosts'!A15)</x:f>
        <x:v>529380</x:v>
      </x:c>
      <x:c r="F23" s="32" t="n">
        <x:f>'OperatingCosts'!G15</x:f>
        <x:v>38849.258239999996</x:v>
      </x:c>
      <x:c r="G23" s="32" t="n">
        <x:f>D23-E23-F23</x:f>
        <x:v>288387.95776</x:v>
      </x:c>
      <x:c r="H23" s="32" t="n">
        <x:f>'Cashflow'!G15</x:f>
        <x:v>4826753.143119999</x:v>
      </x:c>
      <x:c r="I23" s="32" t="n">
        <x:f>SUMIFS('Inventory'!$H$5:$H$100,'Inventory'!$B$5:$B$100,'OperatingCosts'!A15)</x:f>
        <x:v>4153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3" customHeight="1">
      <x:c r="A24" s="2" t="str">
        <x:v>Dec</x:v>
      </x:c>
      <x:c r="B24" s="32" t="n">
        <x:f>SUMIFS('Rebates'!$C$5:$C$52,'Rebates'!$B$5:$B$52,'OperatingCosts'!A16)</x:f>
        <x:v>874099.2</x:v>
      </x:c>
      <x:c r="C24" s="32" t="n">
        <x:f>SUMIFS('Rebates'!$D$5:$D$52,'Rebates'!$B$5:$B$52,'OperatingCosts'!A16)</x:f>
        <x:v>17481.983999999997</x:v>
      </x:c>
      <x:c r="D24" s="32" t="n">
        <x:f>'OperatingCosts'!B16</x:f>
        <x:v>856617.216</x:v>
      </x:c>
      <x:c r="E24" s="32" t="n">
        <x:f>SUMIFS('Inventory'!$M$5:$M$100,'Inventory'!$B$5:$B$100,'OperatingCosts'!A16)</x:f>
        <x:v>529380</x:v>
      </x:c>
      <x:c r="F24" s="32" t="n">
        <x:f>'OperatingCosts'!G16</x:f>
        <x:v>38849.258239999996</x:v>
      </x:c>
      <x:c r="G24" s="32" t="n">
        <x:f>D24-E24-F24</x:f>
        <x:v>288387.95776</x:v>
      </x:c>
      <x:c r="H24" s="32" t="n">
        <x:f>'Cashflow'!G16</x:f>
        <x:v>5115141.100879999</x:v>
      </x:c>
      <x:c r="I24" s="32" t="n">
        <x:f>SUMIFS('Inventory'!$H$5:$H$100,'Inventory'!$B$5:$B$100,'OperatingCosts'!A16)</x:f>
        <x:v>4623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</x:sheetData>
  <x:pageMargins left="0.7" right="0.7" top="0.75" bottom="0.75" header="0.3" footer="0.3"/>
  <x:drawing xmlns:r="http://schemas.openxmlformats.org/officeDocument/2006/relationships" r:id="R98fe6d6fbbf541e4"/>
  <x:tableParts count="1">
    <x:tablePart xmlns:r="http://schemas.openxmlformats.org/officeDocument/2006/relationships" r:id="Red26a7782d8e48e5"/>
  </x:tableParts>
</x:worksheet>
</file>

<file path=xl/worksheets/sheet2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Operating assumptions | Jan–Jun posted · Jul–Dec forecast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CaseSelector</x:v>
      </x:c>
      <x:c r="B4" s="18" t="n">
        <x:v>1</x:v>
      </x:c>
      <x:c r="C4" s="2"/>
      <x:c r="D4" s="2" t="str">
        <x:f>CHOOSE(B4,"Base","Downside")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0" customHeight="1">
      <x:c r="A7" s="2"/>
      <x:c r="B7" s="2"/>
      <x:c r="C7" s="22" t="d">
        <x:v>2026-01-01T00:00:00.000Z</x:v>
      </x:c>
      <x:c r="D7" s="22" t="d">
        <x:v>2026-02-01T00:00:00.000Z</x:v>
      </x:c>
      <x:c r="E7" s="22" t="d">
        <x:v>2026-03-01T00:00:00.000Z</x:v>
      </x:c>
      <x:c r="F7" s="22" t="d">
        <x:v>2026-04-01T00:00:00.000Z</x:v>
      </x:c>
      <x:c r="G7" s="22" t="d">
        <x:v>2026-05-01T00:00:00.000Z</x:v>
      </x:c>
      <x:c r="H7" s="22" t="d">
        <x:v>2026-06-01T00:00:00.000Z</x:v>
      </x:c>
      <x:c r="I7" s="22" t="d">
        <x:v>2026-07-01T00:00:00.000Z</x:v>
      </x:c>
      <x:c r="J7" s="22" t="d">
        <x:v>2026-08-01T00:00:00.000Z</x:v>
      </x:c>
      <x:c r="K7" s="22" t="d">
        <x:v>2026-09-01T00:00:00.000Z</x:v>
      </x:c>
      <x:c r="L7" s="22" t="d">
        <x:v>2026-10-01T00:00:00.000Z</x:v>
      </x:c>
      <x:c r="M7" s="22" t="d">
        <x:v>2026-11-01T00:00:00.000Z</x:v>
      </x:c>
      <x:c r="N7" s="22" t="d">
        <x:v>2026-12-01T00:00:00.000Z</x:v>
      </x:c>
    </x:row>
    <x:row r="8" ht="23" customHeight="1">
      <x:c r="A8" s="2" t="str">
        <x:v>Active volume</x:v>
      </x:c>
      <x:c r="B8" s="2"/>
      <x:c r="C8" s="9" t="n">
        <x:f>IF(MONTH(C$7)&lt;=6,1,CHOOSE($B$4,C9,C10))</x:f>
        <x:v>1</x:v>
      </x:c>
      <x:c r="D8" s="9" t="n">
        <x:f>IF(MONTH(D$7)&lt;=6,1,CHOOSE($B$4,D9,D10))</x:f>
        <x:v>1</x:v>
      </x:c>
      <x:c r="E8" s="9" t="n">
        <x:f>IF(MONTH(E$7)&lt;=6,1,CHOOSE($B$4,E9,E10))</x:f>
        <x:v>1</x:v>
      </x:c>
      <x:c r="F8" s="9" t="n">
        <x:f>IF(MONTH(F$7)&lt;=6,1,CHOOSE($B$4,F9,F10))</x:f>
        <x:v>1</x:v>
      </x:c>
      <x:c r="G8" s="9" t="n">
        <x:f>IF(MONTH(G$7)&lt;=6,1,CHOOSE($B$4,G9,G10))</x:f>
        <x:v>1</x:v>
      </x:c>
      <x:c r="H8" s="9" t="n">
        <x:f>IF(MONTH(H$7)&lt;=6,1,CHOOSE($B$4,H9,H10))</x:f>
        <x:v>1</x:v>
      </x:c>
      <x:c r="I8" s="9" t="n">
        <x:f>IF(MONTH(I$7)&lt;=6,1,CHOOSE($B$4,I9,I10))</x:f>
        <x:v>1</x:v>
      </x:c>
      <x:c r="J8" s="9" t="n">
        <x:f>IF(MONTH(J$7)&lt;=6,1,CHOOSE($B$4,J9,J10))</x:f>
        <x:v>1</x:v>
      </x:c>
      <x:c r="K8" s="9" t="n">
        <x:f>IF(MONTH(K$7)&lt;=6,1,CHOOSE($B$4,K9,K10))</x:f>
        <x:v>1</x:v>
      </x:c>
      <x:c r="L8" s="9" t="n">
        <x:f>IF(MONTH(L$7)&lt;=6,1,CHOOSE($B$4,L9,L10))</x:f>
        <x:v>1</x:v>
      </x:c>
      <x:c r="M8" s="9" t="n">
        <x:f>IF(MONTH(M$7)&lt;=6,1,CHOOSE($B$4,M9,M10))</x:f>
        <x:v>1</x:v>
      </x:c>
      <x:c r="N8" s="9" t="n">
        <x:f>IF(MONTH(N$7)&lt;=6,1,CHOOSE($B$4,N9,N10))</x:f>
        <x:v>1</x:v>
      </x:c>
    </x:row>
    <x:row r="9" ht="23" customHeight="1">
      <x:c r="A9" s="2" t="str">
        <x:v>Base volume</x:v>
      </x:c>
      <x:c r="B9" s="2"/>
      <x:c r="C9" s="25" t="n">
        <x:v>1</x:v>
      </x:c>
      <x:c r="D9" s="25" t="n">
        <x:v>1</x:v>
      </x:c>
      <x:c r="E9" s="25" t="n">
        <x:v>1</x:v>
      </x:c>
      <x:c r="F9" s="25" t="n">
        <x:v>1</x:v>
      </x:c>
      <x:c r="G9" s="25" t="n">
        <x:v>1</x:v>
      </x:c>
      <x:c r="H9" s="25" t="n">
        <x:v>1</x:v>
      </x:c>
      <x:c r="I9" s="25" t="n">
        <x:v>1</x:v>
      </x:c>
      <x:c r="J9" s="25" t="n">
        <x:v>1</x:v>
      </x:c>
      <x:c r="K9" s="25" t="n">
        <x:v>1</x:v>
      </x:c>
      <x:c r="L9" s="25" t="n">
        <x:v>1</x:v>
      </x:c>
      <x:c r="M9" s="25" t="n">
        <x:v>1</x:v>
      </x:c>
      <x:c r="N9" s="25" t="n">
        <x:v>1</x:v>
      </x:c>
    </x:row>
    <x:row r="10" ht="23" customHeight="1">
      <x:c r="A10" s="2" t="str">
        <x:v>Downside volume</x:v>
      </x:c>
      <x:c r="B10" s="2"/>
      <x:c r="C10" s="25" t="n">
        <x:v>0.85</x:v>
      </x:c>
      <x:c r="D10" s="25" t="n">
        <x:v>0.85</x:v>
      </x:c>
      <x:c r="E10" s="25" t="n">
        <x:v>0.85</x:v>
      </x:c>
      <x:c r="F10" s="25" t="n">
        <x:v>0.85</x:v>
      </x:c>
      <x:c r="G10" s="25" t="n">
        <x:v>0.85</x:v>
      </x:c>
      <x:c r="H10" s="25" t="n">
        <x:v>0.85</x:v>
      </x:c>
      <x:c r="I10" s="25" t="n">
        <x:v>0.85</x:v>
      </x:c>
      <x:c r="J10" s="25" t="n">
        <x:v>0.85</x:v>
      </x:c>
      <x:c r="K10" s="25" t="n">
        <x:v>0.85</x:v>
      </x:c>
      <x:c r="L10" s="25" t="n">
        <x:v>0.85</x:v>
      </x:c>
      <x:c r="M10" s="25" t="n">
        <x:v>0.85</x:v>
      </x:c>
      <x:c r="N10" s="25" t="n">
        <x:v>0.85</x:v>
      </x:c>
    </x:row>
    <x:row r="11" ht="23" customHeight="1">
      <x:c r="A11" s="2"/>
      <x:c r="B11" s="2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</x:row>
    <x:row r="12" ht="23" customHeight="1">
      <x:c r="A12" s="2" t="str">
        <x:v>Active uplift</x:v>
      </x:c>
      <x:c r="B12" s="2"/>
      <x:c r="C12" s="9" t="n">
        <x:f>IF(MONTH(C$7)&lt;=6,0,CHOOSE($B$4,C13,C14))</x:f>
        <x:v>0</x:v>
      </x:c>
      <x:c r="D12" s="9" t="n">
        <x:f>IF(MONTH(D$7)&lt;=6,0,CHOOSE($B$4,D13,D14))</x:f>
        <x:v>0</x:v>
      </x:c>
      <x:c r="E12" s="9" t="n">
        <x:f>IF(MONTH(E$7)&lt;=6,0,CHOOSE($B$4,E13,E14))</x:f>
        <x:v>0</x:v>
      </x:c>
      <x:c r="F12" s="9" t="n">
        <x:f>IF(MONTH(F$7)&lt;=6,0,CHOOSE($B$4,F13,F14))</x:f>
        <x:v>0</x:v>
      </x:c>
      <x:c r="G12" s="9" t="n">
        <x:f>IF(MONTH(G$7)&lt;=6,0,CHOOSE($B$4,G13,G14))</x:f>
        <x:v>0</x:v>
      </x:c>
      <x:c r="H12" s="9" t="n">
        <x:f>IF(MONTH(H$7)&lt;=6,0,CHOOSE($B$4,H13,H14))</x:f>
        <x:v>0</x:v>
      </x:c>
      <x:c r="I12" s="9" t="n">
        <x:f>IF(MONTH(I$7)&lt;=6,0,CHOOSE($B$4,I13,I14))</x:f>
        <x:v>0.03</x:v>
      </x:c>
      <x:c r="J12" s="9" t="n">
        <x:f>IF(MONTH(J$7)&lt;=6,0,CHOOSE($B$4,J13,J14))</x:f>
        <x:v>0.03</x:v>
      </x:c>
      <x:c r="K12" s="9" t="n">
        <x:f>IF(MONTH(K$7)&lt;=6,0,CHOOSE($B$4,K13,K14))</x:f>
        <x:v>0.03</x:v>
      </x:c>
      <x:c r="L12" s="9" t="n">
        <x:f>IF(MONTH(L$7)&lt;=6,0,CHOOSE($B$4,L13,L14))</x:f>
        <x:v>0.03</x:v>
      </x:c>
      <x:c r="M12" s="9" t="n">
        <x:f>IF(MONTH(M$7)&lt;=6,0,CHOOSE($B$4,M13,M14))</x:f>
        <x:v>0.03</x:v>
      </x:c>
      <x:c r="N12" s="9" t="n">
        <x:f>IF(MONTH(N$7)&lt;=6,0,CHOOSE($B$4,N13,N14))</x:f>
        <x:v>0.03</x:v>
      </x:c>
    </x:row>
    <x:row r="13" ht="23" customHeight="1">
      <x:c r="A13" s="2" t="str">
        <x:v>Base uplift</x:v>
      </x:c>
      <x:c r="B13" s="2"/>
      <x:c r="C13" s="25" t="n">
        <x:v>0.03</x:v>
      </x:c>
      <x:c r="D13" s="25" t="n">
        <x:v>0.03</x:v>
      </x:c>
      <x:c r="E13" s="25" t="n">
        <x:v>0.03</x:v>
      </x:c>
      <x:c r="F13" s="25" t="n">
        <x:v>0.03</x:v>
      </x:c>
      <x:c r="G13" s="25" t="n">
        <x:v>0.03</x:v>
      </x:c>
      <x:c r="H13" s="25" t="n">
        <x:v>0.03</x:v>
      </x:c>
      <x:c r="I13" s="25" t="n">
        <x:v>0.03</x:v>
      </x:c>
      <x:c r="J13" s="25" t="n">
        <x:v>0.03</x:v>
      </x:c>
      <x:c r="K13" s="25" t="n">
        <x:v>0.03</x:v>
      </x:c>
      <x:c r="L13" s="25" t="n">
        <x:v>0.03</x:v>
      </x:c>
      <x:c r="M13" s="25" t="n">
        <x:v>0.03</x:v>
      </x:c>
      <x:c r="N13" s="25" t="n">
        <x:v>0.03</x:v>
      </x:c>
    </x:row>
    <x:row r="14" ht="23" customHeight="1">
      <x:c r="A14" s="2" t="str">
        <x:v>Downside uplift</x:v>
      </x:c>
      <x:c r="B14" s="2"/>
      <x:c r="C14" s="25" t="n">
        <x:v>0.01</x:v>
      </x:c>
      <x:c r="D14" s="25" t="n">
        <x:v>0.01</x:v>
      </x:c>
      <x:c r="E14" s="25" t="n">
        <x:v>0.01</x:v>
      </x:c>
      <x:c r="F14" s="25" t="n">
        <x:v>0.01</x:v>
      </x:c>
      <x:c r="G14" s="25" t="n">
        <x:v>0.01</x:v>
      </x:c>
      <x:c r="H14" s="25" t="n">
        <x:v>0.01</x:v>
      </x:c>
      <x:c r="I14" s="25" t="n">
        <x:v>0.01</x:v>
      </x:c>
      <x:c r="J14" s="25" t="n">
        <x:v>0.01</x:v>
      </x:c>
      <x:c r="K14" s="25" t="n">
        <x:v>0.01</x:v>
      </x:c>
      <x:c r="L14" s="25" t="n">
        <x:v>0.01</x:v>
      </x:c>
      <x:c r="M14" s="25" t="n">
        <x:v>0.01</x:v>
      </x:c>
      <x:c r="N14" s="25" t="n">
        <x:v>0.01</x:v>
      </x:c>
    </x:row>
    <x:row r="15" ht="23" customHeight="1">
      <x:c r="A15" s="2"/>
      <x:c r="B15" s="2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</x:row>
    <x:row r="16" ht="23" customHeight="1">
      <x:c r="A16" s="2" t="str">
        <x:v>Active cost factor</x:v>
      </x:c>
      <x:c r="B16" s="2"/>
      <x:c r="C16" s="9" t="n">
        <x:f>IF(MONTH(C$7)&lt;=6,1,CHOOSE($B$4,C17,C18))</x:f>
        <x:v>1</x:v>
      </x:c>
      <x:c r="D16" s="9" t="n">
        <x:f>IF(MONTH(D$7)&lt;=6,1,CHOOSE($B$4,D17,D18))</x:f>
        <x:v>1</x:v>
      </x:c>
      <x:c r="E16" s="9" t="n">
        <x:f>IF(MONTH(E$7)&lt;=6,1,CHOOSE($B$4,E17,E18))</x:f>
        <x:v>1</x:v>
      </x:c>
      <x:c r="F16" s="9" t="n">
        <x:f>IF(MONTH(F$7)&lt;=6,1,CHOOSE($B$4,F17,F18))</x:f>
        <x:v>1</x:v>
      </x:c>
      <x:c r="G16" s="9" t="n">
        <x:f>IF(MONTH(G$7)&lt;=6,1,CHOOSE($B$4,G17,G18))</x:f>
        <x:v>1</x:v>
      </x:c>
      <x:c r="H16" s="9" t="n">
        <x:f>IF(MONTH(H$7)&lt;=6,1,CHOOSE($B$4,H17,H18))</x:f>
        <x:v>1</x:v>
      </x:c>
      <x:c r="I16" s="9" t="n">
        <x:f>IF(MONTH(I$7)&lt;=6,1,CHOOSE($B$4,I17,I18))</x:f>
        <x:v>1.02</x:v>
      </x:c>
      <x:c r="J16" s="9" t="n">
        <x:f>IF(MONTH(J$7)&lt;=6,1,CHOOSE($B$4,J17,J18))</x:f>
        <x:v>1.02</x:v>
      </x:c>
      <x:c r="K16" s="9" t="n">
        <x:f>IF(MONTH(K$7)&lt;=6,1,CHOOSE($B$4,K17,K18))</x:f>
        <x:v>1.02</x:v>
      </x:c>
      <x:c r="L16" s="9" t="n">
        <x:f>IF(MONTH(L$7)&lt;=6,1,CHOOSE($B$4,L17,L18))</x:f>
        <x:v>1.02</x:v>
      </x:c>
      <x:c r="M16" s="9" t="n">
        <x:f>IF(MONTH(M$7)&lt;=6,1,CHOOSE($B$4,M17,M18))</x:f>
        <x:v>1.02</x:v>
      </x:c>
      <x:c r="N16" s="9" t="n">
        <x:f>IF(MONTH(N$7)&lt;=6,1,CHOOSE($B$4,N17,N18))</x:f>
        <x:v>1.02</x:v>
      </x:c>
    </x:row>
    <x:row r="17" ht="23" customHeight="1">
      <x:c r="A17" s="2" t="str">
        <x:v>Base cost factor</x:v>
      </x:c>
      <x:c r="B17" s="2"/>
      <x:c r="C17" s="25" t="n">
        <x:v>1.02</x:v>
      </x:c>
      <x:c r="D17" s="25" t="n">
        <x:v>1.02</x:v>
      </x:c>
      <x:c r="E17" s="25" t="n">
        <x:v>1.02</x:v>
      </x:c>
      <x:c r="F17" s="25" t="n">
        <x:v>1.02</x:v>
      </x:c>
      <x:c r="G17" s="25" t="n">
        <x:v>1.02</x:v>
      </x:c>
      <x:c r="H17" s="25" t="n">
        <x:v>1.02</x:v>
      </x:c>
      <x:c r="I17" s="25" t="n">
        <x:v>1.02</x:v>
      </x:c>
      <x:c r="J17" s="25" t="n">
        <x:v>1.02</x:v>
      </x:c>
      <x:c r="K17" s="25" t="n">
        <x:v>1.02</x:v>
      </x:c>
      <x:c r="L17" s="25" t="n">
        <x:v>1.02</x:v>
      </x:c>
      <x:c r="M17" s="25" t="n">
        <x:v>1.02</x:v>
      </x:c>
      <x:c r="N17" s="25" t="n">
        <x:v>1.02</x:v>
      </x:c>
    </x:row>
    <x:row r="18" ht="23" customHeight="1">
      <x:c r="A18" s="2" t="str">
        <x:v>Downside cost factor</x:v>
      </x:c>
      <x:c r="B18" s="2"/>
      <x:c r="C18" s="25" t="n">
        <x:v>1.05</x:v>
      </x:c>
      <x:c r="D18" s="25" t="n">
        <x:v>1.05</x:v>
      </x:c>
      <x:c r="E18" s="25" t="n">
        <x:v>1.05</x:v>
      </x:c>
      <x:c r="F18" s="25" t="n">
        <x:v>1.05</x:v>
      </x:c>
      <x:c r="G18" s="25" t="n">
        <x:v>1.05</x:v>
      </x:c>
      <x:c r="H18" s="25" t="n">
        <x:v>1.05</x:v>
      </x:c>
      <x:c r="I18" s="25" t="n">
        <x:v>1.05</x:v>
      </x:c>
      <x:c r="J18" s="25" t="n">
        <x:v>1.05</x:v>
      </x:c>
      <x:c r="K18" s="25" t="n">
        <x:v>1.05</x:v>
      </x:c>
      <x:c r="L18" s="25" t="n">
        <x:v>1.05</x:v>
      </x:c>
      <x:c r="M18" s="25" t="n">
        <x:v>1.05</x:v>
      </x:c>
      <x:c r="N18" s="25" t="n">
        <x:v>1.05</x:v>
      </x:c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40" customHeight="1">
      <x:c r="A21" s="6" t="str">
        <x:v>SKU</x:v>
      </x:c>
      <x:c r="B21" s="6" t="str">
        <x:v>Region</x:v>
      </x:c>
      <x:c r="C21" s="6" t="str">
        <x:v>EffectiveMonth</x:v>
      </x:c>
      <x:c r="D21" s="6" t="str">
        <x:v>Uplift</x:v>
      </x:c>
      <x:c r="E21" s="2"/>
      <x:c r="F21" s="6" t="str">
        <x:v>LowerBound</x:v>
      </x:c>
      <x:c r="G21" s="6" t="str">
        <x:v>UpperBound</x:v>
      </x:c>
      <x:c r="H21" s="6" t="str">
        <x:v>MarginalRate</x:v>
      </x:c>
      <x:c r="I21" s="2"/>
      <x:c r="J21" s="2"/>
      <x:c r="K21" s="2"/>
      <x:c r="L21" s="2"/>
      <x:c r="M21" s="2"/>
      <x:c r="N21" s="2"/>
    </x:row>
    <x:row r="22" ht="23" customHeight="1">
      <x:c r="A22" s="34" t="str">
        <x:v>0001</x:v>
      </x:c>
      <x:c r="B22" s="2" t="str">
        <x:v>East</x:v>
      </x:c>
      <x:c r="C22" s="14" t="d">
        <x:v>2026-08-01T00:00:00.000Z</x:v>
      </x:c>
      <x:c r="D22" s="25" t="n">
        <x:v>0.03</x:v>
      </x:c>
      <x:c r="E22" s="2"/>
      <x:c r="F22" s="24" t="n">
        <x:v>0</x:v>
      </x:c>
      <x:c r="G22" s="24" t="n">
        <x:v>100000</x:v>
      </x:c>
      <x:c r="H22" s="25" t="n">
        <x:v>0.01</x:v>
      </x:c>
      <x:c r="I22" s="2"/>
      <x:c r="J22" s="2"/>
      <x:c r="K22" s="2"/>
      <x:c r="L22" s="2"/>
      <x:c r="M22" s="2"/>
      <x:c r="N22" s="2"/>
    </x:row>
    <x:row r="23" ht="23" customHeight="1">
      <x:c r="A23" s="34" t="str">
        <x:v>0003</x:v>
      </x:c>
      <x:c r="B23" s="2" t="str">
        <x:v>East</x:v>
      </x:c>
      <x:c r="C23" s="14" t="d">
        <x:v>2026-08-01T00:00:00.000Z</x:v>
      </x:c>
      <x:c r="D23" s="25" t="n">
        <x:v>0.03</x:v>
      </x:c>
      <x:c r="E23" s="2"/>
      <x:c r="F23" s="24" t="n">
        <x:v>100000</x:v>
      </x:c>
      <x:c r="G23" s="24" t="n">
        <x:v>300000</x:v>
      </x:c>
      <x:c r="H23" s="25" t="n">
        <x:v>0.02</x:v>
      </x:c>
      <x:c r="I23" s="2"/>
      <x:c r="J23" s="2"/>
      <x:c r="K23" s="2"/>
      <x:c r="L23" s="2"/>
      <x:c r="M23" s="2"/>
      <x:c r="N23" s="2"/>
    </x:row>
    <x:row r="24" ht="23" customHeight="1">
      <x:c r="A24" s="2"/>
      <x:c r="B24" s="2"/>
      <x:c r="C24" s="2"/>
      <x:c r="D24" s="2"/>
      <x:c r="E24" s="2"/>
      <x:c r="F24" s="24" t="n">
        <x:v>300000</x:v>
      </x:c>
      <x:c r="G24" s="24"/>
      <x:c r="H24" s="25" t="n">
        <x:v>0.03</x:v>
      </x:c>
      <x:c r="I24" s="2"/>
      <x:c r="J24" s="2"/>
      <x:c r="K24" s="2"/>
      <x:c r="L24" s="2"/>
      <x:c r="M24" s="2"/>
      <x:c r="N24" s="2"/>
    </x:row>
    <x:row r="25" ht="23" customHeight="1">
      <x:c r="A25" s="23" t="str">
        <x:v>Price overrides not applied by current model.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2"/>
      <x:c r="D26" s="2"/>
      <x:c r="E26" s="2"/>
      <x:c r="F26" s="2" t="str">
        <x:v>RebateStart</x:v>
      </x:c>
      <x:c r="G26" s="14" t="d">
        <x:v>2026-09-01T00:00:00.000Z</x:v>
      </x:c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2" t="str">
        <x:v>CardFee</x:v>
      </x:c>
      <x:c r="B28" s="25" t="n">
        <x:v>0.015</x:v>
      </x:c>
      <x:c r="C28" s="2"/>
      <x:c r="D28" s="2"/>
      <x:c r="E28" s="2"/>
      <x:c r="F28" s="2" t="str">
        <x:v>FlatRate</x:v>
      </x:c>
      <x:c r="G28" s="25" t="n">
        <x:v>0.02</x:v>
      </x:c>
      <x:c r="H28" s="2"/>
      <x:c r="I28" s="2"/>
      <x:c r="J28" s="2"/>
      <x:c r="K28" s="2"/>
      <x:c r="L28" s="2"/>
      <x:c r="M28" s="2"/>
      <x:c r="N28" s="2"/>
    </x:row>
    <x:row r="29" ht="23" customHeight="1">
      <x:c r="A29" s="2" t="str">
        <x:v>StoragePerUnit</x:v>
      </x:c>
      <x:c r="B29" s="26" t="n">
        <x:v>1.2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 t="str">
        <x:v>StaffMonthly</x:v>
      </x:c>
      <x:c r="B30" s="26" t="n">
        <x:v>20000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 t="str">
        <x:v>RentMonthly</x:v>
      </x:c>
      <x:c r="B31" s="26" t="n">
        <x:v>6000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6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 t="str">
        <x:v>CurrentCollection</x:v>
      </x:c>
      <x:c r="B33" s="25" t="n">
        <x:v>0.8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40" customHeight="1">
      <x:c r="A38" s="6" t="str">
        <x:v>SKU</x:v>
      </x:c>
      <x:c r="B38" s="6" t="str">
        <x:v>Region</x:v>
      </x:c>
      <x:c r="C38" s="6" t="str">
        <x:v>Month</x:v>
      </x:c>
      <x:c r="D38" s="6" t="str">
        <x:v>BaseDemand</x:v>
      </x:c>
      <x:c r="E38" s="6" t="str">
        <x:v>BaseUnitPriceSAR</x:v>
      </x:c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34" t="str">
        <x:v>0001</x:v>
      </x:c>
      <x:c r="B39" s="2" t="str">
        <x:v>Central</x:v>
      </x:c>
      <x:c r="C39" s="14" t="d">
        <x:v>2026-07-01T00:00:00.000Z</x:v>
      </x:c>
      <x:c r="D39" s="26" t="n">
        <x:v>140</x:v>
      </x:c>
      <x:c r="E39" s="26" t="n">
        <x:v>160</x:v>
      </x:c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34" t="str">
        <x:v>0001</x:v>
      </x:c>
      <x:c r="B40" s="2" t="str">
        <x:v>Central</x:v>
      </x:c>
      <x:c r="C40" s="14" t="d">
        <x:v>2026-08-01T00:00:00.000Z</x:v>
      </x:c>
      <x:c r="D40" s="26" t="n">
        <x:v>155</x:v>
      </x:c>
      <x:c r="E40" s="26" t="n">
        <x:v>160</x:v>
      </x:c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34" t="str">
        <x:v>0001</x:v>
      </x:c>
      <x:c r="B41" s="2" t="str">
        <x:v>Central</x:v>
      </x:c>
      <x:c r="C41" s="14" t="d">
        <x:v>2026-09-01T00:00:00.000Z</x:v>
      </x:c>
      <x:c r="D41" s="26" t="n">
        <x:v>170</x:v>
      </x:c>
      <x:c r="E41" s="26" t="n">
        <x:v>160</x:v>
      </x:c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34" t="str">
        <x:v>0001</x:v>
      </x:c>
      <x:c r="B42" s="2" t="str">
        <x:v>Central</x:v>
      </x:c>
      <x:c r="C42" s="14" t="d">
        <x:v>2026-10-01T00:00:00.000Z</x:v>
      </x:c>
      <x:c r="D42" s="26" t="n">
        <x:v>185</x:v>
      </x:c>
      <x:c r="E42" s="26" t="n">
        <x:v>160</x:v>
      </x:c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34" t="str">
        <x:v>0001</x:v>
      </x:c>
      <x:c r="B43" s="2" t="str">
        <x:v>Central</x:v>
      </x:c>
      <x:c r="C43" s="14" t="d">
        <x:v>2026-11-01T00:00:00.000Z</x:v>
      </x:c>
      <x:c r="D43" s="26" t="n">
        <x:v>200</x:v>
      </x:c>
      <x:c r="E43" s="26" t="n">
        <x:v>160</x:v>
      </x:c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34" t="str">
        <x:v>0001</x:v>
      </x:c>
      <x:c r="B44" s="2" t="str">
        <x:v>Central</x:v>
      </x:c>
      <x:c r="C44" s="14" t="d">
        <x:v>2026-12-01T00:00:00.000Z</x:v>
      </x:c>
      <x:c r="D44" s="26" t="n">
        <x:v>215</x:v>
      </x:c>
      <x:c r="E44" s="26" t="n">
        <x:v>160</x:v>
      </x:c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34" t="str">
        <x:v>0001</x:v>
      </x:c>
      <x:c r="B45" s="2" t="str">
        <x:v>East</x:v>
      </x:c>
      <x:c r="C45" s="14" t="d">
        <x:v>2026-07-01T00:00:00.000Z</x:v>
      </x:c>
      <x:c r="D45" s="26" t="n">
        <x:v>152</x:v>
      </x:c>
      <x:c r="E45" s="26" t="n">
        <x:v>160</x:v>
      </x:c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34" t="str">
        <x:v>0001</x:v>
      </x:c>
      <x:c r="B46" s="2" t="str">
        <x:v>East</x:v>
      </x:c>
      <x:c r="C46" s="14" t="d">
        <x:v>2026-08-01T00:00:00.000Z</x:v>
      </x:c>
      <x:c r="D46" s="26" t="n">
        <x:v>167</x:v>
      </x:c>
      <x:c r="E46" s="26" t="n">
        <x:v>160</x:v>
      </x:c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34" t="str">
        <x:v>0001</x:v>
      </x:c>
      <x:c r="B47" s="2" t="str">
        <x:v>East</x:v>
      </x:c>
      <x:c r="C47" s="14" t="d">
        <x:v>2026-09-01T00:00:00.000Z</x:v>
      </x:c>
      <x:c r="D47" s="26" t="n">
        <x:v>182</x:v>
      </x:c>
      <x:c r="E47" s="26" t="n">
        <x:v>160</x:v>
      </x:c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34" t="str">
        <x:v>0001</x:v>
      </x:c>
      <x:c r="B48" s="2" t="str">
        <x:v>East</x:v>
      </x:c>
      <x:c r="C48" s="14" t="d">
        <x:v>2026-10-01T00:00:00.000Z</x:v>
      </x:c>
      <x:c r="D48" s="26" t="n">
        <x:v>197</x:v>
      </x:c>
      <x:c r="E48" s="26" t="n">
        <x:v>160</x:v>
      </x:c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34" t="str">
        <x:v>0001</x:v>
      </x:c>
      <x:c r="B49" s="2" t="str">
        <x:v>East</x:v>
      </x:c>
      <x:c r="C49" s="14" t="d">
        <x:v>2026-11-01T00:00:00.000Z</x:v>
      </x:c>
      <x:c r="D49" s="26" t="n">
        <x:v>212</x:v>
      </x:c>
      <x:c r="E49" s="26" t="n">
        <x:v>160</x:v>
      </x:c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34" t="str">
        <x:v>0001</x:v>
      </x:c>
      <x:c r="B50" s="2" t="str">
        <x:v>East</x:v>
      </x:c>
      <x:c r="C50" s="14" t="d">
        <x:v>2026-12-01T00:00:00.000Z</x:v>
      </x:c>
      <x:c r="D50" s="26" t="n">
        <x:v>227</x:v>
      </x:c>
      <x:c r="E50" s="26" t="n">
        <x:v>160</x:v>
      </x:c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34" t="str">
        <x:v>0001</x:v>
      </x:c>
      <x:c r="B51" s="2" t="str">
        <x:v>West</x:v>
      </x:c>
      <x:c r="C51" s="14" t="d">
        <x:v>2026-07-01T00:00:00.000Z</x:v>
      </x:c>
      <x:c r="D51" s="26" t="n">
        <x:v>164</x:v>
      </x:c>
      <x:c r="E51" s="26" t="n">
        <x:v>160</x:v>
      </x:c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34" t="str">
        <x:v>0001</x:v>
      </x:c>
      <x:c r="B52" s="2" t="str">
        <x:v>West</x:v>
      </x:c>
      <x:c r="C52" s="14" t="d">
        <x:v>2026-08-01T00:00:00.000Z</x:v>
      </x:c>
      <x:c r="D52" s="26" t="n">
        <x:v>179</x:v>
      </x:c>
      <x:c r="E52" s="26" t="n">
        <x:v>160</x:v>
      </x:c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34" t="str">
        <x:v>0001</x:v>
      </x:c>
      <x:c r="B53" s="2" t="str">
        <x:v>West</x:v>
      </x:c>
      <x:c r="C53" s="14" t="d">
        <x:v>2026-09-01T00:00:00.000Z</x:v>
      </x:c>
      <x:c r="D53" s="26" t="n">
        <x:v>194</x:v>
      </x:c>
      <x:c r="E53" s="26" t="n">
        <x:v>160</x:v>
      </x:c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34" t="str">
        <x:v>0001</x:v>
      </x:c>
      <x:c r="B54" s="2" t="str">
        <x:v>West</x:v>
      </x:c>
      <x:c r="C54" s="14" t="d">
        <x:v>2026-10-01T00:00:00.000Z</x:v>
      </x:c>
      <x:c r="D54" s="26" t="n">
        <x:v>209</x:v>
      </x:c>
      <x:c r="E54" s="26" t="n">
        <x:v>160</x:v>
      </x:c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34" t="str">
        <x:v>0001</x:v>
      </x:c>
      <x:c r="B55" s="2" t="str">
        <x:v>West</x:v>
      </x:c>
      <x:c r="C55" s="14" t="d">
        <x:v>2026-11-01T00:00:00.000Z</x:v>
      </x:c>
      <x:c r="D55" s="26" t="n">
        <x:v>224</x:v>
      </x:c>
      <x:c r="E55" s="26" t="n">
        <x:v>160</x:v>
      </x:c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34" t="str">
        <x:v>0001</x:v>
      </x:c>
      <x:c r="B56" s="2" t="str">
        <x:v>West</x:v>
      </x:c>
      <x:c r="C56" s="14" t="d">
        <x:v>2026-12-01T00:00:00.000Z</x:v>
      </x:c>
      <x:c r="D56" s="26" t="n">
        <x:v>239</x:v>
      </x:c>
      <x:c r="E56" s="26" t="n">
        <x:v>160</x:v>
      </x:c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34" t="str">
        <x:v>0001</x:v>
      </x:c>
      <x:c r="B57" s="2" t="str">
        <x:v>North</x:v>
      </x:c>
      <x:c r="C57" s="14" t="d">
        <x:v>2026-07-01T00:00:00.000Z</x:v>
      </x:c>
      <x:c r="D57" s="26" t="n">
        <x:v>176</x:v>
      </x:c>
      <x:c r="E57" s="26" t="n">
        <x:v>160</x:v>
      </x:c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34" t="str">
        <x:v>0001</x:v>
      </x:c>
      <x:c r="B58" s="2" t="str">
        <x:v>North</x:v>
      </x:c>
      <x:c r="C58" s="14" t="d">
        <x:v>2026-08-01T00:00:00.000Z</x:v>
      </x:c>
      <x:c r="D58" s="26" t="n">
        <x:v>191</x:v>
      </x:c>
      <x:c r="E58" s="26" t="n">
        <x:v>160</x:v>
      </x:c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34" t="str">
        <x:v>0001</x:v>
      </x:c>
      <x:c r="B59" s="2" t="str">
        <x:v>North</x:v>
      </x:c>
      <x:c r="C59" s="14" t="d">
        <x:v>2026-09-01T00:00:00.000Z</x:v>
      </x:c>
      <x:c r="D59" s="26" t="n">
        <x:v>206</x:v>
      </x:c>
      <x:c r="E59" s="26" t="n">
        <x:v>160</x:v>
      </x:c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34" t="str">
        <x:v>0001</x:v>
      </x:c>
      <x:c r="B60" s="2" t="str">
        <x:v>North</x:v>
      </x:c>
      <x:c r="C60" s="14" t="d">
        <x:v>2026-10-01T00:00:00.000Z</x:v>
      </x:c>
      <x:c r="D60" s="26" t="n">
        <x:v>221</x:v>
      </x:c>
      <x:c r="E60" s="26" t="n">
        <x:v>160</x:v>
      </x:c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3" customHeight="1">
      <x:c r="A61" s="34" t="str">
        <x:v>0001</x:v>
      </x:c>
      <x:c r="B61" s="2" t="str">
        <x:v>North</x:v>
      </x:c>
      <x:c r="C61" s="14" t="d">
        <x:v>2026-11-01T00:00:00.000Z</x:v>
      </x:c>
      <x:c r="D61" s="26" t="n">
        <x:v>236</x:v>
      </x:c>
      <x:c r="E61" s="26" t="n">
        <x:v>160</x:v>
      </x:c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3" customHeight="1">
      <x:c r="A62" s="34" t="str">
        <x:v>0001</x:v>
      </x:c>
      <x:c r="B62" s="2" t="str">
        <x:v>North</x:v>
      </x:c>
      <x:c r="C62" s="14" t="d">
        <x:v>2026-12-01T00:00:00.000Z</x:v>
      </x:c>
      <x:c r="D62" s="26" t="n">
        <x:v>251</x:v>
      </x:c>
      <x:c r="E62" s="26" t="n">
        <x:v>160</x:v>
      </x:c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34" t="str">
        <x:v>0002</x:v>
      </x:c>
      <x:c r="B63" s="2" t="str">
        <x:v>Central</x:v>
      </x:c>
      <x:c r="C63" s="14" t="d">
        <x:v>2026-07-01T00:00:00.000Z</x:v>
      </x:c>
      <x:c r="D63" s="26" t="n">
        <x:v>149</x:v>
      </x:c>
      <x:c r="E63" s="26" t="n">
        <x:v>180</x:v>
      </x:c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34" t="str">
        <x:v>0002</x:v>
      </x:c>
      <x:c r="B64" s="2" t="str">
        <x:v>Central</x:v>
      </x:c>
      <x:c r="C64" s="14" t="d">
        <x:v>2026-08-01T00:00:00.000Z</x:v>
      </x:c>
      <x:c r="D64" s="26" t="n">
        <x:v>164</x:v>
      </x:c>
      <x:c r="E64" s="26" t="n">
        <x:v>180</x:v>
      </x:c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3" customHeight="1">
      <x:c r="A65" s="34" t="str">
        <x:v>0002</x:v>
      </x:c>
      <x:c r="B65" s="2" t="str">
        <x:v>Central</x:v>
      </x:c>
      <x:c r="C65" s="14" t="d">
        <x:v>2026-09-01T00:00:00.000Z</x:v>
      </x:c>
      <x:c r="D65" s="26" t="n">
        <x:v>179</x:v>
      </x:c>
      <x:c r="E65" s="26" t="n">
        <x:v>180</x:v>
      </x:c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3" customHeight="1">
      <x:c r="A66" s="34" t="str">
        <x:v>0002</x:v>
      </x:c>
      <x:c r="B66" s="2" t="str">
        <x:v>Central</x:v>
      </x:c>
      <x:c r="C66" s="14" t="d">
        <x:v>2026-10-01T00:00:00.000Z</x:v>
      </x:c>
      <x:c r="D66" s="26" t="n">
        <x:v>194</x:v>
      </x:c>
      <x:c r="E66" s="26" t="n">
        <x:v>180</x:v>
      </x:c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3" customHeight="1">
      <x:c r="A67" s="34" t="str">
        <x:v>0002</x:v>
      </x:c>
      <x:c r="B67" s="2" t="str">
        <x:v>Central</x:v>
      </x:c>
      <x:c r="C67" s="14" t="d">
        <x:v>2026-11-01T00:00:00.000Z</x:v>
      </x:c>
      <x:c r="D67" s="26" t="n">
        <x:v>209</x:v>
      </x:c>
      <x:c r="E67" s="26" t="n">
        <x:v>180</x:v>
      </x:c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3" customHeight="1">
      <x:c r="A68" s="34" t="str">
        <x:v>0002</x:v>
      </x:c>
      <x:c r="B68" s="2" t="str">
        <x:v>Central</x:v>
      </x:c>
      <x:c r="C68" s="14" t="d">
        <x:v>2026-12-01T00:00:00.000Z</x:v>
      </x:c>
      <x:c r="D68" s="26" t="n">
        <x:v>224</x:v>
      </x:c>
      <x:c r="E68" s="26" t="n">
        <x:v>180</x:v>
      </x:c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3" customHeight="1">
      <x:c r="A69" s="34" t="str">
        <x:v>0002</x:v>
      </x:c>
      <x:c r="B69" s="2" t="str">
        <x:v>East</x:v>
      </x:c>
      <x:c r="C69" s="14" t="d">
        <x:v>2026-07-01T00:00:00.000Z</x:v>
      </x:c>
      <x:c r="D69" s="26" t="n">
        <x:v>161</x:v>
      </x:c>
      <x:c r="E69" s="26" t="n">
        <x:v>180</x:v>
      </x:c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34" t="str">
        <x:v>0002</x:v>
      </x:c>
      <x:c r="B70" s="2" t="str">
        <x:v>East</x:v>
      </x:c>
      <x:c r="C70" s="14" t="d">
        <x:v>2026-08-01T00:00:00.000Z</x:v>
      </x:c>
      <x:c r="D70" s="26" t="n">
        <x:v>176</x:v>
      </x:c>
      <x:c r="E70" s="26" t="n">
        <x:v>180</x:v>
      </x:c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3" customHeight="1">
      <x:c r="A71" s="34" t="str">
        <x:v>0002</x:v>
      </x:c>
      <x:c r="B71" s="2" t="str">
        <x:v>East</x:v>
      </x:c>
      <x:c r="C71" s="14" t="d">
        <x:v>2026-09-01T00:00:00.000Z</x:v>
      </x:c>
      <x:c r="D71" s="26" t="n">
        <x:v>191</x:v>
      </x:c>
      <x:c r="E71" s="26" t="n">
        <x:v>180</x:v>
      </x:c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3" customHeight="1">
      <x:c r="A72" s="34" t="str">
        <x:v>0002</x:v>
      </x:c>
      <x:c r="B72" s="2" t="str">
        <x:v>East</x:v>
      </x:c>
      <x:c r="C72" s="14" t="d">
        <x:v>2026-10-01T00:00:00.000Z</x:v>
      </x:c>
      <x:c r="D72" s="26" t="n">
        <x:v>206</x:v>
      </x:c>
      <x:c r="E72" s="26" t="n">
        <x:v>180</x:v>
      </x:c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3" customHeight="1">
      <x:c r="A73" s="34" t="str">
        <x:v>0002</x:v>
      </x:c>
      <x:c r="B73" s="2" t="str">
        <x:v>East</x:v>
      </x:c>
      <x:c r="C73" s="14" t="d">
        <x:v>2026-11-01T00:00:00.000Z</x:v>
      </x:c>
      <x:c r="D73" s="26" t="n">
        <x:v>221</x:v>
      </x:c>
      <x:c r="E73" s="26" t="n">
        <x:v>180</x:v>
      </x:c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3" customHeight="1">
      <x:c r="A74" s="34" t="str">
        <x:v>0002</x:v>
      </x:c>
      <x:c r="B74" s="2" t="str">
        <x:v>East</x:v>
      </x:c>
      <x:c r="C74" s="14" t="d">
        <x:v>2026-12-01T00:00:00.000Z</x:v>
      </x:c>
      <x:c r="D74" s="26" t="n">
        <x:v>236</x:v>
      </x:c>
      <x:c r="E74" s="26" t="n">
        <x:v>180</x:v>
      </x:c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3" customHeight="1">
      <x:c r="A75" s="34" t="str">
        <x:v>0002</x:v>
      </x:c>
      <x:c r="B75" s="2" t="str">
        <x:v>West</x:v>
      </x:c>
      <x:c r="C75" s="14" t="d">
        <x:v>2026-07-01T00:00:00.000Z</x:v>
      </x:c>
      <x:c r="D75" s="26" t="n">
        <x:v>173</x:v>
      </x:c>
      <x:c r="E75" s="26" t="n">
        <x:v>180</x:v>
      </x:c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3" customHeight="1">
      <x:c r="A76" s="34" t="str">
        <x:v>0002</x:v>
      </x:c>
      <x:c r="B76" s="2" t="str">
        <x:v>West</x:v>
      </x:c>
      <x:c r="C76" s="14" t="d">
        <x:v>2026-08-01T00:00:00.000Z</x:v>
      </x:c>
      <x:c r="D76" s="26" t="n">
        <x:v>188</x:v>
      </x:c>
      <x:c r="E76" s="26" t="n">
        <x:v>180</x:v>
      </x:c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3" customHeight="1">
      <x:c r="A77" s="34" t="str">
        <x:v>0002</x:v>
      </x:c>
      <x:c r="B77" s="2" t="str">
        <x:v>West</x:v>
      </x:c>
      <x:c r="C77" s="14" t="d">
        <x:v>2026-09-01T00:00:00.000Z</x:v>
      </x:c>
      <x:c r="D77" s="26" t="n">
        <x:v>203</x:v>
      </x:c>
      <x:c r="E77" s="26" t="n">
        <x:v>180</x:v>
      </x:c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3" customHeight="1">
      <x:c r="A78" s="34" t="str">
        <x:v>0002</x:v>
      </x:c>
      <x:c r="B78" s="2" t="str">
        <x:v>West</x:v>
      </x:c>
      <x:c r="C78" s="14" t="d">
        <x:v>2026-10-01T00:00:00.000Z</x:v>
      </x:c>
      <x:c r="D78" s="26" t="n">
        <x:v>218</x:v>
      </x:c>
      <x:c r="E78" s="26" t="n">
        <x:v>180</x:v>
      </x:c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3" customHeight="1">
      <x:c r="A79" s="34" t="str">
        <x:v>0002</x:v>
      </x:c>
      <x:c r="B79" s="2" t="str">
        <x:v>West</x:v>
      </x:c>
      <x:c r="C79" s="14" t="d">
        <x:v>2026-11-01T00:00:00.000Z</x:v>
      </x:c>
      <x:c r="D79" s="26" t="n">
        <x:v>233</x:v>
      </x:c>
      <x:c r="E79" s="26" t="n">
        <x:v>180</x:v>
      </x:c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3" customHeight="1">
      <x:c r="A80" s="34" t="str">
        <x:v>0002</x:v>
      </x:c>
      <x:c r="B80" s="2" t="str">
        <x:v>West</x:v>
      </x:c>
      <x:c r="C80" s="14" t="d">
        <x:v>2026-12-01T00:00:00.000Z</x:v>
      </x:c>
      <x:c r="D80" s="26" t="n">
        <x:v>248</x:v>
      </x:c>
      <x:c r="E80" s="26" t="n">
        <x:v>180</x:v>
      </x:c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3" customHeight="1">
      <x:c r="A81" s="34" t="str">
        <x:v>0002</x:v>
      </x:c>
      <x:c r="B81" s="2" t="str">
        <x:v>North</x:v>
      </x:c>
      <x:c r="C81" s="14" t="d">
        <x:v>2026-07-01T00:00:00.000Z</x:v>
      </x:c>
      <x:c r="D81" s="26" t="n">
        <x:v>185</x:v>
      </x:c>
      <x:c r="E81" s="26" t="n">
        <x:v>180</x:v>
      </x:c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3" customHeight="1">
      <x:c r="A82" s="34" t="str">
        <x:v>0002</x:v>
      </x:c>
      <x:c r="B82" s="2" t="str">
        <x:v>North</x:v>
      </x:c>
      <x:c r="C82" s="14" t="d">
        <x:v>2026-08-01T00:00:00.000Z</x:v>
      </x:c>
      <x:c r="D82" s="26" t="n">
        <x:v>200</x:v>
      </x:c>
      <x:c r="E82" s="26" t="n">
        <x:v>180</x:v>
      </x:c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34" t="str">
        <x:v>0002</x:v>
      </x:c>
      <x:c r="B83" s="2" t="str">
        <x:v>North</x:v>
      </x:c>
      <x:c r="C83" s="14" t="d">
        <x:v>2026-09-01T00:00:00.000Z</x:v>
      </x:c>
      <x:c r="D83" s="26" t="n">
        <x:v>215</x:v>
      </x:c>
      <x:c r="E83" s="26" t="n">
        <x:v>180</x:v>
      </x:c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34" t="str">
        <x:v>0002</x:v>
      </x:c>
      <x:c r="B84" s="2" t="str">
        <x:v>North</x:v>
      </x:c>
      <x:c r="C84" s="14" t="d">
        <x:v>2026-10-01T00:00:00.000Z</x:v>
      </x:c>
      <x:c r="D84" s="26" t="n">
        <x:v>230</x:v>
      </x:c>
      <x:c r="E84" s="26" t="n">
        <x:v>180</x:v>
      </x:c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34" t="str">
        <x:v>0002</x:v>
      </x:c>
      <x:c r="B85" s="2" t="str">
        <x:v>North</x:v>
      </x:c>
      <x:c r="C85" s="14" t="d">
        <x:v>2026-11-01T00:00:00.000Z</x:v>
      </x:c>
      <x:c r="D85" s="26" t="n">
        <x:v>245</x:v>
      </x:c>
      <x:c r="E85" s="26" t="n">
        <x:v>180</x:v>
      </x:c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34" t="str">
        <x:v>0002</x:v>
      </x:c>
      <x:c r="B86" s="2" t="str">
        <x:v>North</x:v>
      </x:c>
      <x:c r="C86" s="14" t="d">
        <x:v>2026-12-01T00:00:00.000Z</x:v>
      </x:c>
      <x:c r="D86" s="26" t="n">
        <x:v>260</x:v>
      </x:c>
      <x:c r="E86" s="26" t="n">
        <x:v>180</x:v>
      </x:c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34" t="str">
        <x:v>0003</x:v>
      </x:c>
      <x:c r="B87" s="2" t="str">
        <x:v>Central</x:v>
      </x:c>
      <x:c r="C87" s="14" t="d">
        <x:v>2026-07-01T00:00:00.000Z</x:v>
      </x:c>
      <x:c r="D87" s="26" t="n">
        <x:v>158</x:v>
      </x:c>
      <x:c r="E87" s="26" t="n">
        <x:v>200</x:v>
      </x:c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3" customHeight="1">
      <x:c r="A88" s="34" t="str">
        <x:v>0003</x:v>
      </x:c>
      <x:c r="B88" s="2" t="str">
        <x:v>Central</x:v>
      </x:c>
      <x:c r="C88" s="14" t="d">
        <x:v>2026-08-01T00:00:00.000Z</x:v>
      </x:c>
      <x:c r="D88" s="26" t="n">
        <x:v>173</x:v>
      </x:c>
      <x:c r="E88" s="26" t="n">
        <x:v>200</x:v>
      </x:c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3" customHeight="1">
      <x:c r="A89" s="34" t="str">
        <x:v>0003</x:v>
      </x:c>
      <x:c r="B89" s="2" t="str">
        <x:v>Central</x:v>
      </x:c>
      <x:c r="C89" s="14" t="d">
        <x:v>2026-09-01T00:00:00.000Z</x:v>
      </x:c>
      <x:c r="D89" s="26" t="n">
        <x:v>188</x:v>
      </x:c>
      <x:c r="E89" s="26" t="n">
        <x:v>200</x:v>
      </x:c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3" customHeight="1">
      <x:c r="A90" s="34" t="str">
        <x:v>0003</x:v>
      </x:c>
      <x:c r="B90" s="2" t="str">
        <x:v>Central</x:v>
      </x:c>
      <x:c r="C90" s="14" t="d">
        <x:v>2026-10-01T00:00:00.000Z</x:v>
      </x:c>
      <x:c r="D90" s="26" t="n">
        <x:v>203</x:v>
      </x:c>
      <x:c r="E90" s="26" t="n">
        <x:v>200</x:v>
      </x:c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3" customHeight="1">
      <x:c r="A91" s="34" t="str">
        <x:v>0003</x:v>
      </x:c>
      <x:c r="B91" s="2" t="str">
        <x:v>Central</x:v>
      </x:c>
      <x:c r="C91" s="14" t="d">
        <x:v>2026-11-01T00:00:00.000Z</x:v>
      </x:c>
      <x:c r="D91" s="26" t="n">
        <x:v>218</x:v>
      </x:c>
      <x:c r="E91" s="26" t="n">
        <x:v>200</x:v>
      </x:c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3" customHeight="1">
      <x:c r="A92" s="34" t="str">
        <x:v>0003</x:v>
      </x:c>
      <x:c r="B92" s="2" t="str">
        <x:v>Central</x:v>
      </x:c>
      <x:c r="C92" s="14" t="d">
        <x:v>2026-12-01T00:00:00.000Z</x:v>
      </x:c>
      <x:c r="D92" s="26" t="n">
        <x:v>233</x:v>
      </x:c>
      <x:c r="E92" s="26" t="n">
        <x:v>200</x:v>
      </x:c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3" customHeight="1">
      <x:c r="A93" s="34" t="str">
        <x:v>0003</x:v>
      </x:c>
      <x:c r="B93" s="2" t="str">
        <x:v>East</x:v>
      </x:c>
      <x:c r="C93" s="14" t="d">
        <x:v>2026-07-01T00:00:00.000Z</x:v>
      </x:c>
      <x:c r="D93" s="26" t="n">
        <x:v>170</x:v>
      </x:c>
      <x:c r="E93" s="26" t="n">
        <x:v>200</x:v>
      </x:c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3" customHeight="1">
      <x:c r="A94" s="34" t="str">
        <x:v>0003</x:v>
      </x:c>
      <x:c r="B94" s="2" t="str">
        <x:v>East</x:v>
      </x:c>
      <x:c r="C94" s="14" t="d">
        <x:v>2026-08-01T00:00:00.000Z</x:v>
      </x:c>
      <x:c r="D94" s="26" t="n">
        <x:v>185</x:v>
      </x:c>
      <x:c r="E94" s="26" t="n">
        <x:v>200</x:v>
      </x:c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3" customHeight="1">
      <x:c r="A95" s="34" t="str">
        <x:v>0003</x:v>
      </x:c>
      <x:c r="B95" s="2" t="str">
        <x:v>East</x:v>
      </x:c>
      <x:c r="C95" s="14" t="d">
        <x:v>2026-09-01T00:00:00.000Z</x:v>
      </x:c>
      <x:c r="D95" s="26" t="n">
        <x:v>200</x:v>
      </x:c>
      <x:c r="E95" s="26" t="n">
        <x:v>200</x:v>
      </x:c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3" customHeight="1">
      <x:c r="A96" s="34" t="str">
        <x:v>0003</x:v>
      </x:c>
      <x:c r="B96" s="2" t="str">
        <x:v>East</x:v>
      </x:c>
      <x:c r="C96" s="14" t="d">
        <x:v>2026-10-01T00:00:00.000Z</x:v>
      </x:c>
      <x:c r="D96" s="26" t="n">
        <x:v>215</x:v>
      </x:c>
      <x:c r="E96" s="26" t="n">
        <x:v>200</x:v>
      </x:c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34" t="str">
        <x:v>0003</x:v>
      </x:c>
      <x:c r="B97" s="2" t="str">
        <x:v>East</x:v>
      </x:c>
      <x:c r="C97" s="14" t="d">
        <x:v>2026-11-01T00:00:00.000Z</x:v>
      </x:c>
      <x:c r="D97" s="26" t="n">
        <x:v>230</x:v>
      </x:c>
      <x:c r="E97" s="26" t="n">
        <x:v>200</x:v>
      </x:c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34" t="str">
        <x:v>0003</x:v>
      </x:c>
      <x:c r="B98" s="2" t="str">
        <x:v>East</x:v>
      </x:c>
      <x:c r="C98" s="14" t="d">
        <x:v>2026-12-01T00:00:00.000Z</x:v>
      </x:c>
      <x:c r="D98" s="26" t="n">
        <x:v>245</x:v>
      </x:c>
      <x:c r="E98" s="26" t="n">
        <x:v>200</x:v>
      </x:c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34" t="str">
        <x:v>0003</x:v>
      </x:c>
      <x:c r="B99" s="2" t="str">
        <x:v>West</x:v>
      </x:c>
      <x:c r="C99" s="14" t="d">
        <x:v>2026-07-01T00:00:00.000Z</x:v>
      </x:c>
      <x:c r="D99" s="26" t="n">
        <x:v>182</x:v>
      </x:c>
      <x:c r="E99" s="26" t="n">
        <x:v>200</x:v>
      </x:c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34" t="str">
        <x:v>0003</x:v>
      </x:c>
      <x:c r="B100" s="2" t="str">
        <x:v>West</x:v>
      </x:c>
      <x:c r="C100" s="14" t="d">
        <x:v>2026-08-01T00:00:00.000Z</x:v>
      </x:c>
      <x:c r="D100" s="26" t="n">
        <x:v>197</x:v>
      </x:c>
      <x:c r="E100" s="26" t="n">
        <x:v>200</x:v>
      </x:c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3" customHeight="1">
      <x:c r="A101" s="34" t="str">
        <x:v>0003</x:v>
      </x:c>
      <x:c r="B101" s="2" t="str">
        <x:v>West</x:v>
      </x:c>
      <x:c r="C101" s="14" t="d">
        <x:v>2026-09-01T00:00:00.000Z</x:v>
      </x:c>
      <x:c r="D101" s="26" t="n">
        <x:v>212</x:v>
      </x:c>
      <x:c r="E101" s="26" t="n">
        <x:v>200</x:v>
      </x:c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3" customHeight="1">
      <x:c r="A102" s="34" t="str">
        <x:v>0003</x:v>
      </x:c>
      <x:c r="B102" s="2" t="str">
        <x:v>West</x:v>
      </x:c>
      <x:c r="C102" s="14" t="d">
        <x:v>2026-10-01T00:00:00.000Z</x:v>
      </x:c>
      <x:c r="D102" s="26" t="n">
        <x:v>227</x:v>
      </x:c>
      <x:c r="E102" s="26" t="n">
        <x:v>200</x:v>
      </x:c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3" customHeight="1">
      <x:c r="A103" s="34" t="str">
        <x:v>0003</x:v>
      </x:c>
      <x:c r="B103" s="2" t="str">
        <x:v>West</x:v>
      </x:c>
      <x:c r="C103" s="14" t="d">
        <x:v>2026-11-01T00:00:00.000Z</x:v>
      </x:c>
      <x:c r="D103" s="26" t="n">
        <x:v>242</x:v>
      </x:c>
      <x:c r="E103" s="26" t="n">
        <x:v>200</x:v>
      </x:c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3" customHeight="1">
      <x:c r="A104" s="34" t="str">
        <x:v>0003</x:v>
      </x:c>
      <x:c r="B104" s="2" t="str">
        <x:v>West</x:v>
      </x:c>
      <x:c r="C104" s="14" t="d">
        <x:v>2026-12-01T00:00:00.000Z</x:v>
      </x:c>
      <x:c r="D104" s="26" t="n">
        <x:v>257</x:v>
      </x:c>
      <x:c r="E104" s="26" t="n">
        <x:v>200</x:v>
      </x:c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3" customHeight="1">
      <x:c r="A105" s="34" t="str">
        <x:v>0003</x:v>
      </x:c>
      <x:c r="B105" s="2" t="str">
        <x:v>North</x:v>
      </x:c>
      <x:c r="C105" s="14" t="d">
        <x:v>2026-07-01T00:00:00.000Z</x:v>
      </x:c>
      <x:c r="D105" s="26" t="n">
        <x:v>194</x:v>
      </x:c>
      <x:c r="E105" s="26" t="n">
        <x:v>200</x:v>
      </x:c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3" customHeight="1">
      <x:c r="A106" s="34" t="str">
        <x:v>0003</x:v>
      </x:c>
      <x:c r="B106" s="2" t="str">
        <x:v>North</x:v>
      </x:c>
      <x:c r="C106" s="14" t="d">
        <x:v>2026-08-01T00:00:00.000Z</x:v>
      </x:c>
      <x:c r="D106" s="26" t="n">
        <x:v>209</x:v>
      </x:c>
      <x:c r="E106" s="26" t="n">
        <x:v>200</x:v>
      </x:c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3" customHeight="1">
      <x:c r="A107" s="34" t="str">
        <x:v>0003</x:v>
      </x:c>
      <x:c r="B107" s="2" t="str">
        <x:v>North</x:v>
      </x:c>
      <x:c r="C107" s="14" t="d">
        <x:v>2026-09-01T00:00:00.000Z</x:v>
      </x:c>
      <x:c r="D107" s="26" t="n">
        <x:v>224</x:v>
      </x:c>
      <x:c r="E107" s="26" t="n">
        <x:v>200</x:v>
      </x:c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ht="23" customHeight="1">
      <x:c r="A108" s="34" t="str">
        <x:v>0003</x:v>
      </x:c>
      <x:c r="B108" s="2" t="str">
        <x:v>North</x:v>
      </x:c>
      <x:c r="C108" s="14" t="d">
        <x:v>2026-10-01T00:00:00.000Z</x:v>
      </x:c>
      <x:c r="D108" s="26" t="n">
        <x:v>239</x:v>
      </x:c>
      <x:c r="E108" s="26" t="n">
        <x:v>200</x:v>
      </x:c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3" customHeight="1">
      <x:c r="A109" s="34" t="str">
        <x:v>0003</x:v>
      </x:c>
      <x:c r="B109" s="2" t="str">
        <x:v>North</x:v>
      </x:c>
      <x:c r="C109" s="14" t="d">
        <x:v>2026-11-01T00:00:00.000Z</x:v>
      </x:c>
      <x:c r="D109" s="26" t="n">
        <x:v>254</x:v>
      </x:c>
      <x:c r="E109" s="26" t="n">
        <x:v>200</x:v>
      </x:c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3" customHeight="1">
      <x:c r="A110" s="34" t="str">
        <x:v>0003</x:v>
      </x:c>
      <x:c r="B110" s="2" t="str">
        <x:v>North</x:v>
      </x:c>
      <x:c r="C110" s="14" t="d">
        <x:v>2026-12-01T00:00:00.000Z</x:v>
      </x:c>
      <x:c r="D110" s="26" t="n">
        <x:v>269</x:v>
      </x:c>
      <x:c r="E110" s="26" t="n">
        <x:v>200</x:v>
      </x:c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3" customHeight="1">
      <x:c r="A111" s="34" t="str">
        <x:v>0004</x:v>
      </x:c>
      <x:c r="B111" s="2" t="str">
        <x:v>Central</x:v>
      </x:c>
      <x:c r="C111" s="14" t="d">
        <x:v>2026-07-01T00:00:00.000Z</x:v>
      </x:c>
      <x:c r="D111" s="26" t="n">
        <x:v>167</x:v>
      </x:c>
      <x:c r="E111" s="26" t="n">
        <x:v>220</x:v>
      </x:c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3" customHeight="1">
      <x:c r="A112" s="34" t="str">
        <x:v>0004</x:v>
      </x:c>
      <x:c r="B112" s="2" t="str">
        <x:v>Central</x:v>
      </x:c>
      <x:c r="C112" s="14" t="d">
        <x:v>2026-08-01T00:00:00.000Z</x:v>
      </x:c>
      <x:c r="D112" s="26" t="n">
        <x:v>182</x:v>
      </x:c>
      <x:c r="E112" s="26" t="n">
        <x:v>220</x:v>
      </x:c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3" customHeight="1">
      <x:c r="A113" s="34" t="str">
        <x:v>0004</x:v>
      </x:c>
      <x:c r="B113" s="2" t="str">
        <x:v>Central</x:v>
      </x:c>
      <x:c r="C113" s="14" t="d">
        <x:v>2026-09-01T00:00:00.000Z</x:v>
      </x:c>
      <x:c r="D113" s="26" t="n">
        <x:v>197</x:v>
      </x:c>
      <x:c r="E113" s="26" t="n">
        <x:v>220</x:v>
      </x:c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3" customHeight="1">
      <x:c r="A114" s="34" t="str">
        <x:v>0004</x:v>
      </x:c>
      <x:c r="B114" s="2" t="str">
        <x:v>Central</x:v>
      </x:c>
      <x:c r="C114" s="14" t="d">
        <x:v>2026-10-01T00:00:00.000Z</x:v>
      </x:c>
      <x:c r="D114" s="26" t="n">
        <x:v>212</x:v>
      </x:c>
      <x:c r="E114" s="26" t="n">
        <x:v>220</x:v>
      </x:c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3" customHeight="1">
      <x:c r="A115" s="34" t="str">
        <x:v>0004</x:v>
      </x:c>
      <x:c r="B115" s="2" t="str">
        <x:v>Central</x:v>
      </x:c>
      <x:c r="C115" s="14" t="d">
        <x:v>2026-11-01T00:00:00.000Z</x:v>
      </x:c>
      <x:c r="D115" s="26" t="n">
        <x:v>227</x:v>
      </x:c>
      <x:c r="E115" s="26" t="n">
        <x:v>220</x:v>
      </x:c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 ht="23" customHeight="1">
      <x:c r="A116" s="34" t="str">
        <x:v>0004</x:v>
      </x:c>
      <x:c r="B116" s="2" t="str">
        <x:v>Central</x:v>
      </x:c>
      <x:c r="C116" s="14" t="d">
        <x:v>2026-12-01T00:00:00.000Z</x:v>
      </x:c>
      <x:c r="D116" s="26" t="n">
        <x:v>242</x:v>
      </x:c>
      <x:c r="E116" s="26" t="n">
        <x:v>220</x:v>
      </x:c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 ht="23" customHeight="1">
      <x:c r="A117" s="34" t="str">
        <x:v>0004</x:v>
      </x:c>
      <x:c r="B117" s="2" t="str">
        <x:v>East</x:v>
      </x:c>
      <x:c r="C117" s="14" t="d">
        <x:v>2026-07-01T00:00:00.000Z</x:v>
      </x:c>
      <x:c r="D117" s="26" t="n">
        <x:v>179</x:v>
      </x:c>
      <x:c r="E117" s="26" t="n">
        <x:v>220</x:v>
      </x:c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 ht="23" customHeight="1">
      <x:c r="A118" s="34" t="str">
        <x:v>0004</x:v>
      </x:c>
      <x:c r="B118" s="2" t="str">
        <x:v>East</x:v>
      </x:c>
      <x:c r="C118" s="14" t="d">
        <x:v>2026-08-01T00:00:00.000Z</x:v>
      </x:c>
      <x:c r="D118" s="26" t="n">
        <x:v>194</x:v>
      </x:c>
      <x:c r="E118" s="26" t="n">
        <x:v>220</x:v>
      </x:c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 ht="23" customHeight="1">
      <x:c r="A119" s="34" t="str">
        <x:v>0004</x:v>
      </x:c>
      <x:c r="B119" s="2" t="str">
        <x:v>East</x:v>
      </x:c>
      <x:c r="C119" s="14" t="d">
        <x:v>2026-09-01T00:00:00.000Z</x:v>
      </x:c>
      <x:c r="D119" s="26" t="n">
        <x:v>209</x:v>
      </x:c>
      <x:c r="E119" s="26" t="n">
        <x:v>220</x:v>
      </x:c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 ht="23" customHeight="1">
      <x:c r="A120" s="34" t="str">
        <x:v>0004</x:v>
      </x:c>
      <x:c r="B120" s="2" t="str">
        <x:v>East</x:v>
      </x:c>
      <x:c r="C120" s="14" t="d">
        <x:v>2026-10-01T00:00:00.000Z</x:v>
      </x:c>
      <x:c r="D120" s="26" t="n">
        <x:v>224</x:v>
      </x:c>
      <x:c r="E120" s="26" t="n">
        <x:v>220</x:v>
      </x:c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 ht="23" customHeight="1">
      <x:c r="A121" s="34" t="str">
        <x:v>0004</x:v>
      </x:c>
      <x:c r="B121" s="2" t="str">
        <x:v>East</x:v>
      </x:c>
      <x:c r="C121" s="14" t="d">
        <x:v>2026-11-01T00:00:00.000Z</x:v>
      </x:c>
      <x:c r="D121" s="26" t="n">
        <x:v>239</x:v>
      </x:c>
      <x:c r="E121" s="26" t="n">
        <x:v>220</x:v>
      </x:c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 ht="23" customHeight="1">
      <x:c r="A122" s="34" t="str">
        <x:v>0004</x:v>
      </x:c>
      <x:c r="B122" s="2" t="str">
        <x:v>East</x:v>
      </x:c>
      <x:c r="C122" s="14" t="d">
        <x:v>2026-12-01T00:00:00.000Z</x:v>
      </x:c>
      <x:c r="D122" s="26" t="n">
        <x:v>254</x:v>
      </x:c>
      <x:c r="E122" s="26" t="n">
        <x:v>220</x:v>
      </x:c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 ht="23" customHeight="1">
      <x:c r="A123" s="34" t="str">
        <x:v>0004</x:v>
      </x:c>
      <x:c r="B123" s="2" t="str">
        <x:v>West</x:v>
      </x:c>
      <x:c r="C123" s="14" t="d">
        <x:v>2026-07-01T00:00:00.000Z</x:v>
      </x:c>
      <x:c r="D123" s="26" t="n">
        <x:v>191</x:v>
      </x:c>
      <x:c r="E123" s="26" t="n">
        <x:v>220</x:v>
      </x:c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 ht="23" customHeight="1">
      <x:c r="A124" s="34" t="str">
        <x:v>0004</x:v>
      </x:c>
      <x:c r="B124" s="2" t="str">
        <x:v>West</x:v>
      </x:c>
      <x:c r="C124" s="14" t="d">
        <x:v>2026-08-01T00:00:00.000Z</x:v>
      </x:c>
      <x:c r="D124" s="26" t="n">
        <x:v>206</x:v>
      </x:c>
      <x:c r="E124" s="26" t="n">
        <x:v>220</x:v>
      </x:c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 ht="23" customHeight="1">
      <x:c r="A125" s="34" t="str">
        <x:v>0004</x:v>
      </x:c>
      <x:c r="B125" s="2" t="str">
        <x:v>West</x:v>
      </x:c>
      <x:c r="C125" s="14" t="d">
        <x:v>2026-09-01T00:00:00.000Z</x:v>
      </x:c>
      <x:c r="D125" s="26" t="n">
        <x:v>221</x:v>
      </x:c>
      <x:c r="E125" s="26" t="n">
        <x:v>220</x:v>
      </x:c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 ht="23" customHeight="1">
      <x:c r="A126" s="34" t="str">
        <x:v>0004</x:v>
      </x:c>
      <x:c r="B126" s="2" t="str">
        <x:v>West</x:v>
      </x:c>
      <x:c r="C126" s="14" t="d">
        <x:v>2026-10-01T00:00:00.000Z</x:v>
      </x:c>
      <x:c r="D126" s="26" t="n">
        <x:v>236</x:v>
      </x:c>
      <x:c r="E126" s="26" t="n">
        <x:v>220</x:v>
      </x:c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 ht="23" customHeight="1">
      <x:c r="A127" s="34" t="str">
        <x:v>0004</x:v>
      </x:c>
      <x:c r="B127" s="2" t="str">
        <x:v>West</x:v>
      </x:c>
      <x:c r="C127" s="14" t="d">
        <x:v>2026-11-01T00:00:00.000Z</x:v>
      </x:c>
      <x:c r="D127" s="26" t="n">
        <x:v>251</x:v>
      </x:c>
      <x:c r="E127" s="26" t="n">
        <x:v>220</x:v>
      </x:c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 ht="23" customHeight="1">
      <x:c r="A128" s="34" t="str">
        <x:v>0004</x:v>
      </x:c>
      <x:c r="B128" s="2" t="str">
        <x:v>West</x:v>
      </x:c>
      <x:c r="C128" s="14" t="d">
        <x:v>2026-12-01T00:00:00.000Z</x:v>
      </x:c>
      <x:c r="D128" s="26" t="n">
        <x:v>266</x:v>
      </x:c>
      <x:c r="E128" s="26" t="n">
        <x:v>220</x:v>
      </x:c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 ht="23" customHeight="1">
      <x:c r="A129" s="34" t="str">
        <x:v>0004</x:v>
      </x:c>
      <x:c r="B129" s="2" t="str">
        <x:v>North</x:v>
      </x:c>
      <x:c r="C129" s="14" t="d">
        <x:v>2026-07-01T00:00:00.000Z</x:v>
      </x:c>
      <x:c r="D129" s="26" t="n">
        <x:v>203</x:v>
      </x:c>
      <x:c r="E129" s="26" t="n">
        <x:v>220</x:v>
      </x:c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 ht="23" customHeight="1">
      <x:c r="A130" s="34" t="str">
        <x:v>0004</x:v>
      </x:c>
      <x:c r="B130" s="2" t="str">
        <x:v>North</x:v>
      </x:c>
      <x:c r="C130" s="14" t="d">
        <x:v>2026-08-01T00:00:00.000Z</x:v>
      </x:c>
      <x:c r="D130" s="26" t="n">
        <x:v>218</x:v>
      </x:c>
      <x:c r="E130" s="26" t="n">
        <x:v>220</x:v>
      </x:c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 ht="23" customHeight="1">
      <x:c r="A131" s="34" t="str">
        <x:v>0004</x:v>
      </x:c>
      <x:c r="B131" s="2" t="str">
        <x:v>North</x:v>
      </x:c>
      <x:c r="C131" s="14" t="d">
        <x:v>2026-09-01T00:00:00.000Z</x:v>
      </x:c>
      <x:c r="D131" s="26" t="n">
        <x:v>233</x:v>
      </x:c>
      <x:c r="E131" s="26" t="n">
        <x:v>220</x:v>
      </x:c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 ht="23" customHeight="1">
      <x:c r="A132" s="34" t="str">
        <x:v>0004</x:v>
      </x:c>
      <x:c r="B132" s="2" t="str">
        <x:v>North</x:v>
      </x:c>
      <x:c r="C132" s="14" t="d">
        <x:v>2026-10-01T00:00:00.000Z</x:v>
      </x:c>
      <x:c r="D132" s="26" t="n">
        <x:v>248</x:v>
      </x:c>
      <x:c r="E132" s="26" t="n">
        <x:v>220</x:v>
      </x:c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 ht="23" customHeight="1">
      <x:c r="A133" s="34" t="str">
        <x:v>0004</x:v>
      </x:c>
      <x:c r="B133" s="2" t="str">
        <x:v>North</x:v>
      </x:c>
      <x:c r="C133" s="14" t="d">
        <x:v>2026-11-01T00:00:00.000Z</x:v>
      </x:c>
      <x:c r="D133" s="26" t="n">
        <x:v>263</x:v>
      </x:c>
      <x:c r="E133" s="26" t="n">
        <x:v>220</x:v>
      </x:c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 ht="23" customHeight="1">
      <x:c r="A134" s="34" t="str">
        <x:v>0004</x:v>
      </x:c>
      <x:c r="B134" s="2" t="str">
        <x:v>North</x:v>
      </x:c>
      <x:c r="C134" s="14" t="d">
        <x:v>2026-12-01T00:00:00.000Z</x:v>
      </x:c>
      <x:c r="D134" s="26" t="n">
        <x:v>278</x:v>
      </x:c>
      <x:c r="E134" s="26" t="n">
        <x:v>220</x:v>
      </x:c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 ht="23" customHeight="1">
      <x:c r="A135" s="34" t="str">
        <x:v>0005</x:v>
      </x:c>
      <x:c r="B135" s="2" t="str">
        <x:v>Central</x:v>
      </x:c>
      <x:c r="C135" s="14" t="d">
        <x:v>2026-07-01T00:00:00.000Z</x:v>
      </x:c>
      <x:c r="D135" s="26" t="n">
        <x:v>176</x:v>
      </x:c>
      <x:c r="E135" s="26" t="n">
        <x:v>240</x:v>
      </x:c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 ht="23" customHeight="1">
      <x:c r="A136" s="34" t="str">
        <x:v>0005</x:v>
      </x:c>
      <x:c r="B136" s="2" t="str">
        <x:v>Central</x:v>
      </x:c>
      <x:c r="C136" s="14" t="d">
        <x:v>2026-08-01T00:00:00.000Z</x:v>
      </x:c>
      <x:c r="D136" s="26" t="n">
        <x:v>191</x:v>
      </x:c>
      <x:c r="E136" s="26" t="n">
        <x:v>240</x:v>
      </x:c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 ht="23" customHeight="1">
      <x:c r="A137" s="34" t="str">
        <x:v>0005</x:v>
      </x:c>
      <x:c r="B137" s="2" t="str">
        <x:v>Central</x:v>
      </x:c>
      <x:c r="C137" s="14" t="d">
        <x:v>2026-09-01T00:00:00.000Z</x:v>
      </x:c>
      <x:c r="D137" s="26" t="n">
        <x:v>206</x:v>
      </x:c>
      <x:c r="E137" s="26" t="n">
        <x:v>240</x:v>
      </x:c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 ht="23" customHeight="1">
      <x:c r="A138" s="34" t="str">
        <x:v>0005</x:v>
      </x:c>
      <x:c r="B138" s="2" t="str">
        <x:v>Central</x:v>
      </x:c>
      <x:c r="C138" s="14" t="d">
        <x:v>2026-10-01T00:00:00.000Z</x:v>
      </x:c>
      <x:c r="D138" s="26" t="n">
        <x:v>221</x:v>
      </x:c>
      <x:c r="E138" s="26" t="n">
        <x:v>240</x:v>
      </x:c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 ht="23" customHeight="1">
      <x:c r="A139" s="34" t="str">
        <x:v>0005</x:v>
      </x:c>
      <x:c r="B139" s="2" t="str">
        <x:v>Central</x:v>
      </x:c>
      <x:c r="C139" s="14" t="d">
        <x:v>2026-11-01T00:00:00.000Z</x:v>
      </x:c>
      <x:c r="D139" s="26" t="n">
        <x:v>236</x:v>
      </x:c>
      <x:c r="E139" s="26" t="n">
        <x:v>240</x:v>
      </x:c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 ht="23" customHeight="1">
      <x:c r="A140" s="34" t="str">
        <x:v>0005</x:v>
      </x:c>
      <x:c r="B140" s="2" t="str">
        <x:v>Central</x:v>
      </x:c>
      <x:c r="C140" s="14" t="d">
        <x:v>2026-12-01T00:00:00.000Z</x:v>
      </x:c>
      <x:c r="D140" s="26" t="n">
        <x:v>251</x:v>
      </x:c>
      <x:c r="E140" s="26" t="n">
        <x:v>240</x:v>
      </x:c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 ht="23" customHeight="1">
      <x:c r="A141" s="34" t="str">
        <x:v>0005</x:v>
      </x:c>
      <x:c r="B141" s="2" t="str">
        <x:v>East</x:v>
      </x:c>
      <x:c r="C141" s="14" t="d">
        <x:v>2026-07-01T00:00:00.000Z</x:v>
      </x:c>
      <x:c r="D141" s="26" t="n">
        <x:v>188</x:v>
      </x:c>
      <x:c r="E141" s="26" t="n">
        <x:v>240</x:v>
      </x:c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 ht="23" customHeight="1">
      <x:c r="A142" s="34" t="str">
        <x:v>0005</x:v>
      </x:c>
      <x:c r="B142" s="2" t="str">
        <x:v>East</x:v>
      </x:c>
      <x:c r="C142" s="14" t="d">
        <x:v>2026-08-01T00:00:00.000Z</x:v>
      </x:c>
      <x:c r="D142" s="26" t="n">
        <x:v>203</x:v>
      </x:c>
      <x:c r="E142" s="26" t="n">
        <x:v>240</x:v>
      </x:c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 ht="23" customHeight="1">
      <x:c r="A143" s="34" t="str">
        <x:v>0005</x:v>
      </x:c>
      <x:c r="B143" s="2" t="str">
        <x:v>East</x:v>
      </x:c>
      <x:c r="C143" s="14" t="d">
        <x:v>2026-09-01T00:00:00.000Z</x:v>
      </x:c>
      <x:c r="D143" s="26" t="n">
        <x:v>218</x:v>
      </x:c>
      <x:c r="E143" s="26" t="n">
        <x:v>240</x:v>
      </x:c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 ht="23" customHeight="1">
      <x:c r="A144" s="34" t="str">
        <x:v>0005</x:v>
      </x:c>
      <x:c r="B144" s="2" t="str">
        <x:v>East</x:v>
      </x:c>
      <x:c r="C144" s="14" t="d">
        <x:v>2026-10-01T00:00:00.000Z</x:v>
      </x:c>
      <x:c r="D144" s="26" t="n">
        <x:v>233</x:v>
      </x:c>
      <x:c r="E144" s="26" t="n">
        <x:v>240</x:v>
      </x:c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 ht="23" customHeight="1">
      <x:c r="A145" s="34" t="str">
        <x:v>0005</x:v>
      </x:c>
      <x:c r="B145" s="2" t="str">
        <x:v>East</x:v>
      </x:c>
      <x:c r="C145" s="14" t="d">
        <x:v>2026-11-01T00:00:00.000Z</x:v>
      </x:c>
      <x:c r="D145" s="26" t="n">
        <x:v>248</x:v>
      </x:c>
      <x:c r="E145" s="26" t="n">
        <x:v>240</x:v>
      </x:c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 ht="23" customHeight="1">
      <x:c r="A146" s="34" t="str">
        <x:v>0005</x:v>
      </x:c>
      <x:c r="B146" s="2" t="str">
        <x:v>East</x:v>
      </x:c>
      <x:c r="C146" s="14" t="d">
        <x:v>2026-12-01T00:00:00.000Z</x:v>
      </x:c>
      <x:c r="D146" s="26" t="n">
        <x:v>263</x:v>
      </x:c>
      <x:c r="E146" s="26" t="n">
        <x:v>240</x:v>
      </x:c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 ht="23" customHeight="1">
      <x:c r="A147" s="34" t="str">
        <x:v>0005</x:v>
      </x:c>
      <x:c r="B147" s="2" t="str">
        <x:v>West</x:v>
      </x:c>
      <x:c r="C147" s="14" t="d">
        <x:v>2026-07-01T00:00:00.000Z</x:v>
      </x:c>
      <x:c r="D147" s="26" t="n">
        <x:v>200</x:v>
      </x:c>
      <x:c r="E147" s="26" t="n">
        <x:v>240</x:v>
      </x:c>
      <x:c r="F147" s="2"/>
      <x:c r="G147" s="2"/>
      <x:c r="H147" s="2"/>
      <x:c r="I147" s="2"/>
      <x:c r="J147" s="2"/>
      <x:c r="K147" s="2"/>
      <x:c r="L147" s="2"/>
      <x:c r="M147" s="2"/>
      <x:c r="N147" s="2"/>
    </x:row>
    <x:row r="148" ht="23" customHeight="1">
      <x:c r="A148" s="34" t="str">
        <x:v>0005</x:v>
      </x:c>
      <x:c r="B148" s="2" t="str">
        <x:v>West</x:v>
      </x:c>
      <x:c r="C148" s="14" t="d">
        <x:v>2026-08-01T00:00:00.000Z</x:v>
      </x:c>
      <x:c r="D148" s="26" t="n">
        <x:v>215</x:v>
      </x:c>
      <x:c r="E148" s="26" t="n">
        <x:v>240</x:v>
      </x:c>
      <x:c r="F148" s="2"/>
      <x:c r="G148" s="2"/>
      <x:c r="H148" s="2"/>
      <x:c r="I148" s="2"/>
      <x:c r="J148" s="2"/>
      <x:c r="K148" s="2"/>
      <x:c r="L148" s="2"/>
      <x:c r="M148" s="2"/>
      <x:c r="N148" s="2"/>
    </x:row>
    <x:row r="149" ht="23" customHeight="1">
      <x:c r="A149" s="34" t="str">
        <x:v>0005</x:v>
      </x:c>
      <x:c r="B149" s="2" t="str">
        <x:v>West</x:v>
      </x:c>
      <x:c r="C149" s="14" t="d">
        <x:v>2026-09-01T00:00:00.000Z</x:v>
      </x:c>
      <x:c r="D149" s="26" t="n">
        <x:v>230</x:v>
      </x:c>
      <x:c r="E149" s="26" t="n">
        <x:v>240</x:v>
      </x:c>
      <x:c r="F149" s="2"/>
      <x:c r="G149" s="2"/>
      <x:c r="H149" s="2"/>
      <x:c r="I149" s="2"/>
      <x:c r="J149" s="2"/>
      <x:c r="K149" s="2"/>
      <x:c r="L149" s="2"/>
      <x:c r="M149" s="2"/>
      <x:c r="N149" s="2"/>
    </x:row>
    <x:row r="150" ht="23" customHeight="1">
      <x:c r="A150" s="34" t="str">
        <x:v>0005</x:v>
      </x:c>
      <x:c r="B150" s="2" t="str">
        <x:v>West</x:v>
      </x:c>
      <x:c r="C150" s="14" t="d">
        <x:v>2026-10-01T00:00:00.000Z</x:v>
      </x:c>
      <x:c r="D150" s="26" t="n">
        <x:v>245</x:v>
      </x:c>
      <x:c r="E150" s="26" t="n">
        <x:v>240</x:v>
      </x:c>
      <x:c r="F150" s="2"/>
      <x:c r="G150" s="2"/>
      <x:c r="H150" s="2"/>
      <x:c r="I150" s="2"/>
      <x:c r="J150" s="2"/>
      <x:c r="K150" s="2"/>
      <x:c r="L150" s="2"/>
      <x:c r="M150" s="2"/>
      <x:c r="N150" s="2"/>
    </x:row>
    <x:row r="151" ht="23" customHeight="1">
      <x:c r="A151" s="34" t="str">
        <x:v>0005</x:v>
      </x:c>
      <x:c r="B151" s="2" t="str">
        <x:v>West</x:v>
      </x:c>
      <x:c r="C151" s="14" t="d">
        <x:v>2026-11-01T00:00:00.000Z</x:v>
      </x:c>
      <x:c r="D151" s="26" t="n">
        <x:v>260</x:v>
      </x:c>
      <x:c r="E151" s="26" t="n">
        <x:v>240</x:v>
      </x:c>
      <x:c r="F151" s="2"/>
      <x:c r="G151" s="2"/>
      <x:c r="H151" s="2"/>
      <x:c r="I151" s="2"/>
      <x:c r="J151" s="2"/>
      <x:c r="K151" s="2"/>
      <x:c r="L151" s="2"/>
      <x:c r="M151" s="2"/>
      <x:c r="N151" s="2"/>
    </x:row>
    <x:row r="152" ht="23" customHeight="1">
      <x:c r="A152" s="34" t="str">
        <x:v>0005</x:v>
      </x:c>
      <x:c r="B152" s="2" t="str">
        <x:v>West</x:v>
      </x:c>
      <x:c r="C152" s="14" t="d">
        <x:v>2026-12-01T00:00:00.000Z</x:v>
      </x:c>
      <x:c r="D152" s="26" t="n">
        <x:v>275</x:v>
      </x:c>
      <x:c r="E152" s="26" t="n">
        <x:v>240</x:v>
      </x:c>
      <x:c r="F152" s="2"/>
      <x:c r="G152" s="2"/>
      <x:c r="H152" s="2"/>
      <x:c r="I152" s="2"/>
      <x:c r="J152" s="2"/>
      <x:c r="K152" s="2"/>
      <x:c r="L152" s="2"/>
      <x:c r="M152" s="2"/>
      <x:c r="N152" s="2"/>
    </x:row>
    <x:row r="153" ht="23" customHeight="1">
      <x:c r="A153" s="34" t="str">
        <x:v>0005</x:v>
      </x:c>
      <x:c r="B153" s="2" t="str">
        <x:v>North</x:v>
      </x:c>
      <x:c r="C153" s="14" t="d">
        <x:v>2026-07-01T00:00:00.000Z</x:v>
      </x:c>
      <x:c r="D153" s="26" t="n">
        <x:v>212</x:v>
      </x:c>
      <x:c r="E153" s="26" t="n">
        <x:v>240</x:v>
      </x:c>
      <x:c r="F153" s="2"/>
      <x:c r="G153" s="2"/>
      <x:c r="H153" s="2"/>
      <x:c r="I153" s="2"/>
      <x:c r="J153" s="2"/>
      <x:c r="K153" s="2"/>
      <x:c r="L153" s="2"/>
      <x:c r="M153" s="2"/>
      <x:c r="N153" s="2"/>
    </x:row>
    <x:row r="154" ht="23" customHeight="1">
      <x:c r="A154" s="34" t="str">
        <x:v>0005</x:v>
      </x:c>
      <x:c r="B154" s="2" t="str">
        <x:v>North</x:v>
      </x:c>
      <x:c r="C154" s="14" t="d">
        <x:v>2026-08-01T00:00:00.000Z</x:v>
      </x:c>
      <x:c r="D154" s="26" t="n">
        <x:v>227</x:v>
      </x:c>
      <x:c r="E154" s="26" t="n">
        <x:v>240</x:v>
      </x:c>
      <x:c r="F154" s="2"/>
      <x:c r="G154" s="2"/>
      <x:c r="H154" s="2"/>
      <x:c r="I154" s="2"/>
      <x:c r="J154" s="2"/>
      <x:c r="K154" s="2"/>
      <x:c r="L154" s="2"/>
      <x:c r="M154" s="2"/>
      <x:c r="N154" s="2"/>
    </x:row>
    <x:row r="155" ht="23" customHeight="1">
      <x:c r="A155" s="34" t="str">
        <x:v>0005</x:v>
      </x:c>
      <x:c r="B155" s="2" t="str">
        <x:v>North</x:v>
      </x:c>
      <x:c r="C155" s="14" t="d">
        <x:v>2026-09-01T00:00:00.000Z</x:v>
      </x:c>
      <x:c r="D155" s="26" t="n">
        <x:v>242</x:v>
      </x:c>
      <x:c r="E155" s="26" t="n">
        <x:v>240</x:v>
      </x:c>
      <x:c r="F155" s="2"/>
      <x:c r="G155" s="2"/>
      <x:c r="H155" s="2"/>
      <x:c r="I155" s="2"/>
      <x:c r="J155" s="2"/>
      <x:c r="K155" s="2"/>
      <x:c r="L155" s="2"/>
      <x:c r="M155" s="2"/>
      <x:c r="N155" s="2"/>
    </x:row>
    <x:row r="156" ht="23" customHeight="1">
      <x:c r="A156" s="34" t="str">
        <x:v>0005</x:v>
      </x:c>
      <x:c r="B156" s="2" t="str">
        <x:v>North</x:v>
      </x:c>
      <x:c r="C156" s="14" t="d">
        <x:v>2026-10-01T00:00:00.000Z</x:v>
      </x:c>
      <x:c r="D156" s="26" t="n">
        <x:v>257</x:v>
      </x:c>
      <x:c r="E156" s="26" t="n">
        <x:v>240</x:v>
      </x:c>
      <x:c r="F156" s="2"/>
      <x:c r="G156" s="2"/>
      <x:c r="H156" s="2"/>
      <x:c r="I156" s="2"/>
      <x:c r="J156" s="2"/>
      <x:c r="K156" s="2"/>
      <x:c r="L156" s="2"/>
      <x:c r="M156" s="2"/>
      <x:c r="N156" s="2"/>
    </x:row>
    <x:row r="157" ht="23" customHeight="1">
      <x:c r="A157" s="34" t="str">
        <x:v>0005</x:v>
      </x:c>
      <x:c r="B157" s="2" t="str">
        <x:v>North</x:v>
      </x:c>
      <x:c r="C157" s="14" t="d">
        <x:v>2026-11-01T00:00:00.000Z</x:v>
      </x:c>
      <x:c r="D157" s="26" t="n">
        <x:v>272</x:v>
      </x:c>
      <x:c r="E157" s="26" t="n">
        <x:v>240</x:v>
      </x:c>
      <x:c r="F157" s="2"/>
      <x:c r="G157" s="2"/>
      <x:c r="H157" s="2"/>
      <x:c r="I157" s="2"/>
      <x:c r="J157" s="2"/>
      <x:c r="K157" s="2"/>
      <x:c r="L157" s="2"/>
      <x:c r="M157" s="2"/>
      <x:c r="N157" s="2"/>
    </x:row>
    <x:row r="158" ht="23" customHeight="1">
      <x:c r="A158" s="34" t="str">
        <x:v>0005</x:v>
      </x:c>
      <x:c r="B158" s="2" t="str">
        <x:v>North</x:v>
      </x:c>
      <x:c r="C158" s="14" t="d">
        <x:v>2026-12-01T00:00:00.000Z</x:v>
      </x:c>
      <x:c r="D158" s="26" t="n">
        <x:v>287</x:v>
      </x:c>
      <x:c r="E158" s="26" t="n">
        <x:v>240</x:v>
      </x:c>
      <x:c r="F158" s="2"/>
      <x:c r="G158" s="2"/>
      <x:c r="H158" s="2"/>
      <x:c r="I158" s="2"/>
      <x:c r="J158" s="2"/>
      <x:c r="K158" s="2"/>
      <x:c r="L158" s="2"/>
      <x:c r="M158" s="2"/>
      <x:c r="N158" s="2"/>
    </x:row>
    <x:row r="159" ht="23" customHeight="1">
      <x:c r="A159" s="34" t="str">
        <x:v>0006</x:v>
      </x:c>
      <x:c r="B159" s="2" t="str">
        <x:v>Central</x:v>
      </x:c>
      <x:c r="C159" s="14" t="d">
        <x:v>2026-07-01T00:00:00.000Z</x:v>
      </x:c>
      <x:c r="D159" s="26" t="n">
        <x:v>185</x:v>
      </x:c>
      <x:c r="E159" s="26" t="n">
        <x:v>260</x:v>
      </x:c>
      <x:c r="F159" s="2"/>
      <x:c r="G159" s="2"/>
      <x:c r="H159" s="2"/>
      <x:c r="I159" s="2"/>
      <x:c r="J159" s="2"/>
      <x:c r="K159" s="2"/>
      <x:c r="L159" s="2"/>
      <x:c r="M159" s="2"/>
      <x:c r="N159" s="2"/>
    </x:row>
    <x:row r="160" ht="23" customHeight="1">
      <x:c r="A160" s="34" t="str">
        <x:v>0006</x:v>
      </x:c>
      <x:c r="B160" s="2" t="str">
        <x:v>Central</x:v>
      </x:c>
      <x:c r="C160" s="14" t="d">
        <x:v>2026-08-01T00:00:00.000Z</x:v>
      </x:c>
      <x:c r="D160" s="26" t="n">
        <x:v>200</x:v>
      </x:c>
      <x:c r="E160" s="26" t="n">
        <x:v>260</x:v>
      </x:c>
      <x:c r="F160" s="2"/>
      <x:c r="G160" s="2"/>
      <x:c r="H160" s="2"/>
      <x:c r="I160" s="2"/>
      <x:c r="J160" s="2"/>
      <x:c r="K160" s="2"/>
      <x:c r="L160" s="2"/>
      <x:c r="M160" s="2"/>
      <x:c r="N160" s="2"/>
    </x:row>
    <x:row r="161" ht="23" customHeight="1">
      <x:c r="A161" s="34" t="str">
        <x:v>0006</x:v>
      </x:c>
      <x:c r="B161" s="2" t="str">
        <x:v>Central</x:v>
      </x:c>
      <x:c r="C161" s="14" t="d">
        <x:v>2026-09-01T00:00:00.000Z</x:v>
      </x:c>
      <x:c r="D161" s="26" t="n">
        <x:v>215</x:v>
      </x:c>
      <x:c r="E161" s="26" t="n">
        <x:v>260</x:v>
      </x:c>
      <x:c r="F161" s="2"/>
      <x:c r="G161" s="2"/>
      <x:c r="H161" s="2"/>
      <x:c r="I161" s="2"/>
      <x:c r="J161" s="2"/>
      <x:c r="K161" s="2"/>
      <x:c r="L161" s="2"/>
      <x:c r="M161" s="2"/>
      <x:c r="N161" s="2"/>
    </x:row>
    <x:row r="162" ht="23" customHeight="1">
      <x:c r="A162" s="34" t="str">
        <x:v>0006</x:v>
      </x:c>
      <x:c r="B162" s="2" t="str">
        <x:v>Central</x:v>
      </x:c>
      <x:c r="C162" s="14" t="d">
        <x:v>2026-10-01T00:00:00.000Z</x:v>
      </x:c>
      <x:c r="D162" s="26" t="n">
        <x:v>230</x:v>
      </x:c>
      <x:c r="E162" s="26" t="n">
        <x:v>260</x:v>
      </x:c>
      <x:c r="F162" s="2"/>
      <x:c r="G162" s="2"/>
      <x:c r="H162" s="2"/>
      <x:c r="I162" s="2"/>
      <x:c r="J162" s="2"/>
      <x:c r="K162" s="2"/>
      <x:c r="L162" s="2"/>
      <x:c r="M162" s="2"/>
      <x:c r="N162" s="2"/>
    </x:row>
    <x:row r="163" ht="23" customHeight="1">
      <x:c r="A163" s="34" t="str">
        <x:v>0006</x:v>
      </x:c>
      <x:c r="B163" s="2" t="str">
        <x:v>Central</x:v>
      </x:c>
      <x:c r="C163" s="14" t="d">
        <x:v>2026-11-01T00:00:00.000Z</x:v>
      </x:c>
      <x:c r="D163" s="26" t="n">
        <x:v>245</x:v>
      </x:c>
      <x:c r="E163" s="26" t="n">
        <x:v>260</x:v>
      </x:c>
      <x:c r="F163" s="2"/>
      <x:c r="G163" s="2"/>
      <x:c r="H163" s="2"/>
      <x:c r="I163" s="2"/>
      <x:c r="J163" s="2"/>
      <x:c r="K163" s="2"/>
      <x:c r="L163" s="2"/>
      <x:c r="M163" s="2"/>
      <x:c r="N163" s="2"/>
    </x:row>
    <x:row r="164" ht="23" customHeight="1">
      <x:c r="A164" s="34" t="str">
        <x:v>0006</x:v>
      </x:c>
      <x:c r="B164" s="2" t="str">
        <x:v>Central</x:v>
      </x:c>
      <x:c r="C164" s="14" t="d">
        <x:v>2026-12-01T00:00:00.000Z</x:v>
      </x:c>
      <x:c r="D164" s="26" t="n">
        <x:v>260</x:v>
      </x:c>
      <x:c r="E164" s="26" t="n">
        <x:v>260</x:v>
      </x:c>
      <x:c r="F164" s="2"/>
      <x:c r="G164" s="2"/>
      <x:c r="H164" s="2"/>
      <x:c r="I164" s="2"/>
      <x:c r="J164" s="2"/>
      <x:c r="K164" s="2"/>
      <x:c r="L164" s="2"/>
      <x:c r="M164" s="2"/>
      <x:c r="N164" s="2"/>
    </x:row>
    <x:row r="165" ht="23" customHeight="1">
      <x:c r="A165" s="34" t="str">
        <x:v>0006</x:v>
      </x:c>
      <x:c r="B165" s="2" t="str">
        <x:v>East</x:v>
      </x:c>
      <x:c r="C165" s="14" t="d">
        <x:v>2026-07-01T00:00:00.000Z</x:v>
      </x:c>
      <x:c r="D165" s="26" t="n">
        <x:v>197</x:v>
      </x:c>
      <x:c r="E165" s="26" t="n">
        <x:v>260</x:v>
      </x:c>
      <x:c r="F165" s="2"/>
      <x:c r="G165" s="2"/>
      <x:c r="H165" s="2"/>
      <x:c r="I165" s="2"/>
      <x:c r="J165" s="2"/>
      <x:c r="K165" s="2"/>
      <x:c r="L165" s="2"/>
      <x:c r="M165" s="2"/>
      <x:c r="N165" s="2"/>
    </x:row>
    <x:row r="166" ht="23" customHeight="1">
      <x:c r="A166" s="34" t="str">
        <x:v>0006</x:v>
      </x:c>
      <x:c r="B166" s="2" t="str">
        <x:v>East</x:v>
      </x:c>
      <x:c r="C166" s="14" t="d">
        <x:v>2026-08-01T00:00:00.000Z</x:v>
      </x:c>
      <x:c r="D166" s="26" t="n">
        <x:v>212</x:v>
      </x:c>
      <x:c r="E166" s="26" t="n">
        <x:v>260</x:v>
      </x:c>
      <x:c r="F166" s="2"/>
      <x:c r="G166" s="2"/>
      <x:c r="H166" s="2"/>
      <x:c r="I166" s="2"/>
      <x:c r="J166" s="2"/>
      <x:c r="K166" s="2"/>
      <x:c r="L166" s="2"/>
      <x:c r="M166" s="2"/>
      <x:c r="N166" s="2"/>
    </x:row>
    <x:row r="167" ht="23" customHeight="1">
      <x:c r="A167" s="34" t="str">
        <x:v>0006</x:v>
      </x:c>
      <x:c r="B167" s="2" t="str">
        <x:v>East</x:v>
      </x:c>
      <x:c r="C167" s="14" t="d">
        <x:v>2026-09-01T00:00:00.000Z</x:v>
      </x:c>
      <x:c r="D167" s="26" t="n">
        <x:v>227</x:v>
      </x:c>
      <x:c r="E167" s="26" t="n">
        <x:v>260</x:v>
      </x:c>
      <x:c r="F167" s="2"/>
      <x:c r="G167" s="2"/>
      <x:c r="H167" s="2"/>
      <x:c r="I167" s="2"/>
      <x:c r="J167" s="2"/>
      <x:c r="K167" s="2"/>
      <x:c r="L167" s="2"/>
      <x:c r="M167" s="2"/>
      <x:c r="N167" s="2"/>
    </x:row>
    <x:row r="168" ht="23" customHeight="1">
      <x:c r="A168" s="34" t="str">
        <x:v>0006</x:v>
      </x:c>
      <x:c r="B168" s="2" t="str">
        <x:v>East</x:v>
      </x:c>
      <x:c r="C168" s="14" t="d">
        <x:v>2026-10-01T00:00:00.000Z</x:v>
      </x:c>
      <x:c r="D168" s="26" t="n">
        <x:v>242</x:v>
      </x:c>
      <x:c r="E168" s="26" t="n">
        <x:v>260</x:v>
      </x:c>
      <x:c r="F168" s="2"/>
      <x:c r="G168" s="2"/>
      <x:c r="H168" s="2"/>
      <x:c r="I168" s="2"/>
      <x:c r="J168" s="2"/>
      <x:c r="K168" s="2"/>
      <x:c r="L168" s="2"/>
      <x:c r="M168" s="2"/>
      <x:c r="N168" s="2"/>
    </x:row>
    <x:row r="169" ht="23" customHeight="1">
      <x:c r="A169" s="34" t="str">
        <x:v>0006</x:v>
      </x:c>
      <x:c r="B169" s="2" t="str">
        <x:v>East</x:v>
      </x:c>
      <x:c r="C169" s="14" t="d">
        <x:v>2026-11-01T00:00:00.000Z</x:v>
      </x:c>
      <x:c r="D169" s="26" t="n">
        <x:v>257</x:v>
      </x:c>
      <x:c r="E169" s="26" t="n">
        <x:v>260</x:v>
      </x:c>
      <x:c r="F169" s="2"/>
      <x:c r="G169" s="2"/>
      <x:c r="H169" s="2"/>
      <x:c r="I169" s="2"/>
      <x:c r="J169" s="2"/>
      <x:c r="K169" s="2"/>
      <x:c r="L169" s="2"/>
      <x:c r="M169" s="2"/>
      <x:c r="N169" s="2"/>
    </x:row>
    <x:row r="170" ht="23" customHeight="1">
      <x:c r="A170" s="34" t="str">
        <x:v>0006</x:v>
      </x:c>
      <x:c r="B170" s="2" t="str">
        <x:v>East</x:v>
      </x:c>
      <x:c r="C170" s="14" t="d">
        <x:v>2026-12-01T00:00:00.000Z</x:v>
      </x:c>
      <x:c r="D170" s="26" t="n">
        <x:v>272</x:v>
      </x:c>
      <x:c r="E170" s="26" t="n">
        <x:v>260</x:v>
      </x:c>
      <x:c r="F170" s="2"/>
      <x:c r="G170" s="2"/>
      <x:c r="H170" s="2"/>
      <x:c r="I170" s="2"/>
      <x:c r="J170" s="2"/>
      <x:c r="K170" s="2"/>
      <x:c r="L170" s="2"/>
      <x:c r="M170" s="2"/>
      <x:c r="N170" s="2"/>
    </x:row>
    <x:row r="171" ht="23" customHeight="1">
      <x:c r="A171" s="34" t="str">
        <x:v>0006</x:v>
      </x:c>
      <x:c r="B171" s="2" t="str">
        <x:v>West</x:v>
      </x:c>
      <x:c r="C171" s="14" t="d">
        <x:v>2026-07-01T00:00:00.000Z</x:v>
      </x:c>
      <x:c r="D171" s="26" t="n">
        <x:v>209</x:v>
      </x:c>
      <x:c r="E171" s="26" t="n">
        <x:v>260</x:v>
      </x:c>
      <x:c r="F171" s="2"/>
      <x:c r="G171" s="2"/>
      <x:c r="H171" s="2"/>
      <x:c r="I171" s="2"/>
      <x:c r="J171" s="2"/>
      <x:c r="K171" s="2"/>
      <x:c r="L171" s="2"/>
      <x:c r="M171" s="2"/>
      <x:c r="N171" s="2"/>
    </x:row>
    <x:row r="172" ht="23" customHeight="1">
      <x:c r="A172" s="34" t="str">
        <x:v>0006</x:v>
      </x:c>
      <x:c r="B172" s="2" t="str">
        <x:v>West</x:v>
      </x:c>
      <x:c r="C172" s="14" t="d">
        <x:v>2026-08-01T00:00:00.000Z</x:v>
      </x:c>
      <x:c r="D172" s="26" t="n">
        <x:v>224</x:v>
      </x:c>
      <x:c r="E172" s="26" t="n">
        <x:v>260</x:v>
      </x:c>
      <x:c r="F172" s="2"/>
      <x:c r="G172" s="2"/>
      <x:c r="H172" s="2"/>
      <x:c r="I172" s="2"/>
      <x:c r="J172" s="2"/>
      <x:c r="K172" s="2"/>
      <x:c r="L172" s="2"/>
      <x:c r="M172" s="2"/>
      <x:c r="N172" s="2"/>
    </x:row>
    <x:row r="173" ht="23" customHeight="1">
      <x:c r="A173" s="34" t="str">
        <x:v>0006</x:v>
      </x:c>
      <x:c r="B173" s="2" t="str">
        <x:v>West</x:v>
      </x:c>
      <x:c r="C173" s="14" t="d">
        <x:v>2026-09-01T00:00:00.000Z</x:v>
      </x:c>
      <x:c r="D173" s="26" t="n">
        <x:v>239</x:v>
      </x:c>
      <x:c r="E173" s="26" t="n">
        <x:v>260</x:v>
      </x:c>
      <x:c r="F173" s="2"/>
      <x:c r="G173" s="2"/>
      <x:c r="H173" s="2"/>
      <x:c r="I173" s="2"/>
      <x:c r="J173" s="2"/>
      <x:c r="K173" s="2"/>
      <x:c r="L173" s="2"/>
      <x:c r="M173" s="2"/>
      <x:c r="N173" s="2"/>
    </x:row>
    <x:row r="174" ht="23" customHeight="1">
      <x:c r="A174" s="34" t="str">
        <x:v>0006</x:v>
      </x:c>
      <x:c r="B174" s="2" t="str">
        <x:v>West</x:v>
      </x:c>
      <x:c r="C174" s="14" t="d">
        <x:v>2026-10-01T00:00:00.000Z</x:v>
      </x:c>
      <x:c r="D174" s="26" t="n">
        <x:v>254</x:v>
      </x:c>
      <x:c r="E174" s="26" t="n">
        <x:v>260</x:v>
      </x:c>
      <x:c r="F174" s="2"/>
      <x:c r="G174" s="2"/>
      <x:c r="H174" s="2"/>
      <x:c r="I174" s="2"/>
      <x:c r="J174" s="2"/>
      <x:c r="K174" s="2"/>
      <x:c r="L174" s="2"/>
      <x:c r="M174" s="2"/>
      <x:c r="N174" s="2"/>
    </x:row>
    <x:row r="175" ht="23" customHeight="1">
      <x:c r="A175" s="34" t="str">
        <x:v>0006</x:v>
      </x:c>
      <x:c r="B175" s="2" t="str">
        <x:v>West</x:v>
      </x:c>
      <x:c r="C175" s="14" t="d">
        <x:v>2026-11-01T00:00:00.000Z</x:v>
      </x:c>
      <x:c r="D175" s="26" t="n">
        <x:v>269</x:v>
      </x:c>
      <x:c r="E175" s="26" t="n">
        <x:v>260</x:v>
      </x:c>
      <x:c r="F175" s="2"/>
      <x:c r="G175" s="2"/>
      <x:c r="H175" s="2"/>
      <x:c r="I175" s="2"/>
      <x:c r="J175" s="2"/>
      <x:c r="K175" s="2"/>
      <x:c r="L175" s="2"/>
      <x:c r="M175" s="2"/>
      <x:c r="N175" s="2"/>
    </x:row>
    <x:row r="176" ht="23" customHeight="1">
      <x:c r="A176" s="34" t="str">
        <x:v>0006</x:v>
      </x:c>
      <x:c r="B176" s="2" t="str">
        <x:v>West</x:v>
      </x:c>
      <x:c r="C176" s="14" t="d">
        <x:v>2026-12-01T00:00:00.000Z</x:v>
      </x:c>
      <x:c r="D176" s="26" t="n">
        <x:v>284</x:v>
      </x:c>
      <x:c r="E176" s="26" t="n">
        <x:v>260</x:v>
      </x:c>
      <x:c r="F176" s="2"/>
      <x:c r="G176" s="2"/>
      <x:c r="H176" s="2"/>
      <x:c r="I176" s="2"/>
      <x:c r="J176" s="2"/>
      <x:c r="K176" s="2"/>
      <x:c r="L176" s="2"/>
      <x:c r="M176" s="2"/>
      <x:c r="N176" s="2"/>
    </x:row>
    <x:row r="177" ht="23" customHeight="1">
      <x:c r="A177" s="34" t="str">
        <x:v>0006</x:v>
      </x:c>
      <x:c r="B177" s="2" t="str">
        <x:v>North</x:v>
      </x:c>
      <x:c r="C177" s="14" t="d">
        <x:v>2026-07-01T00:00:00.000Z</x:v>
      </x:c>
      <x:c r="D177" s="26" t="n">
        <x:v>221</x:v>
      </x:c>
      <x:c r="E177" s="26" t="n">
        <x:v>260</x:v>
      </x:c>
      <x:c r="F177" s="2"/>
      <x:c r="G177" s="2"/>
      <x:c r="H177" s="2"/>
      <x:c r="I177" s="2"/>
      <x:c r="J177" s="2"/>
      <x:c r="K177" s="2"/>
      <x:c r="L177" s="2"/>
      <x:c r="M177" s="2"/>
      <x:c r="N177" s="2"/>
    </x:row>
    <x:row r="178" ht="23" customHeight="1">
      <x:c r="A178" s="34" t="str">
        <x:v>0006</x:v>
      </x:c>
      <x:c r="B178" s="2" t="str">
        <x:v>North</x:v>
      </x:c>
      <x:c r="C178" s="14" t="d">
        <x:v>2026-08-01T00:00:00.000Z</x:v>
      </x:c>
      <x:c r="D178" s="26" t="n">
        <x:v>236</x:v>
      </x:c>
      <x:c r="E178" s="26" t="n">
        <x:v>260</x:v>
      </x:c>
      <x:c r="F178" s="2"/>
      <x:c r="G178" s="2"/>
      <x:c r="H178" s="2"/>
      <x:c r="I178" s="2"/>
      <x:c r="J178" s="2"/>
      <x:c r="K178" s="2"/>
      <x:c r="L178" s="2"/>
      <x:c r="M178" s="2"/>
      <x:c r="N178" s="2"/>
    </x:row>
    <x:row r="179" ht="23" customHeight="1">
      <x:c r="A179" s="34" t="str">
        <x:v>0006</x:v>
      </x:c>
      <x:c r="B179" s="2" t="str">
        <x:v>North</x:v>
      </x:c>
      <x:c r="C179" s="14" t="d">
        <x:v>2026-09-01T00:00:00.000Z</x:v>
      </x:c>
      <x:c r="D179" s="26" t="n">
        <x:v>251</x:v>
      </x:c>
      <x:c r="E179" s="26" t="n">
        <x:v>260</x:v>
      </x:c>
      <x:c r="F179" s="2"/>
      <x:c r="G179" s="2"/>
      <x:c r="H179" s="2"/>
      <x:c r="I179" s="2"/>
      <x:c r="J179" s="2"/>
      <x:c r="K179" s="2"/>
      <x:c r="L179" s="2"/>
      <x:c r="M179" s="2"/>
      <x:c r="N179" s="2"/>
    </x:row>
    <x:row r="180" ht="23" customHeight="1">
      <x:c r="A180" s="34" t="str">
        <x:v>0006</x:v>
      </x:c>
      <x:c r="B180" s="2" t="str">
        <x:v>North</x:v>
      </x:c>
      <x:c r="C180" s="14" t="d">
        <x:v>2026-10-01T00:00:00.000Z</x:v>
      </x:c>
      <x:c r="D180" s="26" t="n">
        <x:v>266</x:v>
      </x:c>
      <x:c r="E180" s="26" t="n">
        <x:v>260</x:v>
      </x:c>
      <x:c r="F180" s="2"/>
      <x:c r="G180" s="2"/>
      <x:c r="H180" s="2"/>
      <x:c r="I180" s="2"/>
      <x:c r="J180" s="2"/>
      <x:c r="K180" s="2"/>
      <x:c r="L180" s="2"/>
      <x:c r="M180" s="2"/>
      <x:c r="N180" s="2"/>
    </x:row>
    <x:row r="181" ht="23" customHeight="1">
      <x:c r="A181" s="34" t="str">
        <x:v>0006</x:v>
      </x:c>
      <x:c r="B181" s="2" t="str">
        <x:v>North</x:v>
      </x:c>
      <x:c r="C181" s="14" t="d">
        <x:v>2026-11-01T00:00:00.000Z</x:v>
      </x:c>
      <x:c r="D181" s="26" t="n">
        <x:v>281</x:v>
      </x:c>
      <x:c r="E181" s="26" t="n">
        <x:v>260</x:v>
      </x:c>
      <x:c r="F181" s="2"/>
      <x:c r="G181" s="2"/>
      <x:c r="H181" s="2"/>
      <x:c r="I181" s="2"/>
      <x:c r="J181" s="2"/>
      <x:c r="K181" s="2"/>
      <x:c r="L181" s="2"/>
      <x:c r="M181" s="2"/>
      <x:c r="N181" s="2"/>
    </x:row>
    <x:row r="182" ht="23" customHeight="1">
      <x:c r="A182" s="34" t="str">
        <x:v>0006</x:v>
      </x:c>
      <x:c r="B182" s="2" t="str">
        <x:v>North</x:v>
      </x:c>
      <x:c r="C182" s="14" t="d">
        <x:v>2026-12-01T00:00:00.000Z</x:v>
      </x:c>
      <x:c r="D182" s="26" t="n">
        <x:v>296</x:v>
      </x:c>
      <x:c r="E182" s="26" t="n">
        <x:v>260</x:v>
      </x:c>
      <x:c r="F182" s="2"/>
      <x:c r="G182" s="2"/>
      <x:c r="H182" s="2"/>
      <x:c r="I182" s="2"/>
      <x:c r="J182" s="2"/>
      <x:c r="K182" s="2"/>
      <x:c r="L182" s="2"/>
      <x:c r="M182" s="2"/>
      <x:c r="N182" s="2"/>
    </x:row>
    <x:row r="183" ht="23" customHeight="1">
      <x:c r="A183" s="34" t="str">
        <x:v>0007</x:v>
      </x:c>
      <x:c r="B183" s="2" t="str">
        <x:v>Central</x:v>
      </x:c>
      <x:c r="C183" s="14" t="d">
        <x:v>2026-07-01T00:00:00.000Z</x:v>
      </x:c>
      <x:c r="D183" s="26" t="n">
        <x:v>194</x:v>
      </x:c>
      <x:c r="E183" s="26" t="n">
        <x:v>280</x:v>
      </x:c>
      <x:c r="F183" s="2"/>
      <x:c r="G183" s="2"/>
      <x:c r="H183" s="2"/>
      <x:c r="I183" s="2"/>
      <x:c r="J183" s="2"/>
      <x:c r="K183" s="2"/>
      <x:c r="L183" s="2"/>
      <x:c r="M183" s="2"/>
      <x:c r="N183" s="2"/>
    </x:row>
    <x:row r="184" ht="23" customHeight="1">
      <x:c r="A184" s="34" t="str">
        <x:v>0007</x:v>
      </x:c>
      <x:c r="B184" s="2" t="str">
        <x:v>Central</x:v>
      </x:c>
      <x:c r="C184" s="14" t="d">
        <x:v>2026-08-01T00:00:00.000Z</x:v>
      </x:c>
      <x:c r="D184" s="26" t="n">
        <x:v>209</x:v>
      </x:c>
      <x:c r="E184" s="26" t="n">
        <x:v>280</x:v>
      </x:c>
      <x:c r="F184" s="2"/>
      <x:c r="G184" s="2"/>
      <x:c r="H184" s="2"/>
      <x:c r="I184" s="2"/>
      <x:c r="J184" s="2"/>
      <x:c r="K184" s="2"/>
      <x:c r="L184" s="2"/>
      <x:c r="M184" s="2"/>
      <x:c r="N184" s="2"/>
    </x:row>
    <x:row r="185" ht="23" customHeight="1">
      <x:c r="A185" s="34" t="str">
        <x:v>0007</x:v>
      </x:c>
      <x:c r="B185" s="2" t="str">
        <x:v>Central</x:v>
      </x:c>
      <x:c r="C185" s="14" t="d">
        <x:v>2026-09-01T00:00:00.000Z</x:v>
      </x:c>
      <x:c r="D185" s="26" t="n">
        <x:v>224</x:v>
      </x:c>
      <x:c r="E185" s="26" t="n">
        <x:v>280</x:v>
      </x:c>
      <x:c r="F185" s="2"/>
      <x:c r="G185" s="2"/>
      <x:c r="H185" s="2"/>
      <x:c r="I185" s="2"/>
      <x:c r="J185" s="2"/>
      <x:c r="K185" s="2"/>
      <x:c r="L185" s="2"/>
      <x:c r="M185" s="2"/>
      <x:c r="N185" s="2"/>
    </x:row>
    <x:row r="186" ht="23" customHeight="1">
      <x:c r="A186" s="34" t="str">
        <x:v>0007</x:v>
      </x:c>
      <x:c r="B186" s="2" t="str">
        <x:v>Central</x:v>
      </x:c>
      <x:c r="C186" s="14" t="d">
        <x:v>2026-10-01T00:00:00.000Z</x:v>
      </x:c>
      <x:c r="D186" s="26" t="n">
        <x:v>239</x:v>
      </x:c>
      <x:c r="E186" s="26" t="n">
        <x:v>280</x:v>
      </x:c>
      <x:c r="F186" s="2"/>
      <x:c r="G186" s="2"/>
      <x:c r="H186" s="2"/>
      <x:c r="I186" s="2"/>
      <x:c r="J186" s="2"/>
      <x:c r="K186" s="2"/>
      <x:c r="L186" s="2"/>
      <x:c r="M186" s="2"/>
      <x:c r="N186" s="2"/>
    </x:row>
    <x:row r="187" ht="23" customHeight="1">
      <x:c r="A187" s="34" t="str">
        <x:v>0007</x:v>
      </x:c>
      <x:c r="B187" s="2" t="str">
        <x:v>Central</x:v>
      </x:c>
      <x:c r="C187" s="14" t="d">
        <x:v>2026-11-01T00:00:00.000Z</x:v>
      </x:c>
      <x:c r="D187" s="26" t="n">
        <x:v>254</x:v>
      </x:c>
      <x:c r="E187" s="26" t="n">
        <x:v>280</x:v>
      </x:c>
      <x:c r="F187" s="2"/>
      <x:c r="G187" s="2"/>
      <x:c r="H187" s="2"/>
      <x:c r="I187" s="2"/>
      <x:c r="J187" s="2"/>
      <x:c r="K187" s="2"/>
      <x:c r="L187" s="2"/>
      <x:c r="M187" s="2"/>
      <x:c r="N187" s="2"/>
    </x:row>
    <x:row r="188" ht="23" customHeight="1">
      <x:c r="A188" s="34" t="str">
        <x:v>0007</x:v>
      </x:c>
      <x:c r="B188" s="2" t="str">
        <x:v>Central</x:v>
      </x:c>
      <x:c r="C188" s="14" t="d">
        <x:v>2026-12-01T00:00:00.000Z</x:v>
      </x:c>
      <x:c r="D188" s="26" t="n">
        <x:v>269</x:v>
      </x:c>
      <x:c r="E188" s="26" t="n">
        <x:v>280</x:v>
      </x:c>
      <x:c r="F188" s="2"/>
      <x:c r="G188" s="2"/>
      <x:c r="H188" s="2"/>
      <x:c r="I188" s="2"/>
      <x:c r="J188" s="2"/>
      <x:c r="K188" s="2"/>
      <x:c r="L188" s="2"/>
      <x:c r="M188" s="2"/>
      <x:c r="N188" s="2"/>
    </x:row>
    <x:row r="189" ht="23" customHeight="1">
      <x:c r="A189" s="34" t="str">
        <x:v>0007</x:v>
      </x:c>
      <x:c r="B189" s="2" t="str">
        <x:v>East</x:v>
      </x:c>
      <x:c r="C189" s="14" t="d">
        <x:v>2026-07-01T00:00:00.000Z</x:v>
      </x:c>
      <x:c r="D189" s="26" t="n">
        <x:v>206</x:v>
      </x:c>
      <x:c r="E189" s="26" t="n">
        <x:v>280</x:v>
      </x:c>
      <x:c r="F189" s="2"/>
      <x:c r="G189" s="2"/>
      <x:c r="H189" s="2"/>
      <x:c r="I189" s="2"/>
      <x:c r="J189" s="2"/>
      <x:c r="K189" s="2"/>
      <x:c r="L189" s="2"/>
      <x:c r="M189" s="2"/>
      <x:c r="N189" s="2"/>
    </x:row>
    <x:row r="190" ht="23" customHeight="1">
      <x:c r="A190" s="34" t="str">
        <x:v>0007</x:v>
      </x:c>
      <x:c r="B190" s="2" t="str">
        <x:v>East</x:v>
      </x:c>
      <x:c r="C190" s="14" t="d">
        <x:v>2026-08-01T00:00:00.000Z</x:v>
      </x:c>
      <x:c r="D190" s="26" t="n">
        <x:v>221</x:v>
      </x:c>
      <x:c r="E190" s="26" t="n">
        <x:v>280</x:v>
      </x:c>
      <x:c r="F190" s="2"/>
      <x:c r="G190" s="2"/>
      <x:c r="H190" s="2"/>
      <x:c r="I190" s="2"/>
      <x:c r="J190" s="2"/>
      <x:c r="K190" s="2"/>
      <x:c r="L190" s="2"/>
      <x:c r="M190" s="2"/>
      <x:c r="N190" s="2"/>
    </x:row>
    <x:row r="191" ht="23" customHeight="1">
      <x:c r="A191" s="34" t="str">
        <x:v>0007</x:v>
      </x:c>
      <x:c r="B191" s="2" t="str">
        <x:v>East</x:v>
      </x:c>
      <x:c r="C191" s="14" t="d">
        <x:v>2026-09-01T00:00:00.000Z</x:v>
      </x:c>
      <x:c r="D191" s="26" t="n">
        <x:v>236</x:v>
      </x:c>
      <x:c r="E191" s="26" t="n">
        <x:v>280</x:v>
      </x:c>
      <x:c r="F191" s="2"/>
      <x:c r="G191" s="2"/>
      <x:c r="H191" s="2"/>
      <x:c r="I191" s="2"/>
      <x:c r="J191" s="2"/>
      <x:c r="K191" s="2"/>
      <x:c r="L191" s="2"/>
      <x:c r="M191" s="2"/>
      <x:c r="N191" s="2"/>
    </x:row>
    <x:row r="192" ht="23" customHeight="1">
      <x:c r="A192" s="34" t="str">
        <x:v>0007</x:v>
      </x:c>
      <x:c r="B192" s="2" t="str">
        <x:v>East</x:v>
      </x:c>
      <x:c r="C192" s="14" t="d">
        <x:v>2026-10-01T00:00:00.000Z</x:v>
      </x:c>
      <x:c r="D192" s="26" t="n">
        <x:v>251</x:v>
      </x:c>
      <x:c r="E192" s="26" t="n">
        <x:v>280</x:v>
      </x:c>
      <x:c r="F192" s="2"/>
      <x:c r="G192" s="2"/>
      <x:c r="H192" s="2"/>
      <x:c r="I192" s="2"/>
      <x:c r="J192" s="2"/>
      <x:c r="K192" s="2"/>
      <x:c r="L192" s="2"/>
      <x:c r="M192" s="2"/>
      <x:c r="N192" s="2"/>
    </x:row>
    <x:row r="193" ht="23" customHeight="1">
      <x:c r="A193" s="34" t="str">
        <x:v>0007</x:v>
      </x:c>
      <x:c r="B193" s="2" t="str">
        <x:v>East</x:v>
      </x:c>
      <x:c r="C193" s="14" t="d">
        <x:v>2026-11-01T00:00:00.000Z</x:v>
      </x:c>
      <x:c r="D193" s="26" t="n">
        <x:v>266</x:v>
      </x:c>
      <x:c r="E193" s="26" t="n">
        <x:v>280</x:v>
      </x:c>
      <x:c r="F193" s="2"/>
      <x:c r="G193" s="2"/>
      <x:c r="H193" s="2"/>
      <x:c r="I193" s="2"/>
      <x:c r="J193" s="2"/>
      <x:c r="K193" s="2"/>
      <x:c r="L193" s="2"/>
      <x:c r="M193" s="2"/>
      <x:c r="N193" s="2"/>
    </x:row>
    <x:row r="194" ht="23" customHeight="1">
      <x:c r="A194" s="34" t="str">
        <x:v>0007</x:v>
      </x:c>
      <x:c r="B194" s="2" t="str">
        <x:v>East</x:v>
      </x:c>
      <x:c r="C194" s="14" t="d">
        <x:v>2026-12-01T00:00:00.000Z</x:v>
      </x:c>
      <x:c r="D194" s="26" t="n">
        <x:v>281</x:v>
      </x:c>
      <x:c r="E194" s="26" t="n">
        <x:v>280</x:v>
      </x:c>
      <x:c r="F194" s="2"/>
      <x:c r="G194" s="2"/>
      <x:c r="H194" s="2"/>
      <x:c r="I194" s="2"/>
      <x:c r="J194" s="2"/>
      <x:c r="K194" s="2"/>
      <x:c r="L194" s="2"/>
      <x:c r="M194" s="2"/>
      <x:c r="N194" s="2"/>
    </x:row>
    <x:row r="195" ht="23" customHeight="1">
      <x:c r="A195" s="34" t="str">
        <x:v>0007</x:v>
      </x:c>
      <x:c r="B195" s="2" t="str">
        <x:v>West</x:v>
      </x:c>
      <x:c r="C195" s="14" t="d">
        <x:v>2026-07-01T00:00:00.000Z</x:v>
      </x:c>
      <x:c r="D195" s="26" t="n">
        <x:v>218</x:v>
      </x:c>
      <x:c r="E195" s="26" t="n">
        <x:v>280</x:v>
      </x:c>
      <x:c r="F195" s="2"/>
      <x:c r="G195" s="2"/>
      <x:c r="H195" s="2"/>
      <x:c r="I195" s="2"/>
      <x:c r="J195" s="2"/>
      <x:c r="K195" s="2"/>
      <x:c r="L195" s="2"/>
      <x:c r="M195" s="2"/>
      <x:c r="N195" s="2"/>
    </x:row>
    <x:row r="196" ht="23" customHeight="1">
      <x:c r="A196" s="34" t="str">
        <x:v>0007</x:v>
      </x:c>
      <x:c r="B196" s="2" t="str">
        <x:v>West</x:v>
      </x:c>
      <x:c r="C196" s="14" t="d">
        <x:v>2026-08-01T00:00:00.000Z</x:v>
      </x:c>
      <x:c r="D196" s="26" t="n">
        <x:v>233</x:v>
      </x:c>
      <x:c r="E196" s="26" t="n">
        <x:v>280</x:v>
      </x:c>
      <x:c r="F196" s="2"/>
      <x:c r="G196" s="2"/>
      <x:c r="H196" s="2"/>
      <x:c r="I196" s="2"/>
      <x:c r="J196" s="2"/>
      <x:c r="K196" s="2"/>
      <x:c r="L196" s="2"/>
      <x:c r="M196" s="2"/>
      <x:c r="N196" s="2"/>
    </x:row>
    <x:row r="197" ht="23" customHeight="1">
      <x:c r="A197" s="34" t="str">
        <x:v>0007</x:v>
      </x:c>
      <x:c r="B197" s="2" t="str">
        <x:v>West</x:v>
      </x:c>
      <x:c r="C197" s="14" t="d">
        <x:v>2026-09-01T00:00:00.000Z</x:v>
      </x:c>
      <x:c r="D197" s="26" t="n">
        <x:v>248</x:v>
      </x:c>
      <x:c r="E197" s="26" t="n">
        <x:v>280</x:v>
      </x:c>
      <x:c r="F197" s="2"/>
      <x:c r="G197" s="2"/>
      <x:c r="H197" s="2"/>
      <x:c r="I197" s="2"/>
      <x:c r="J197" s="2"/>
      <x:c r="K197" s="2"/>
      <x:c r="L197" s="2"/>
      <x:c r="M197" s="2"/>
      <x:c r="N197" s="2"/>
    </x:row>
    <x:row r="198" ht="23" customHeight="1">
      <x:c r="A198" s="34" t="str">
        <x:v>0007</x:v>
      </x:c>
      <x:c r="B198" s="2" t="str">
        <x:v>West</x:v>
      </x:c>
      <x:c r="C198" s="14" t="d">
        <x:v>2026-10-01T00:00:00.000Z</x:v>
      </x:c>
      <x:c r="D198" s="26" t="n">
        <x:v>263</x:v>
      </x:c>
      <x:c r="E198" s="26" t="n">
        <x:v>280</x:v>
      </x:c>
      <x:c r="F198" s="2"/>
      <x:c r="G198" s="2"/>
      <x:c r="H198" s="2"/>
      <x:c r="I198" s="2"/>
      <x:c r="J198" s="2"/>
      <x:c r="K198" s="2"/>
      <x:c r="L198" s="2"/>
      <x:c r="M198" s="2"/>
      <x:c r="N198" s="2"/>
    </x:row>
    <x:row r="199" ht="23" customHeight="1">
      <x:c r="A199" s="34" t="str">
        <x:v>0007</x:v>
      </x:c>
      <x:c r="B199" s="2" t="str">
        <x:v>West</x:v>
      </x:c>
      <x:c r="C199" s="14" t="d">
        <x:v>2026-11-01T00:00:00.000Z</x:v>
      </x:c>
      <x:c r="D199" s="26" t="n">
        <x:v>278</x:v>
      </x:c>
      <x:c r="E199" s="26" t="n">
        <x:v>280</x:v>
      </x:c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 ht="23" customHeight="1">
      <x:c r="A200" s="34" t="str">
        <x:v>0007</x:v>
      </x:c>
      <x:c r="B200" s="2" t="str">
        <x:v>West</x:v>
      </x:c>
      <x:c r="C200" s="14" t="d">
        <x:v>2026-12-01T00:00:00.000Z</x:v>
      </x:c>
      <x:c r="D200" s="26" t="n">
        <x:v>293</x:v>
      </x:c>
      <x:c r="E200" s="26" t="n">
        <x:v>280</x:v>
      </x:c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 ht="23" customHeight="1">
      <x:c r="A201" s="34" t="str">
        <x:v>0007</x:v>
      </x:c>
      <x:c r="B201" s="2" t="str">
        <x:v>North</x:v>
      </x:c>
      <x:c r="C201" s="14" t="d">
        <x:v>2026-07-01T00:00:00.000Z</x:v>
      </x:c>
      <x:c r="D201" s="26" t="n">
        <x:v>230</x:v>
      </x:c>
      <x:c r="E201" s="26" t="n">
        <x:v>280</x:v>
      </x:c>
      <x:c r="F201" s="2"/>
      <x:c r="G201" s="2"/>
      <x:c r="H201" s="2"/>
      <x:c r="I201" s="2"/>
      <x:c r="J201" s="2"/>
      <x:c r="K201" s="2"/>
      <x:c r="L201" s="2"/>
      <x:c r="M201" s="2"/>
      <x:c r="N201" s="2"/>
    </x:row>
    <x:row r="202" ht="23" customHeight="1">
      <x:c r="A202" s="34" t="str">
        <x:v>0007</x:v>
      </x:c>
      <x:c r="B202" s="2" t="str">
        <x:v>North</x:v>
      </x:c>
      <x:c r="C202" s="14" t="d">
        <x:v>2026-08-01T00:00:00.000Z</x:v>
      </x:c>
      <x:c r="D202" s="26" t="n">
        <x:v>245</x:v>
      </x:c>
      <x:c r="E202" s="26" t="n">
        <x:v>280</x:v>
      </x:c>
      <x:c r="F202" s="2"/>
      <x:c r="G202" s="2"/>
      <x:c r="H202" s="2"/>
      <x:c r="I202" s="2"/>
      <x:c r="J202" s="2"/>
      <x:c r="K202" s="2"/>
      <x:c r="L202" s="2"/>
      <x:c r="M202" s="2"/>
      <x:c r="N202" s="2"/>
    </x:row>
    <x:row r="203" ht="23" customHeight="1">
      <x:c r="A203" s="34" t="str">
        <x:v>0007</x:v>
      </x:c>
      <x:c r="B203" s="2" t="str">
        <x:v>North</x:v>
      </x:c>
      <x:c r="C203" s="14" t="d">
        <x:v>2026-09-01T00:00:00.000Z</x:v>
      </x:c>
      <x:c r="D203" s="26" t="n">
        <x:v>260</x:v>
      </x:c>
      <x:c r="E203" s="26" t="n">
        <x:v>280</x:v>
      </x:c>
      <x:c r="F203" s="2"/>
      <x:c r="G203" s="2"/>
      <x:c r="H203" s="2"/>
      <x:c r="I203" s="2"/>
      <x:c r="J203" s="2"/>
      <x:c r="K203" s="2"/>
      <x:c r="L203" s="2"/>
      <x:c r="M203" s="2"/>
      <x:c r="N203" s="2"/>
    </x:row>
    <x:row r="204" ht="23" customHeight="1">
      <x:c r="A204" s="34" t="str">
        <x:v>0007</x:v>
      </x:c>
      <x:c r="B204" s="2" t="str">
        <x:v>North</x:v>
      </x:c>
      <x:c r="C204" s="14" t="d">
        <x:v>2026-10-01T00:00:00.000Z</x:v>
      </x:c>
      <x:c r="D204" s="26" t="n">
        <x:v>275</x:v>
      </x:c>
      <x:c r="E204" s="26" t="n">
        <x:v>280</x:v>
      </x:c>
      <x:c r="F204" s="2"/>
      <x:c r="G204" s="2"/>
      <x:c r="H204" s="2"/>
      <x:c r="I204" s="2"/>
      <x:c r="J204" s="2"/>
      <x:c r="K204" s="2"/>
      <x:c r="L204" s="2"/>
      <x:c r="M204" s="2"/>
      <x:c r="N204" s="2"/>
    </x:row>
    <x:row r="205" ht="23" customHeight="1">
      <x:c r="A205" s="34" t="str">
        <x:v>0007</x:v>
      </x:c>
      <x:c r="B205" s="2" t="str">
        <x:v>North</x:v>
      </x:c>
      <x:c r="C205" s="14" t="d">
        <x:v>2026-11-01T00:00:00.000Z</x:v>
      </x:c>
      <x:c r="D205" s="26" t="n">
        <x:v>290</x:v>
      </x:c>
      <x:c r="E205" s="26" t="n">
        <x:v>280</x:v>
      </x:c>
      <x:c r="F205" s="2"/>
      <x:c r="G205" s="2"/>
      <x:c r="H205" s="2"/>
      <x:c r="I205" s="2"/>
      <x:c r="J205" s="2"/>
      <x:c r="K205" s="2"/>
      <x:c r="L205" s="2"/>
      <x:c r="M205" s="2"/>
      <x:c r="N205" s="2"/>
    </x:row>
    <x:row r="206" ht="23" customHeight="1">
      <x:c r="A206" s="34" t="str">
        <x:v>0007</x:v>
      </x:c>
      <x:c r="B206" s="2" t="str">
        <x:v>North</x:v>
      </x:c>
      <x:c r="C206" s="14" t="d">
        <x:v>2026-12-01T00:00:00.000Z</x:v>
      </x:c>
      <x:c r="D206" s="26" t="n">
        <x:v>305</x:v>
      </x:c>
      <x:c r="E206" s="26" t="n">
        <x:v>280</x:v>
      </x:c>
      <x:c r="F206" s="2"/>
      <x:c r="G206" s="2"/>
      <x:c r="H206" s="2"/>
      <x:c r="I206" s="2"/>
      <x:c r="J206" s="2"/>
      <x:c r="K206" s="2"/>
      <x:c r="L206" s="2"/>
      <x:c r="M206" s="2"/>
      <x:c r="N206" s="2"/>
    </x:row>
    <x:row r="207" ht="23" customHeight="1">
      <x:c r="A207" s="34" t="str">
        <x:v>0008</x:v>
      </x:c>
      <x:c r="B207" s="2" t="str">
        <x:v>Central</x:v>
      </x:c>
      <x:c r="C207" s="14" t="d">
        <x:v>2026-07-01T00:00:00.000Z</x:v>
      </x:c>
      <x:c r="D207" s="26" t="n">
        <x:v>203</x:v>
      </x:c>
      <x:c r="E207" s="26" t="n">
        <x:v>300</x:v>
      </x:c>
      <x:c r="F207" s="2"/>
      <x:c r="G207" s="2"/>
      <x:c r="H207" s="2"/>
      <x:c r="I207" s="2"/>
      <x:c r="J207" s="2"/>
      <x:c r="K207" s="2"/>
      <x:c r="L207" s="2"/>
      <x:c r="M207" s="2"/>
      <x:c r="N207" s="2"/>
    </x:row>
    <x:row r="208" ht="23" customHeight="1">
      <x:c r="A208" s="34" t="str">
        <x:v>0008</x:v>
      </x:c>
      <x:c r="B208" s="2" t="str">
        <x:v>Central</x:v>
      </x:c>
      <x:c r="C208" s="14" t="d">
        <x:v>2026-08-01T00:00:00.000Z</x:v>
      </x:c>
      <x:c r="D208" s="26" t="n">
        <x:v>218</x:v>
      </x:c>
      <x:c r="E208" s="26" t="n">
        <x:v>300</x:v>
      </x:c>
      <x:c r="F208" s="2"/>
      <x:c r="G208" s="2"/>
      <x:c r="H208" s="2"/>
      <x:c r="I208" s="2"/>
      <x:c r="J208" s="2"/>
      <x:c r="K208" s="2"/>
      <x:c r="L208" s="2"/>
      <x:c r="M208" s="2"/>
      <x:c r="N208" s="2"/>
    </x:row>
    <x:row r="209" ht="23" customHeight="1">
      <x:c r="A209" s="34" t="str">
        <x:v>0008</x:v>
      </x:c>
      <x:c r="B209" s="2" t="str">
        <x:v>Central</x:v>
      </x:c>
      <x:c r="C209" s="14" t="d">
        <x:v>2026-09-01T00:00:00.000Z</x:v>
      </x:c>
      <x:c r="D209" s="26" t="n">
        <x:v>233</x:v>
      </x:c>
      <x:c r="E209" s="26" t="n">
        <x:v>300</x:v>
      </x:c>
      <x:c r="F209" s="2"/>
      <x:c r="G209" s="2"/>
      <x:c r="H209" s="2"/>
      <x:c r="I209" s="2"/>
      <x:c r="J209" s="2"/>
      <x:c r="K209" s="2"/>
      <x:c r="L209" s="2"/>
      <x:c r="M209" s="2"/>
      <x:c r="N209" s="2"/>
    </x:row>
    <x:row r="210" ht="23" customHeight="1">
      <x:c r="A210" s="34" t="str">
        <x:v>0008</x:v>
      </x:c>
      <x:c r="B210" s="2" t="str">
        <x:v>Central</x:v>
      </x:c>
      <x:c r="C210" s="14" t="d">
        <x:v>2026-10-01T00:00:00.000Z</x:v>
      </x:c>
      <x:c r="D210" s="26" t="n">
        <x:v>248</x:v>
      </x:c>
      <x:c r="E210" s="26" t="n">
        <x:v>300</x:v>
      </x:c>
      <x:c r="F210" s="2"/>
      <x:c r="G210" s="2"/>
      <x:c r="H210" s="2"/>
      <x:c r="I210" s="2"/>
      <x:c r="J210" s="2"/>
      <x:c r="K210" s="2"/>
      <x:c r="L210" s="2"/>
      <x:c r="M210" s="2"/>
      <x:c r="N210" s="2"/>
    </x:row>
    <x:row r="211" ht="23" customHeight="1">
      <x:c r="A211" s="34" t="str">
        <x:v>0008</x:v>
      </x:c>
      <x:c r="B211" s="2" t="str">
        <x:v>Central</x:v>
      </x:c>
      <x:c r="C211" s="14" t="d">
        <x:v>2026-11-01T00:00:00.000Z</x:v>
      </x:c>
      <x:c r="D211" s="26" t="n">
        <x:v>263</x:v>
      </x:c>
      <x:c r="E211" s="26" t="n">
        <x:v>300</x:v>
      </x:c>
      <x:c r="F211" s="2"/>
      <x:c r="G211" s="2"/>
      <x:c r="H211" s="2"/>
      <x:c r="I211" s="2"/>
      <x:c r="J211" s="2"/>
      <x:c r="K211" s="2"/>
      <x:c r="L211" s="2"/>
      <x:c r="M211" s="2"/>
      <x:c r="N211" s="2"/>
    </x:row>
    <x:row r="212" ht="23" customHeight="1">
      <x:c r="A212" s="34" t="str">
        <x:v>0008</x:v>
      </x:c>
      <x:c r="B212" s="2" t="str">
        <x:v>Central</x:v>
      </x:c>
      <x:c r="C212" s="14" t="d">
        <x:v>2026-12-01T00:00:00.000Z</x:v>
      </x:c>
      <x:c r="D212" s="26" t="n">
        <x:v>278</x:v>
      </x:c>
      <x:c r="E212" s="26" t="n">
        <x:v>300</x:v>
      </x:c>
      <x:c r="F212" s="2"/>
      <x:c r="G212" s="2"/>
      <x:c r="H212" s="2"/>
      <x:c r="I212" s="2"/>
      <x:c r="J212" s="2"/>
      <x:c r="K212" s="2"/>
      <x:c r="L212" s="2"/>
      <x:c r="M212" s="2"/>
      <x:c r="N212" s="2"/>
    </x:row>
    <x:row r="213" ht="23" customHeight="1">
      <x:c r="A213" s="34" t="str">
        <x:v>0008</x:v>
      </x:c>
      <x:c r="B213" s="2" t="str">
        <x:v>East</x:v>
      </x:c>
      <x:c r="C213" s="14" t="d">
        <x:v>2026-07-01T00:00:00.000Z</x:v>
      </x:c>
      <x:c r="D213" s="26" t="n">
        <x:v>215</x:v>
      </x:c>
      <x:c r="E213" s="26" t="n">
        <x:v>300</x:v>
      </x:c>
      <x:c r="F213" s="2"/>
      <x:c r="G213" s="2"/>
      <x:c r="H213" s="2"/>
      <x:c r="I213" s="2"/>
      <x:c r="J213" s="2"/>
      <x:c r="K213" s="2"/>
      <x:c r="L213" s="2"/>
      <x:c r="M213" s="2"/>
      <x:c r="N213" s="2"/>
    </x:row>
    <x:row r="214" ht="23" customHeight="1">
      <x:c r="A214" s="34" t="str">
        <x:v>0008</x:v>
      </x:c>
      <x:c r="B214" s="2" t="str">
        <x:v>East</x:v>
      </x:c>
      <x:c r="C214" s="14" t="d">
        <x:v>2026-08-01T00:00:00.000Z</x:v>
      </x:c>
      <x:c r="D214" s="26" t="n">
        <x:v>230</x:v>
      </x:c>
      <x:c r="E214" s="26" t="n">
        <x:v>300</x:v>
      </x:c>
      <x:c r="F214" s="2"/>
      <x:c r="G214" s="2"/>
      <x:c r="H214" s="2"/>
      <x:c r="I214" s="2"/>
      <x:c r="J214" s="2"/>
      <x:c r="K214" s="2"/>
      <x:c r="L214" s="2"/>
      <x:c r="M214" s="2"/>
      <x:c r="N214" s="2"/>
    </x:row>
    <x:row r="215" ht="23" customHeight="1">
      <x:c r="A215" s="34" t="str">
        <x:v>0008</x:v>
      </x:c>
      <x:c r="B215" s="2" t="str">
        <x:v>East</x:v>
      </x:c>
      <x:c r="C215" s="14" t="d">
        <x:v>2026-09-01T00:00:00.000Z</x:v>
      </x:c>
      <x:c r="D215" s="26" t="n">
        <x:v>245</x:v>
      </x:c>
      <x:c r="E215" s="26" t="n">
        <x:v>300</x:v>
      </x:c>
      <x:c r="F215" s="2"/>
      <x:c r="G215" s="2"/>
      <x:c r="H215" s="2"/>
      <x:c r="I215" s="2"/>
      <x:c r="J215" s="2"/>
      <x:c r="K215" s="2"/>
      <x:c r="L215" s="2"/>
      <x:c r="M215" s="2"/>
      <x:c r="N215" s="2"/>
    </x:row>
    <x:row r="216" ht="23" customHeight="1">
      <x:c r="A216" s="34" t="str">
        <x:v>0008</x:v>
      </x:c>
      <x:c r="B216" s="2" t="str">
        <x:v>East</x:v>
      </x:c>
      <x:c r="C216" s="14" t="d">
        <x:v>2026-10-01T00:00:00.000Z</x:v>
      </x:c>
      <x:c r="D216" s="26" t="n">
        <x:v>260</x:v>
      </x:c>
      <x:c r="E216" s="26" t="n">
        <x:v>300</x:v>
      </x:c>
      <x:c r="F216" s="2"/>
      <x:c r="G216" s="2"/>
      <x:c r="H216" s="2"/>
      <x:c r="I216" s="2"/>
      <x:c r="J216" s="2"/>
      <x:c r="K216" s="2"/>
      <x:c r="L216" s="2"/>
      <x:c r="M216" s="2"/>
      <x:c r="N216" s="2"/>
    </x:row>
    <x:row r="217" ht="23" customHeight="1">
      <x:c r="A217" s="34" t="str">
        <x:v>0008</x:v>
      </x:c>
      <x:c r="B217" s="2" t="str">
        <x:v>East</x:v>
      </x:c>
      <x:c r="C217" s="14" t="d">
        <x:v>2026-11-01T00:00:00.000Z</x:v>
      </x:c>
      <x:c r="D217" s="26" t="n">
        <x:v>275</x:v>
      </x:c>
      <x:c r="E217" s="26" t="n">
        <x:v>300</x:v>
      </x:c>
      <x:c r="F217" s="2"/>
      <x:c r="G217" s="2"/>
      <x:c r="H217" s="2"/>
      <x:c r="I217" s="2"/>
      <x:c r="J217" s="2"/>
      <x:c r="K217" s="2"/>
      <x:c r="L217" s="2"/>
      <x:c r="M217" s="2"/>
      <x:c r="N217" s="2"/>
    </x:row>
    <x:row r="218" ht="23" customHeight="1">
      <x:c r="A218" s="34" t="str">
        <x:v>0008</x:v>
      </x:c>
      <x:c r="B218" s="2" t="str">
        <x:v>East</x:v>
      </x:c>
      <x:c r="C218" s="14" t="d">
        <x:v>2026-12-01T00:00:00.000Z</x:v>
      </x:c>
      <x:c r="D218" s="26" t="n">
        <x:v>290</x:v>
      </x:c>
      <x:c r="E218" s="26" t="n">
        <x:v>300</x:v>
      </x:c>
      <x:c r="F218" s="2"/>
      <x:c r="G218" s="2"/>
      <x:c r="H218" s="2"/>
      <x:c r="I218" s="2"/>
      <x:c r="J218" s="2"/>
      <x:c r="K218" s="2"/>
      <x:c r="L218" s="2"/>
      <x:c r="M218" s="2"/>
      <x:c r="N218" s="2"/>
    </x:row>
    <x:row r="219" ht="23" customHeight="1">
      <x:c r="A219" s="34" t="str">
        <x:v>0008</x:v>
      </x:c>
      <x:c r="B219" s="2" t="str">
        <x:v>West</x:v>
      </x:c>
      <x:c r="C219" s="14" t="d">
        <x:v>2026-07-01T00:00:00.000Z</x:v>
      </x:c>
      <x:c r="D219" s="26" t="n">
        <x:v>227</x:v>
      </x:c>
      <x:c r="E219" s="26" t="n">
        <x:v>300</x:v>
      </x:c>
      <x:c r="F219" s="2"/>
      <x:c r="G219" s="2"/>
      <x:c r="H219" s="2"/>
      <x:c r="I219" s="2"/>
      <x:c r="J219" s="2"/>
      <x:c r="K219" s="2"/>
      <x:c r="L219" s="2"/>
      <x:c r="M219" s="2"/>
      <x:c r="N219" s="2"/>
    </x:row>
    <x:row r="220" ht="23" customHeight="1">
      <x:c r="A220" s="34" t="str">
        <x:v>0008</x:v>
      </x:c>
      <x:c r="B220" s="2" t="str">
        <x:v>West</x:v>
      </x:c>
      <x:c r="C220" s="14" t="d">
        <x:v>2026-08-01T00:00:00.000Z</x:v>
      </x:c>
      <x:c r="D220" s="26" t="n">
        <x:v>242</x:v>
      </x:c>
      <x:c r="E220" s="26" t="n">
        <x:v>300</x:v>
      </x:c>
      <x:c r="F220" s="2"/>
      <x:c r="G220" s="2"/>
      <x:c r="H220" s="2"/>
      <x:c r="I220" s="2"/>
      <x:c r="J220" s="2"/>
      <x:c r="K220" s="2"/>
      <x:c r="L220" s="2"/>
      <x:c r="M220" s="2"/>
      <x:c r="N220" s="2"/>
    </x:row>
    <x:row r="221" ht="23" customHeight="1">
      <x:c r="A221" s="34" t="str">
        <x:v>0008</x:v>
      </x:c>
      <x:c r="B221" s="2" t="str">
        <x:v>West</x:v>
      </x:c>
      <x:c r="C221" s="14" t="d">
        <x:v>2026-09-01T00:00:00.000Z</x:v>
      </x:c>
      <x:c r="D221" s="26" t="n">
        <x:v>257</x:v>
      </x:c>
      <x:c r="E221" s="26" t="n">
        <x:v>300</x:v>
      </x:c>
      <x:c r="F221" s="2"/>
      <x:c r="G221" s="2"/>
      <x:c r="H221" s="2"/>
      <x:c r="I221" s="2"/>
      <x:c r="J221" s="2"/>
      <x:c r="K221" s="2"/>
      <x:c r="L221" s="2"/>
      <x:c r="M221" s="2"/>
      <x:c r="N221" s="2"/>
    </x:row>
    <x:row r="222" ht="23" customHeight="1">
      <x:c r="A222" s="34" t="str">
        <x:v>0008</x:v>
      </x:c>
      <x:c r="B222" s="2" t="str">
        <x:v>West</x:v>
      </x:c>
      <x:c r="C222" s="14" t="d">
        <x:v>2026-10-01T00:00:00.000Z</x:v>
      </x:c>
      <x:c r="D222" s="26" t="n">
        <x:v>272</x:v>
      </x:c>
      <x:c r="E222" s="26" t="n">
        <x:v>300</x:v>
      </x:c>
      <x:c r="F222" s="2"/>
      <x:c r="G222" s="2"/>
      <x:c r="H222" s="2"/>
      <x:c r="I222" s="2"/>
      <x:c r="J222" s="2"/>
      <x:c r="K222" s="2"/>
      <x:c r="L222" s="2"/>
      <x:c r="M222" s="2"/>
      <x:c r="N222" s="2"/>
    </x:row>
    <x:row r="223" ht="23" customHeight="1">
      <x:c r="A223" s="34" t="str">
        <x:v>0008</x:v>
      </x:c>
      <x:c r="B223" s="2" t="str">
        <x:v>West</x:v>
      </x:c>
      <x:c r="C223" s="14" t="d">
        <x:v>2026-11-01T00:00:00.000Z</x:v>
      </x:c>
      <x:c r="D223" s="26" t="n">
        <x:v>287</x:v>
      </x:c>
      <x:c r="E223" s="26" t="n">
        <x:v>300</x:v>
      </x:c>
      <x:c r="F223" s="2"/>
      <x:c r="G223" s="2"/>
      <x:c r="H223" s="2"/>
      <x:c r="I223" s="2"/>
      <x:c r="J223" s="2"/>
      <x:c r="K223" s="2"/>
      <x:c r="L223" s="2"/>
      <x:c r="M223" s="2"/>
      <x:c r="N223" s="2"/>
    </x:row>
    <x:row r="224" ht="23" customHeight="1">
      <x:c r="A224" s="34" t="str">
        <x:v>0008</x:v>
      </x:c>
      <x:c r="B224" s="2" t="str">
        <x:v>West</x:v>
      </x:c>
      <x:c r="C224" s="14" t="d">
        <x:v>2026-12-01T00:00:00.000Z</x:v>
      </x:c>
      <x:c r="D224" s="26" t="n">
        <x:v>302</x:v>
      </x:c>
      <x:c r="E224" s="26" t="n">
        <x:v>300</x:v>
      </x:c>
      <x:c r="F224" s="2"/>
      <x:c r="G224" s="2"/>
      <x:c r="H224" s="2"/>
      <x:c r="I224" s="2"/>
      <x:c r="J224" s="2"/>
      <x:c r="K224" s="2"/>
      <x:c r="L224" s="2"/>
      <x:c r="M224" s="2"/>
      <x:c r="N224" s="2"/>
    </x:row>
    <x:row r="225" ht="23" customHeight="1">
      <x:c r="A225" s="34" t="str">
        <x:v>0008</x:v>
      </x:c>
      <x:c r="B225" s="2" t="str">
        <x:v>North</x:v>
      </x:c>
      <x:c r="C225" s="14" t="d">
        <x:v>2026-07-01T00:00:00.000Z</x:v>
      </x:c>
      <x:c r="D225" s="26" t="n">
        <x:v>239</x:v>
      </x:c>
      <x:c r="E225" s="26" t="n">
        <x:v>300</x:v>
      </x:c>
      <x:c r="F225" s="2"/>
      <x:c r="G225" s="2"/>
      <x:c r="H225" s="2"/>
      <x:c r="I225" s="2"/>
      <x:c r="J225" s="2"/>
      <x:c r="K225" s="2"/>
      <x:c r="L225" s="2"/>
      <x:c r="M225" s="2"/>
      <x:c r="N225" s="2"/>
    </x:row>
    <x:row r="226" ht="23" customHeight="1">
      <x:c r="A226" s="34" t="str">
        <x:v>0008</x:v>
      </x:c>
      <x:c r="B226" s="2" t="str">
        <x:v>North</x:v>
      </x:c>
      <x:c r="C226" s="14" t="d">
        <x:v>2026-08-01T00:00:00.000Z</x:v>
      </x:c>
      <x:c r="D226" s="26" t="n">
        <x:v>254</x:v>
      </x:c>
      <x:c r="E226" s="26" t="n">
        <x:v>300</x:v>
      </x:c>
      <x:c r="F226" s="2"/>
      <x:c r="G226" s="2"/>
      <x:c r="H226" s="2"/>
      <x:c r="I226" s="2"/>
      <x:c r="J226" s="2"/>
      <x:c r="K226" s="2"/>
      <x:c r="L226" s="2"/>
      <x:c r="M226" s="2"/>
      <x:c r="N226" s="2"/>
    </x:row>
    <x:row r="227" ht="23" customHeight="1">
      <x:c r="A227" s="34" t="str">
        <x:v>0008</x:v>
      </x:c>
      <x:c r="B227" s="2" t="str">
        <x:v>North</x:v>
      </x:c>
      <x:c r="C227" s="14" t="d">
        <x:v>2026-09-01T00:00:00.000Z</x:v>
      </x:c>
      <x:c r="D227" s="26" t="n">
        <x:v>269</x:v>
      </x:c>
      <x:c r="E227" s="26" t="n">
        <x:v>300</x:v>
      </x:c>
      <x:c r="F227" s="2"/>
      <x:c r="G227" s="2"/>
      <x:c r="H227" s="2"/>
      <x:c r="I227" s="2"/>
      <x:c r="J227" s="2"/>
      <x:c r="K227" s="2"/>
      <x:c r="L227" s="2"/>
      <x:c r="M227" s="2"/>
      <x:c r="N227" s="2"/>
    </x:row>
    <x:row r="228" ht="23" customHeight="1">
      <x:c r="A228" s="34" t="str">
        <x:v>0008</x:v>
      </x:c>
      <x:c r="B228" s="2" t="str">
        <x:v>North</x:v>
      </x:c>
      <x:c r="C228" s="14" t="d">
        <x:v>2026-10-01T00:00:00.000Z</x:v>
      </x:c>
      <x:c r="D228" s="26" t="n">
        <x:v>284</x:v>
      </x:c>
      <x:c r="E228" s="26" t="n">
        <x:v>300</x:v>
      </x:c>
      <x:c r="F228" s="2"/>
      <x:c r="G228" s="2"/>
      <x:c r="H228" s="2"/>
      <x:c r="I228" s="2"/>
      <x:c r="J228" s="2"/>
      <x:c r="K228" s="2"/>
      <x:c r="L228" s="2"/>
      <x:c r="M228" s="2"/>
      <x:c r="N228" s="2"/>
    </x:row>
    <x:row r="229" ht="23" customHeight="1">
      <x:c r="A229" s="34" t="str">
        <x:v>0008</x:v>
      </x:c>
      <x:c r="B229" s="2" t="str">
        <x:v>North</x:v>
      </x:c>
      <x:c r="C229" s="14" t="d">
        <x:v>2026-11-01T00:00:00.000Z</x:v>
      </x:c>
      <x:c r="D229" s="26" t="n">
        <x:v>299</x:v>
      </x:c>
      <x:c r="E229" s="26" t="n">
        <x:v>300</x:v>
      </x:c>
      <x:c r="F229" s="2"/>
      <x:c r="G229" s="2"/>
      <x:c r="H229" s="2"/>
      <x:c r="I229" s="2"/>
      <x:c r="J229" s="2"/>
      <x:c r="K229" s="2"/>
      <x:c r="L229" s="2"/>
      <x:c r="M229" s="2"/>
      <x:c r="N229" s="2"/>
    </x:row>
    <x:row r="230" ht="23" customHeight="1">
      <x:c r="A230" s="34" t="str">
        <x:v>0008</x:v>
      </x:c>
      <x:c r="B230" s="2" t="str">
        <x:v>North</x:v>
      </x:c>
      <x:c r="C230" s="14" t="d">
        <x:v>2026-12-01T00:00:00.000Z</x:v>
      </x:c>
      <x:c r="D230" s="26" t="n">
        <x:v>314</x:v>
      </x:c>
      <x:c r="E230" s="26" t="n">
        <x:v>300</x:v>
      </x:c>
      <x:c r="F230" s="2"/>
      <x:c r="G230" s="2"/>
      <x:c r="H230" s="2"/>
      <x:c r="I230" s="2"/>
      <x:c r="J230" s="2"/>
      <x:c r="K230" s="2"/>
      <x:c r="L230" s="2"/>
      <x:c r="M230" s="2"/>
      <x:c r="N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</x:row>
  </x:sheetData>
  <x:dataValidations count="1">
    <x:dataValidation type="list" sqref="B4">
      <x:formula1>"1,2"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20217239b3244e2a"/>
    <x:tablePart xmlns:r="http://schemas.openxmlformats.org/officeDocument/2006/relationships" r:id="R29c9aff0fe07428e"/>
    <x:tablePart xmlns:r="http://schemas.openxmlformats.org/officeDocument/2006/relationships" r:id="Rdef52bcc7e0a4a7c"/>
  </x:tableParts>
</x:worksheet>
</file>

<file path=xl/worksheets/sheet3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RegionView | distributor 2026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Region</x:v>
      </x:c>
      <x:c r="B4" s="6" t="str">
        <x:v>Month</x:v>
      </x:c>
      <x:c r="C4" s="6" t="str">
        <x:v>GrossRevenue</x:v>
      </x:c>
      <x:c r="D4" s="6" t="str">
        <x:v>Rebate</x:v>
      </x:c>
      <x:c r="E4" s="6" t="str">
        <x:v>NetRevenue</x:v>
      </x:c>
      <x:c r="F4" s="6" t="str">
        <x:v>COGS</x:v>
      </x:c>
      <x:c r="G4" s="6" t="str">
        <x:v>GrossProfit</x:v>
      </x:c>
      <x:c r="H4" s="6" t="str">
        <x:v>Margin</x:v>
      </x:c>
      <x:c r="I4" s="6" t="str">
        <x:v>SoldUnits</x:v>
      </x:c>
    </x:row>
    <x:row r="5" ht="23" customHeight="1">
      <x:c r="A5" s="7" t="str">
        <x:v>Central</x:v>
      </x:c>
      <x:c r="B5" s="14" t="d">
        <x:v>2026-01-01T00:00:00.000Z</x:v>
      </x:c>
      <x:c r="C5" s="27" t="n">
        <x:f>'Rebates'!C5</x:f>
        <x:v>111511</x:v>
      </x:c>
      <x:c r="D5" s="27" t="n">
        <x:f>'Rebates'!D5</x:f>
        <x:v>2230.2200000000003</x:v>
      </x:c>
      <x:c r="E5" s="27" t="n">
        <x:f>'Rebates'!E5</x:f>
        <x:v>109280.78</x:v>
      </x:c>
      <x:c r="F5" s="27" t="n">
        <x:f>SUMIFS('Sales'!$K$5:$K$388,'Sales'!$B$5:$B$388,A5,'Sales'!$C$5:$C$388,B5)</x:f>
        <x:v>69565</x:v>
      </x:c>
      <x:c r="G5" s="27" t="n">
        <x:f>E5-F5</x:f>
        <x:v>39715.78</x:v>
      </x:c>
      <x:c r="H5" s="28" t="n">
        <x:f>IF(E5=0,"n.a.",G5/E5)</x:f>
        <x:v>0.36342877494102804</x:v>
      </x:c>
      <x:c r="I5" s="27" t="n">
        <x:f>SUMIFS('Sales'!$G$5:$G$388,'Sales'!$B$5:$B$388,A5,'Sales'!$C$5:$C$388,B5)</x:f>
        <x:v>488</x:v>
      </x:c>
    </x:row>
    <x:row r="6" ht="23" customHeight="1">
      <x:c r="A6" s="7" t="str">
        <x:v>Central</x:v>
      </x:c>
      <x:c r="B6" s="14" t="d">
        <x:v>2026-02-01T00:00:00.000Z</x:v>
      </x:c>
      <x:c r="C6" s="27" t="n">
        <x:f>'Rebates'!C6</x:f>
        <x:v>108002.6</x:v>
      </x:c>
      <x:c r="D6" s="27" t="n">
        <x:f>'Rebates'!D6</x:f>
        <x:v>2160.052</x:v>
      </x:c>
      <x:c r="E6" s="27" t="n">
        <x:f>'Rebates'!E6</x:f>
        <x:v>105842.54800000001</x:v>
      </x:c>
      <x:c r="F6" s="27" t="n">
        <x:f>SUMIFS('Sales'!$K$5:$K$388,'Sales'!$B$5:$B$388,A6,'Sales'!$C$5:$C$388,B6)</x:f>
        <x:v>67502</x:v>
      </x:c>
      <x:c r="G6" s="27" t="n">
        <x:f>E6-F6</x:f>
        <x:v>38340.54800000001</x:v>
      </x:c>
      <x:c r="H6" s="28" t="n">
        <x:f>IF(E6=0,"n.a.",G6/E6)</x:f>
        <x:v>0.3622413549605779</x:v>
      </x:c>
      <x:c r="I6" s="27" t="n">
        <x:f>SUMIFS('Sales'!$G$5:$G$388,'Sales'!$B$5:$B$388,A6,'Sales'!$C$5:$C$388,B6)</x:f>
        <x:v>489</x:v>
      </x:c>
    </x:row>
    <x:row r="7" ht="23" customHeight="1">
      <x:c r="A7" s="7" t="str">
        <x:v>Central</x:v>
      </x:c>
      <x:c r="B7" s="14" t="d">
        <x:v>2026-03-01T00:00:00.000Z</x:v>
      </x:c>
      <x:c r="C7" s="27" t="n">
        <x:f>'Rebates'!C7</x:f>
        <x:v>109344.59999999998</x:v>
      </x:c>
      <x:c r="D7" s="27" t="n">
        <x:f>'Rebates'!D7</x:f>
        <x:v>2186.8919999999994</x:v>
      </x:c>
      <x:c r="E7" s="27" t="n">
        <x:f>'Rebates'!E7</x:f>
        <x:v>107157.70799999998</x:v>
      </x:c>
      <x:c r="F7" s="27" t="n">
        <x:f>SUMIFS('Sales'!$K$5:$K$388,'Sales'!$B$5:$B$388,A7,'Sales'!$C$5:$C$388,B7)</x:f>
        <x:v>68590</x:v>
      </x:c>
      <x:c r="G7" s="27" t="n">
        <x:f>E7-F7</x:f>
        <x:v>38567.707999999984</x:v>
      </x:c>
      <x:c r="H7" s="28" t="n">
        <x:f>IF(E7=0,"n.a.",G7/E7)</x:f>
        <x:v>0.3599153875146339</x:v>
      </x:c>
      <x:c r="I7" s="27" t="n">
        <x:f>SUMIFS('Sales'!$G$5:$G$388,'Sales'!$B$5:$B$388,A7,'Sales'!$C$5:$C$388,B7)</x:f>
        <x:v>488</x:v>
      </x:c>
    </x:row>
    <x:row r="8" ht="23" customHeight="1">
      <x:c r="A8" s="7" t="str">
        <x:v>Central</x:v>
      </x:c>
      <x:c r="B8" s="14" t="d">
        <x:v>2026-04-01T00:00:00.000Z</x:v>
      </x:c>
      <x:c r="C8" s="27" t="n">
        <x:f>'Rebates'!C8</x:f>
        <x:v>107319</x:v>
      </x:c>
      <x:c r="D8" s="27" t="n">
        <x:f>'Rebates'!D8</x:f>
        <x:v>2146.38</x:v>
      </x:c>
      <x:c r="E8" s="27" t="n">
        <x:f>'Rebates'!E8</x:f>
        <x:v>105172.62</x:v>
      </x:c>
      <x:c r="F8" s="27" t="n">
        <x:f>SUMIFS('Sales'!$K$5:$K$388,'Sales'!$B$5:$B$388,A8,'Sales'!$C$5:$C$388,B8)</x:f>
        <x:v>66904</x:v>
      </x:c>
      <x:c r="G8" s="27" t="n">
        <x:f>E8-F8</x:f>
        <x:v>38268.619999999995</x:v>
      </x:c>
      <x:c r="H8" s="28" t="n">
        <x:f>IF(E8=0,"n.a.",G8/E8)</x:f>
        <x:v>0.36386485379940137</x:v>
      </x:c>
      <x:c r="I8" s="27" t="n">
        <x:f>SUMIFS('Sales'!$G$5:$G$388,'Sales'!$B$5:$B$388,A8,'Sales'!$C$5:$C$388,B8)</x:f>
        <x:v>476</x:v>
      </x:c>
    </x:row>
    <x:row r="9" ht="23" customHeight="1">
      <x:c r="A9" s="7" t="str">
        <x:v>Central</x:v>
      </x:c>
      <x:c r="B9" s="14" t="d">
        <x:v>2026-05-01T00:00:00.000Z</x:v>
      </x:c>
      <x:c r="C9" s="27" t="n">
        <x:f>'Rebates'!C9</x:f>
        <x:v>98059.2</x:v>
      </x:c>
      <x:c r="D9" s="27" t="n">
        <x:f>'Rebates'!D9</x:f>
        <x:v>1961.184</x:v>
      </x:c>
      <x:c r="E9" s="27" t="n">
        <x:f>'Rebates'!E9</x:f>
        <x:v>96098.016</x:v>
      </x:c>
      <x:c r="F9" s="27" t="n">
        <x:f>SUMIFS('Sales'!$K$5:$K$388,'Sales'!$B$5:$B$388,A9,'Sales'!$C$5:$C$388,B9)</x:f>
        <x:v>61167</x:v>
      </x:c>
      <x:c r="G9" s="27" t="n">
        <x:f>E9-F9</x:f>
        <x:v>34931.016</x:v>
      </x:c>
      <x:c r="H9" s="28" t="n">
        <x:f>IF(E9=0,"n.a.",G9/E9)</x:f>
        <x:v>0.3634936230109059</x:v>
      </x:c>
      <x:c r="I9" s="27" t="n">
        <x:f>SUMIFS('Sales'!$G$5:$G$388,'Sales'!$B$5:$B$388,A9,'Sales'!$C$5:$C$388,B9)</x:f>
        <x:v>436</x:v>
      </x:c>
    </x:row>
    <x:row r="10" ht="23" customHeight="1">
      <x:c r="A10" s="7" t="str">
        <x:v>Central</x:v>
      </x:c>
      <x:c r="B10" s="14" t="d">
        <x:v>2026-06-01T00:00:00.000Z</x:v>
      </x:c>
      <x:c r="C10" s="27" t="n">
        <x:f>'Rebates'!C10</x:f>
        <x:v>101545</x:v>
      </x:c>
      <x:c r="D10" s="27" t="n">
        <x:f>'Rebates'!D10</x:f>
        <x:v>2030.9</x:v>
      </x:c>
      <x:c r="E10" s="27" t="n">
        <x:f>'Rebates'!E10</x:f>
        <x:v>99514.1</x:v>
      </x:c>
      <x:c r="F10" s="27" t="n">
        <x:f>SUMIFS('Sales'!$K$5:$K$388,'Sales'!$B$5:$B$388,A10,'Sales'!$C$5:$C$388,B10)</x:f>
        <x:v>63842</x:v>
      </x:c>
      <x:c r="G10" s="27" t="n">
        <x:f>E10-F10</x:f>
        <x:v>35672.100000000006</x:v>
      </x:c>
      <x:c r="H10" s="28" t="n">
        <x:f>IF(E10=0,"n.a.",G10/E10)</x:f>
        <x:v>0.3584627706023569</x:v>
      </x:c>
      <x:c r="I10" s="27" t="n">
        <x:f>SUMIFS('Sales'!$G$5:$G$388,'Sales'!$B$5:$B$388,A10,'Sales'!$C$5:$C$388,B10)</x:f>
        <x:v>445</x:v>
      </x:c>
    </x:row>
    <x:row r="11" ht="23" customHeight="1">
      <x:c r="A11" s="7" t="str">
        <x:v>Central</x:v>
      </x:c>
      <x:c r="B11" s="14" t="d">
        <x:v>2026-07-01T00:00:00.000Z</x:v>
      </x:c>
      <x:c r="C11" s="27" t="n">
        <x:f>'Rebates'!C11</x:f>
        <x:v>323564.2</x:v>
      </x:c>
      <x:c r="D11" s="27" t="n">
        <x:f>'Rebates'!D11</x:f>
        <x:v>6471.284000000001</x:v>
      </x:c>
      <x:c r="E11" s="27" t="n">
        <x:f>'Rebates'!E11</x:f>
        <x:v>317092.916</x:v>
      </x:c>
      <x:c r="F11" s="27" t="n">
        <x:f>SUMIFS('Sales'!$K$5:$K$388,'Sales'!$B$5:$B$388,A11,'Sales'!$C$5:$C$388,B11)</x:f>
        <x:v>196019.52</x:v>
      </x:c>
      <x:c r="G11" s="27" t="n">
        <x:f>E11-F11</x:f>
        <x:v>121073.39600000004</x:v>
      </x:c>
      <x:c r="H11" s="28" t="n">
        <x:f>IF(E11=0,"n.a.",G11/E11)</x:f>
        <x:v>0.381823086833009</x:v>
      </x:c>
      <x:c r="I11" s="27" t="n">
        <x:f>SUMIFS('Sales'!$G$5:$G$388,'Sales'!$B$5:$B$388,A11,'Sales'!$C$5:$C$388,B11)</x:f>
        <x:v>1335</x:v>
      </x:c>
    </x:row>
    <x:row r="12" ht="23" customHeight="1">
      <x:c r="A12" s="7" t="str">
        <x:v>Central</x:v>
      </x:c>
      <x:c r="B12" s="14" t="d">
        <x:v>2026-08-01T00:00:00.000Z</x:v>
      </x:c>
      <x:c r="C12" s="27" t="n">
        <x:f>'Rebates'!C12</x:f>
        <x:v>351724.4</x:v>
      </x:c>
      <x:c r="D12" s="27" t="n">
        <x:f>'Rebates'!D12</x:f>
        <x:v>7034.488</x:v>
      </x:c>
      <x:c r="E12" s="27" t="n">
        <x:f>'Rebates'!E12</x:f>
        <x:v>344689.912</x:v>
      </x:c>
      <x:c r="F12" s="27" t="n">
        <x:f>SUMIFS('Sales'!$K$5:$K$388,'Sales'!$B$5:$B$388,A12,'Sales'!$C$5:$C$388,B12)</x:f>
        <x:v>213053.51999999996</x:v>
      </x:c>
      <x:c r="G12" s="27" t="n">
        <x:f>E12-F12</x:f>
        <x:v>131636.39200000005</x:v>
      </x:c>
      <x:c r="H12" s="28" t="n">
        <x:f>IF(E12=0,"n.a.",G12/E12)</x:f>
        <x:v>0.38189801156698794</x:v>
      </x:c>
      <x:c r="I12" s="27" t="n">
        <x:f>SUMIFS('Sales'!$G$5:$G$388,'Sales'!$B$5:$B$388,A12,'Sales'!$C$5:$C$388,B12)</x:f>
        <x:v>1454</x:v>
      </x:c>
    </x:row>
    <x:row r="13" ht="23" customHeight="1">
      <x:c r="A13" s="7" t="str">
        <x:v>Central</x:v>
      </x:c>
      <x:c r="B13" s="14" t="d">
        <x:v>2026-09-01T00:00:00.000Z</x:v>
      </x:c>
      <x:c r="C13" s="27" t="n">
        <x:f>'Rebates'!C13</x:f>
        <x:v>371737.1462686567</x:v>
      </x:c>
      <x:c r="D13" s="27" t="n">
        <x:f>'Rebates'!D13</x:f>
        <x:v>7434.742925373134</x:v>
      </x:c>
      <x:c r="E13" s="27" t="n">
        <x:f>'Rebates'!E13</x:f>
        <x:v>364302.4033432836</x:v>
      </x:c>
      <x:c r="F13" s="27" t="n">
        <x:f>SUMIFS('Sales'!$K$5:$K$388,'Sales'!$B$5:$B$388,A13,'Sales'!$C$5:$C$388,B13)</x:f>
        <x:v>225106.3652238806</x:v>
      </x:c>
      <x:c r="G13" s="27" t="n">
        <x:f>E13-F13</x:f>
        <x:v>139196.03811940298</x:v>
      </x:c>
      <x:c r="H13" s="28" t="n">
        <x:f>IF(E13=0,"n.a.",G13/E13)</x:f>
        <x:v>0.3820892666146866</x:v>
      </x:c>
      <x:c r="I13" s="27" t="n">
        <x:f>SUMIFS('Sales'!$G$5:$G$388,'Sales'!$B$5:$B$388,A13,'Sales'!$C$5:$C$388,B13)</x:f>
        <x:v>1544.3208955223881</x:v>
      </x:c>
    </x:row>
    <x:row r="14" ht="23" customHeight="1">
      <x:c r="A14" s="7" t="str">
        <x:v>Central</x:v>
      </x:c>
      <x:c r="B14" s="14" t="d">
        <x:v>2026-10-01T00:00:00.000Z</x:v>
      </x:c>
      <x:c r="C14" s="27" t="n">
        <x:f>'Rebates'!C14</x:f>
        <x:v>288187.88183637103</x:v>
      </x:c>
      <x:c r="D14" s="27" t="n">
        <x:f>'Rebates'!D14</x:f>
        <x:v>5763.7576367274205</x:v>
      </x:c>
      <x:c r="E14" s="27" t="n">
        <x:f>'Rebates'!E14</x:f>
        <x:v>282424.1241996436</x:v>
      </x:c>
      <x:c r="F14" s="27" t="n">
        <x:f>SUMIFS('Sales'!$K$5:$K$388,'Sales'!$B$5:$B$388,A14,'Sales'!$C$5:$C$388,B14)</x:f>
        <x:v>174785.12050190094</x:v>
      </x:c>
      <x:c r="G14" s="27" t="n">
        <x:f>E14-F14</x:f>
        <x:v>107639.00369774268</x:v>
      </x:c>
      <x:c r="H14" s="28" t="n">
        <x:f>IF(E14=0,"n.a.",G14/E14)</x:f>
        <x:v>0.3811253872266713</x:v>
      </x:c>
      <x:c r="I14" s="27" t="n">
        <x:f>SUMIFS('Sales'!$G$5:$G$388,'Sales'!$B$5:$B$388,A14,'Sales'!$C$5:$C$388,B14)</x:f>
        <x:v>1167.5753051754568</x:v>
      </x:c>
    </x:row>
    <x:row r="15" ht="23" customHeight="1">
      <x:c r="A15" s="7" t="str">
        <x:v>Central</x:v>
      </x:c>
      <x:c r="B15" s="14" t="d">
        <x:v>2026-11-01T00:00:00.000Z</x:v>
      </x:c>
      <x:c r="C15" s="27" t="n">
        <x:f>'Rebates'!C15</x:f>
        <x:v>202922.6461968409</x:v>
      </x:c>
      <x:c r="D15" s="27" t="n">
        <x:f>'Rebates'!D15</x:f>
        <x:v>4058.4529239368185</x:v>
      </x:c>
      <x:c r="E15" s="27" t="n">
        <x:f>'Rebates'!E15</x:f>
        <x:v>198864.1932729041</x:v>
      </x:c>
      <x:c r="F15" s="27" t="n">
        <x:f>SUMIFS('Sales'!$K$5:$K$388,'Sales'!$B$5:$B$388,A15,'Sales'!$C$5:$C$388,B15)</x:f>
        <x:v>122905.62051246599</x:v>
      </x:c>
      <x:c r="G15" s="27" t="n">
        <x:f>E15-F15</x:f>
        <x:v>75958.5727604381</x:v>
      </x:c>
      <x:c r="H15" s="28" t="n">
        <x:f>IF(E15=0,"n.a.",G15/E15)</x:f>
        <x:v>0.3819620390695428</x:v>
      </x:c>
      <x:c r="I15" s="27" t="n">
        <x:f>SUMIFS('Sales'!$G$5:$G$388,'Sales'!$B$5:$B$388,A15,'Sales'!$C$5:$C$388,B15)</x:f>
        <x:v>840.2526916540338</x:v>
      </x:c>
    </x:row>
    <x:row r="16" ht="23" customHeight="1">
      <x:c r="A16" s="7" t="str">
        <x:v>Central</x:v>
      </x:c>
      <x:c r="B16" s="14" t="d">
        <x:v>2026-12-01T00:00:00.000Z</x:v>
      </x:c>
      <x:c r="C16" s="27" t="n">
        <x:f>'Rebates'!C16</x:f>
        <x:v>203870.25280569805</x:v>
      </x:c>
      <x:c r="D16" s="27" t="n">
        <x:f>'Rebates'!D16</x:f>
        <x:v>4077.405056113961</x:v>
      </x:c>
      <x:c r="E16" s="27" t="n">
        <x:f>'Rebates'!E16</x:f>
        <x:v>199792.8477495841</x:v>
      </x:c>
      <x:c r="F16" s="27" t="n">
        <x:f>SUMIFS('Sales'!$K$5:$K$388,'Sales'!$B$5:$B$388,A16,'Sales'!$C$5:$C$388,B16)</x:f>
        <x:v>123478.96708006004</x:v>
      </x:c>
      <x:c r="G16" s="27" t="n">
        <x:f>E16-F16</x:f>
        <x:v>76313.88066952405</x:v>
      </x:c>
      <x:c r="H16" s="28" t="n">
        <x:f>IF(E16=0,"n.a.",G16/E16)</x:f>
        <x:v>0.3819650279231926</x:v>
      </x:c>
      <x:c r="I16" s="27" t="n">
        <x:f>SUMIFS('Sales'!$G$5:$G$388,'Sales'!$B$5:$B$388,A16,'Sales'!$C$5:$C$388,B16)</x:f>
        <x:v>844.2415463878812</x:v>
      </x:c>
    </x:row>
    <x:row r="17" ht="23" customHeight="1">
      <x:c r="A17" s="7" t="str">
        <x:v>East</x:v>
      </x:c>
      <x:c r="B17" s="14" t="d">
        <x:v>2026-01-01T00:00:00.000Z</x:v>
      </x:c>
      <x:c r="C17" s="27" t="n">
        <x:f>'Rebates'!C17</x:f>
        <x:v>118630.4</x:v>
      </x:c>
      <x:c r="D17" s="27" t="n">
        <x:f>'Rebates'!D17</x:f>
        <x:v>2372.6079999999997</x:v>
      </x:c>
      <x:c r="E17" s="27" t="n">
        <x:f>'Rebates'!E17</x:f>
        <x:v>116257.792</x:v>
      </x:c>
      <x:c r="F17" s="27" t="n">
        <x:f>SUMIFS('Sales'!$K$5:$K$388,'Sales'!$B$5:$B$388,A17,'Sales'!$C$5:$C$388,B17)</x:f>
        <x:v>74210</x:v>
      </x:c>
      <x:c r="G17" s="27" t="n">
        <x:f>E17-F17</x:f>
        <x:v>42047.792</x:v>
      </x:c>
      <x:c r="H17" s="28" t="n">
        <x:f>IF(E17=0,"n.a.",G17/E17)</x:f>
        <x:v>0.3616771940757313</x:v>
      </x:c>
      <x:c r="I17" s="27" t="n">
        <x:f>SUMIFS('Sales'!$G$5:$G$388,'Sales'!$B$5:$B$388,A17,'Sales'!$C$5:$C$388,B17)</x:f>
        <x:v>528</x:v>
      </x:c>
    </x:row>
    <x:row r="18" ht="23" customHeight="1">
      <x:c r="A18" s="7" t="str">
        <x:v>East</x:v>
      </x:c>
      <x:c r="B18" s="14" t="d">
        <x:v>2026-02-01T00:00:00.000Z</x:v>
      </x:c>
      <x:c r="C18" s="27" t="n">
        <x:f>'Rebates'!C18</x:f>
        <x:v>108153.20000000001</x:v>
      </x:c>
      <x:c r="D18" s="27" t="n">
        <x:f>'Rebates'!D18</x:f>
        <x:v>2163.0640000000003</x:v>
      </x:c>
      <x:c r="E18" s="27" t="n">
        <x:f>'Rebates'!E18</x:f>
        <x:v>105990.13600000001</x:v>
      </x:c>
      <x:c r="F18" s="27" t="n">
        <x:f>SUMIFS('Sales'!$K$5:$K$388,'Sales'!$B$5:$B$388,A18,'Sales'!$C$5:$C$388,B18)</x:f>
        <x:v>67837</x:v>
      </x:c>
      <x:c r="G18" s="27" t="n">
        <x:f>E18-F18</x:f>
        <x:v>38153.13600000001</x:v>
      </x:c>
      <x:c r="H18" s="28" t="n">
        <x:f>IF(E18=0,"n.a.",G18/E18)</x:f>
        <x:v>0.35996874275168406</x:v>
      </x:c>
      <x:c r="I18" s="27" t="n">
        <x:f>SUMIFS('Sales'!$G$5:$G$388,'Sales'!$B$5:$B$388,A18,'Sales'!$C$5:$C$388,B18)</x:f>
        <x:v>485</x:v>
      </x:c>
    </x:row>
    <x:row r="19" ht="23" customHeight="1">
      <x:c r="A19" s="7" t="str">
        <x:v>East</x:v>
      </x:c>
      <x:c r="B19" s="14" t="d">
        <x:v>2026-03-01T00:00:00.000Z</x:v>
      </x:c>
      <x:c r="C19" s="27" t="n">
        <x:f>'Rebates'!C19</x:f>
        <x:v>101996.59999999999</x:v>
      </x:c>
      <x:c r="D19" s="27" t="n">
        <x:f>'Rebates'!D19</x:f>
        <x:v>2039.9319999999998</x:v>
      </x:c>
      <x:c r="E19" s="27" t="n">
        <x:f>'Rebates'!E19</x:f>
        <x:v>99956.66799999999</x:v>
      </x:c>
      <x:c r="F19" s="27" t="n">
        <x:f>SUMIFS('Sales'!$K$5:$K$388,'Sales'!$B$5:$B$388,A19,'Sales'!$C$5:$C$388,B19)</x:f>
        <x:v>63719</x:v>
      </x:c>
      <x:c r="G19" s="27" t="n">
        <x:f>E19-F19</x:f>
        <x:v>36237.66799999999</x:v>
      </x:c>
      <x:c r="H19" s="28" t="n">
        <x:f>IF(E19=0,"n.a.",G19/E19)</x:f>
        <x:v>0.36253377313457463</x:v>
      </x:c>
      <x:c r="I19" s="27" t="n">
        <x:f>SUMIFS('Sales'!$G$5:$G$388,'Sales'!$B$5:$B$388,A19,'Sales'!$C$5:$C$388,B19)</x:f>
        <x:v>450</x:v>
      </x:c>
    </x:row>
    <x:row r="20" ht="23" customHeight="1">
      <x:c r="A20" s="7" t="str">
        <x:v>East</x:v>
      </x:c>
      <x:c r="B20" s="14" t="d">
        <x:v>2026-04-01T00:00:00.000Z</x:v>
      </x:c>
      <x:c r="C20" s="27" t="n">
        <x:f>'Rebates'!C20</x:f>
        <x:v>116836.8</x:v>
      </x:c>
      <x:c r="D20" s="27" t="n">
        <x:f>'Rebates'!D20</x:f>
        <x:v>2336.7360000000003</x:v>
      </x:c>
      <x:c r="E20" s="27" t="n">
        <x:f>'Rebates'!E20</x:f>
        <x:v>114500.064</x:v>
      </x:c>
      <x:c r="F20" s="27" t="n">
        <x:f>SUMIFS('Sales'!$K$5:$K$388,'Sales'!$B$5:$B$388,A20,'Sales'!$C$5:$C$388,B20)</x:f>
        <x:v>72996</x:v>
      </x:c>
      <x:c r="G20" s="27" t="n">
        <x:f>E20-F20</x:f>
        <x:v>41504.064</x:v>
      </x:c>
      <x:c r="H20" s="28" t="n">
        <x:f>IF(E20=0,"n.a.",G20/E20)</x:f>
        <x:v>0.36248070568764046</x:v>
      </x:c>
      <x:c r="I20" s="27" t="n">
        <x:f>SUMIFS('Sales'!$G$5:$G$388,'Sales'!$B$5:$B$388,A20,'Sales'!$C$5:$C$388,B20)</x:f>
        <x:v>517</x:v>
      </x:c>
    </x:row>
    <x:row r="21" ht="23" customHeight="1">
      <x:c r="A21" s="7" t="str">
        <x:v>East</x:v>
      </x:c>
      <x:c r="B21" s="14" t="d">
        <x:v>2026-05-01T00:00:00.000Z</x:v>
      </x:c>
      <x:c r="C21" s="27" t="n">
        <x:f>'Rebates'!C21</x:f>
        <x:v>97997</x:v>
      </x:c>
      <x:c r="D21" s="27" t="n">
        <x:f>'Rebates'!D21</x:f>
        <x:v>1959.94</x:v>
      </x:c>
      <x:c r="E21" s="27" t="n">
        <x:f>'Rebates'!E21</x:f>
        <x:v>96037.06</x:v>
      </x:c>
      <x:c r="F21" s="27" t="n">
        <x:f>SUMIFS('Sales'!$K$5:$K$388,'Sales'!$B$5:$B$388,A21,'Sales'!$C$5:$C$388,B21)</x:f>
        <x:v>61442</x:v>
      </x:c>
      <x:c r="G21" s="27" t="n">
        <x:f>E21-F21</x:f>
        <x:v>34595.06</x:v>
      </x:c>
      <x:c r="H21" s="28" t="n">
        <x:f>IF(E21=0,"n.a.",G21/E21)</x:f>
        <x:v>0.3602261460315424</x:v>
      </x:c>
      <x:c r="I21" s="27" t="n">
        <x:f>SUMIFS('Sales'!$G$5:$G$388,'Sales'!$B$5:$B$388,A21,'Sales'!$C$5:$C$388,B21)</x:f>
        <x:v>443</x:v>
      </x:c>
    </x:row>
    <x:row r="22" ht="23" customHeight="1">
      <x:c r="A22" s="7" t="str">
        <x:v>East</x:v>
      </x:c>
      <x:c r="B22" s="14" t="d">
        <x:v>2026-06-01T00:00:00.000Z</x:v>
      </x:c>
      <x:c r="C22" s="27" t="n">
        <x:f>'Rebates'!C22</x:f>
        <x:v>102617.4</x:v>
      </x:c>
      <x:c r="D22" s="27" t="n">
        <x:f>'Rebates'!D22</x:f>
        <x:v>2052.348</x:v>
      </x:c>
      <x:c r="E22" s="27" t="n">
        <x:f>'Rebates'!E22</x:f>
        <x:v>100565.052</x:v>
      </x:c>
      <x:c r="F22" s="27" t="n">
        <x:f>SUMIFS('Sales'!$K$5:$K$388,'Sales'!$B$5:$B$388,A22,'Sales'!$C$5:$C$388,B22)</x:f>
        <x:v>64009</x:v>
      </x:c>
      <x:c r="G22" s="27" t="n">
        <x:f>E22-F22</x:f>
        <x:v>36556.051999999996</x:v>
      </x:c>
      <x:c r="H22" s="28" t="n">
        <x:f>IF(E22=0,"n.a.",G22/E22)</x:f>
        <x:v>0.36350651914344956</x:v>
      </x:c>
      <x:c r="I22" s="27" t="n">
        <x:f>SUMIFS('Sales'!$G$5:$G$388,'Sales'!$B$5:$B$388,A22,'Sales'!$C$5:$C$388,B22)</x:f>
        <x:v>464</x:v>
      </x:c>
    </x:row>
    <x:row r="23" ht="23" customHeight="1">
      <x:c r="A23" s="7" t="str">
        <x:v>East</x:v>
      </x:c>
      <x:c r="B23" s="14" t="d">
        <x:v>2026-07-01T00:00:00.000Z</x:v>
      </x:c>
      <x:c r="C23" s="27" t="n">
        <x:f>'Rebates'!C23</x:f>
        <x:v>346038.8</x:v>
      </x:c>
      <x:c r="D23" s="27" t="n">
        <x:f>'Rebates'!D23</x:f>
        <x:v>6920.776</x:v>
      </x:c>
      <x:c r="E23" s="27" t="n">
        <x:f>'Rebates'!E23</x:f>
        <x:v>339118.024</x:v>
      </x:c>
      <x:c r="F23" s="27" t="n">
        <x:f>SUMIFS('Sales'!$K$5:$K$388,'Sales'!$B$5:$B$388,A23,'Sales'!$C$5:$C$388,B23)</x:f>
        <x:v>209614.08000000002</x:v>
      </x:c>
      <x:c r="G23" s="27" t="n">
        <x:f>E23-F23</x:f>
        <x:v>129503.94399999996</x:v>
      </x:c>
      <x:c r="H23" s="28" t="n">
        <x:f>IF(E23=0,"n.a.",G23/E23)</x:f>
        <x:v>0.38188457951146815</x:v>
      </x:c>
      <x:c r="I23" s="27" t="n">
        <x:f>SUMIFS('Sales'!$G$5:$G$388,'Sales'!$B$5:$B$388,A23,'Sales'!$C$5:$C$388,B23)</x:f>
        <x:v>1430</x:v>
      </x:c>
    </x:row>
    <x:row r="24" ht="23" customHeight="1">
      <x:c r="A24" s="7" t="str">
        <x:v>East</x:v>
      </x:c>
      <x:c r="B24" s="14" t="d">
        <x:v>2026-08-01T00:00:00.000Z</x:v>
      </x:c>
      <x:c r="C24" s="27" t="n">
        <x:f>'Rebates'!C24</x:f>
        <x:v>373457.4</x:v>
      </x:c>
      <x:c r="D24" s="27" t="n">
        <x:f>'Rebates'!D24</x:f>
        <x:v>7469.148000000001</x:v>
      </x:c>
      <x:c r="E24" s="27" t="n">
        <x:f>'Rebates'!E24</x:f>
        <x:v>365988.25200000004</x:v>
      </x:c>
      <x:c r="F24" s="27" t="n">
        <x:f>SUMIFS('Sales'!$K$5:$K$388,'Sales'!$B$5:$B$388,A24,'Sales'!$C$5:$C$388,B24)</x:f>
        <x:v>226198.25999999998</x:v>
      </x:c>
      <x:c r="G24" s="27" t="n">
        <x:f>E24-F24</x:f>
        <x:v>139789.99200000006</x:v>
      </x:c>
      <x:c r="H24" s="28" t="n">
        <x:f>IF(E24=0,"n.a.",G24/E24)</x:f>
        <x:v>0.38195212888964547</x:v>
      </x:c>
      <x:c r="I24" s="27" t="n">
        <x:f>SUMIFS('Sales'!$G$5:$G$388,'Sales'!$B$5:$B$388,A24,'Sales'!$C$5:$C$388,B24)</x:f>
        <x:v>1546</x:v>
      </x:c>
    </x:row>
    <x:row r="25" ht="23" customHeight="1">
      <x:c r="A25" s="7" t="str">
        <x:v>East</x:v>
      </x:c>
      <x:c r="B25" s="14" t="d">
        <x:v>2026-09-01T00:00:00.000Z</x:v>
      </x:c>
      <x:c r="C25" s="27" t="n">
        <x:f>'Rebates'!C25</x:f>
        <x:v>393822.80597014923</x:v>
      </x:c>
      <x:c r="D25" s="27" t="n">
        <x:f>'Rebates'!D25</x:f>
        <x:v>7876.456119402985</x:v>
      </x:c>
      <x:c r="E25" s="27" t="n">
        <x:f>'Rebates'!E25</x:f>
        <x:v>385946.3498507462</x:v>
      </x:c>
      <x:c r="F25" s="27" t="n">
        <x:f>SUMIFS('Sales'!$K$5:$K$388,'Sales'!$B$5:$B$388,A25,'Sales'!$C$5:$C$388,B25)</x:f>
        <x:v>238463.60449893388</x:v>
      </x:c>
      <x:c r="G25" s="27" t="n">
        <x:f>E25-F25</x:f>
        <x:v>147482.74535181234</x:v>
      </x:c>
      <x:c r="H25" s="28" t="n">
        <x:f>IF(E25=0,"n.a.",G25/E25)</x:f>
        <x:v>0.38213276381250166</x:v>
      </x:c>
      <x:c r="I25" s="27" t="n">
        <x:f>SUMIFS('Sales'!$G$5:$G$388,'Sales'!$B$5:$B$388,A25,'Sales'!$C$5:$C$388,B25)</x:f>
        <x:v>1637.9008528784648</x:v>
      </x:c>
    </x:row>
    <x:row r="26" ht="23" customHeight="1">
      <x:c r="A26" s="7" t="str">
        <x:v>East</x:v>
      </x:c>
      <x:c r="B26" s="14" t="d">
        <x:v>2026-10-01T00:00:00.000Z</x:v>
      </x:c>
      <x:c r="C26" s="27" t="n">
        <x:f>'Rebates'!C26</x:f>
        <x:v>303596.7080762817</x:v>
      </x:c>
      <x:c r="D26" s="27" t="n">
        <x:f>'Rebates'!D26</x:f>
        <x:v>6071.934161525634</x:v>
      </x:c>
      <x:c r="E26" s="27" t="n">
        <x:f>'Rebates'!E26</x:f>
        <x:v>297524.7739147561</x:v>
      </x:c>
      <x:c r="F26" s="27" t="n">
        <x:f>SUMIFS('Sales'!$K$5:$K$388,'Sales'!$B$5:$B$388,A26,'Sales'!$C$5:$C$388,B26)</x:f>
        <x:v>184119.01500154962</x:v>
      </x:c>
      <x:c r="G26" s="27" t="n">
        <x:f>E26-F26</x:f>
        <x:v>113405.75891320646</x:v>
      </x:c>
      <x:c r="H26" s="28" t="n">
        <x:f>IF(E26=0,"n.a.",G26/E26)</x:f>
        <x:v>0.38116408734991053</x:v>
      </x:c>
      <x:c r="I26" s="27" t="n">
        <x:f>SUMIFS('Sales'!$G$5:$G$388,'Sales'!$B$5:$B$388,A26,'Sales'!$C$5:$C$388,B26)</x:f>
        <x:v>1231.257482811796</x:v>
      </x:c>
    </x:row>
    <x:row r="27" ht="23" customHeight="1">
      <x:c r="A27" s="7" t="str">
        <x:v>East</x:v>
      </x:c>
      <x:c r="B27" s="14" t="d">
        <x:v>2026-11-01T00:00:00.000Z</x:v>
      </x:c>
      <x:c r="C27" s="27" t="n">
        <x:f>'Rebates'!C27</x:f>
        <x:v>213422.31505444204</x:v>
      </x:c>
      <x:c r="D27" s="27" t="n">
        <x:f>'Rebates'!D27</x:f>
        <x:v>4268.446301088841</x:v>
      </x:c>
      <x:c r="E27" s="27" t="n">
        <x:f>'Rebates'!E27</x:f>
        <x:v>209153.8687533532</x:v>
      </x:c>
      <x:c r="F27" s="27" t="n">
        <x:f>SUMIFS('Sales'!$K$5:$K$388,'Sales'!$B$5:$B$388,A27,'Sales'!$C$5:$C$388,B27)</x:f>
        <x:v>129258.19764110573</x:v>
      </x:c>
      <x:c r="G27" s="27" t="n">
        <x:f>E27-F27</x:f>
        <x:v>79895.67111224747</x:v>
      </x:c>
      <x:c r="H27" s="28" t="n">
        <x:f>IF(E27=0,"n.a.",G27/E27)</x:f>
        <x:v>0.38199470843384326</x:v>
      </x:c>
      <x:c r="I27" s="27" t="n">
        <x:f>SUMIFS('Sales'!$G$5:$G$388,'Sales'!$B$5:$B$388,A27,'Sales'!$C$5:$C$388,B27)</x:f>
        <x:v>884.4735612196388</x:v>
      </x:c>
    </x:row>
    <x:row r="28" ht="23" customHeight="1">
      <x:c r="A28" s="7" t="str">
        <x:v>East</x:v>
      </x:c>
      <x:c r="B28" s="14" t="d">
        <x:v>2026-12-01T00:00:00.000Z</x:v>
      </x:c>
      <x:c r="C28" s="27" t="n">
        <x:f>'Rebates'!C28</x:f>
        <x:v>213638.54690968632</x:v>
      </x:c>
      <x:c r="D28" s="27" t="n">
        <x:f>'Rebates'!D28</x:f>
        <x:v>4272.770938193727</x:v>
      </x:c>
      <x:c r="E28" s="27" t="n">
        <x:f>'Rebates'!E28</x:f>
        <x:v>209365.7759714926</x:v>
      </x:c>
      <x:c r="F28" s="27" t="n">
        <x:f>SUMIFS('Sales'!$K$5:$K$388,'Sales'!$B$5:$B$388,A28,'Sales'!$C$5:$C$388,B28)</x:f>
        <x:v>129388.14200049496</x:v>
      </x:c>
      <x:c r="G28" s="27" t="n">
        <x:f>E28-F28</x:f>
        <x:v>79977.63397099765</x:v>
      </x:c>
      <x:c r="H28" s="28" t="n">
        <x:f>IF(E28=0,"n.a.",G28/E28)</x:f>
        <x:v>0.3819995584277702</x:v>
      </x:c>
      <x:c r="I28" s="27" t="n">
        <x:f>SUMIFS('Sales'!$G$5:$G$388,'Sales'!$B$5:$B$388,A28,'Sales'!$C$5:$C$388,B28)</x:f>
        <x:v>885.4802906923251</x:v>
      </x:c>
    </x:row>
    <x:row r="29" ht="23" customHeight="1">
      <x:c r="A29" s="7" t="str">
        <x:v>West</x:v>
      </x:c>
      <x:c r="B29" s="14" t="d">
        <x:v>2026-01-01T00:00:00.000Z</x:v>
      </x:c>
      <x:c r="C29" s="27" t="n">
        <x:f>'Rebates'!C29</x:f>
        <x:v>112354</x:v>
      </x:c>
      <x:c r="D29" s="27" t="n">
        <x:f>'Rebates'!D29</x:f>
        <x:v>2247.08</x:v>
      </x:c>
      <x:c r="E29" s="27" t="n">
        <x:f>'Rebates'!E29</x:f>
        <x:v>110106.92</x:v>
      </x:c>
      <x:c r="F29" s="27" t="n">
        <x:f>SUMIFS('Sales'!$K$5:$K$388,'Sales'!$B$5:$B$388,A29,'Sales'!$C$5:$C$388,B29)</x:f>
        <x:v>70452</x:v>
      </x:c>
      <x:c r="G29" s="27" t="n">
        <x:f>E29-F29</x:f>
        <x:v>39654.92</x:v>
      </x:c>
      <x:c r="H29" s="28" t="n">
        <x:f>IF(E29=0,"n.a.",G29/E29)</x:f>
        <x:v>0.36014920769739084</x:v>
      </x:c>
      <x:c r="I29" s="27" t="n">
        <x:f>SUMIFS('Sales'!$G$5:$G$388,'Sales'!$B$5:$B$388,A29,'Sales'!$C$5:$C$388,B29)</x:f>
        <x:v>505</x:v>
      </x:c>
    </x:row>
    <x:row r="30" ht="23" customHeight="1">
      <x:c r="A30" s="7" t="str">
        <x:v>West</x:v>
      </x:c>
      <x:c r="B30" s="14" t="d">
        <x:v>2026-02-01T00:00:00.000Z</x:v>
      </x:c>
      <x:c r="C30" s="27" t="n">
        <x:f>'Rebates'!C30</x:f>
        <x:v>114082.2</x:v>
      </x:c>
      <x:c r="D30" s="27" t="n">
        <x:f>'Rebates'!D30</x:f>
        <x:v>2281.644</x:v>
      </x:c>
      <x:c r="E30" s="27" t="n">
        <x:f>'Rebates'!E30</x:f>
        <x:v>111800.556</x:v>
      </x:c>
      <x:c r="F30" s="27" t="n">
        <x:f>SUMIFS('Sales'!$K$5:$K$388,'Sales'!$B$5:$B$388,A30,'Sales'!$C$5:$C$388,B30)</x:f>
        <x:v>71212</x:v>
      </x:c>
      <x:c r="G30" s="27" t="n">
        <x:f>E30-F30</x:f>
        <x:v>40588.556</x:v>
      </x:c>
      <x:c r="H30" s="28" t="n">
        <x:f>IF(E30=0,"n.a.",G30/E30)</x:f>
        <x:v>0.36304431258821285</x:v>
      </x:c>
      <x:c r="I30" s="27" t="n">
        <x:f>SUMIFS('Sales'!$G$5:$G$388,'Sales'!$B$5:$B$388,A30,'Sales'!$C$5:$C$388,B30)</x:f>
        <x:v>513</x:v>
      </x:c>
    </x:row>
    <x:row r="31" ht="23" customHeight="1">
      <x:c r="A31" s="7" t="str">
        <x:v>West</x:v>
      </x:c>
      <x:c r="B31" s="14" t="d">
        <x:v>2026-03-01T00:00:00.000Z</x:v>
      </x:c>
      <x:c r="C31" s="27" t="n">
        <x:f>'Rebates'!C31</x:f>
        <x:v>111417.6</x:v>
      </x:c>
      <x:c r="D31" s="27" t="n">
        <x:f>'Rebates'!D31</x:f>
        <x:v>2228.3520000000003</x:v>
      </x:c>
      <x:c r="E31" s="27" t="n">
        <x:f>'Rebates'!E31</x:f>
        <x:v>109189.248</x:v>
      </x:c>
      <x:c r="F31" s="27" t="n">
        <x:f>SUMIFS('Sales'!$K$5:$K$388,'Sales'!$B$5:$B$388,A31,'Sales'!$C$5:$C$388,B31)</x:f>
        <x:v>69768</x:v>
      </x:c>
      <x:c r="G31" s="27" t="n">
        <x:f>E31-F31</x:f>
        <x:v>39421.24800000001</x:v>
      </x:c>
      <x:c r="H31" s="28" t="n">
        <x:f>IF(E31=0,"n.a.",G31/E31)</x:f>
        <x:v>0.3610359877192304</x:v>
      </x:c>
      <x:c r="I31" s="27" t="n">
        <x:f>SUMIFS('Sales'!$G$5:$G$388,'Sales'!$B$5:$B$388,A31,'Sales'!$C$5:$C$388,B31)</x:f>
        <x:v>490</x:v>
      </x:c>
    </x:row>
    <x:row r="32" ht="23" customHeight="1">
      <x:c r="A32" s="7" t="str">
        <x:v>West</x:v>
      </x:c>
      <x:c r="B32" s="14" t="d">
        <x:v>2026-04-01T00:00:00.000Z</x:v>
      </x:c>
      <x:c r="C32" s="27" t="n">
        <x:f>'Rebates'!C32</x:f>
        <x:v>107437.40000000001</x:v>
      </x:c>
      <x:c r="D32" s="27" t="n">
        <x:f>'Rebates'!D32</x:f>
        <x:v>2148.748</x:v>
      </x:c>
      <x:c r="E32" s="27" t="n">
        <x:f>'Rebates'!E32</x:f>
        <x:v>105288.652</x:v>
      </x:c>
      <x:c r="F32" s="27" t="n">
        <x:f>SUMIFS('Sales'!$K$5:$K$388,'Sales'!$B$5:$B$388,A32,'Sales'!$C$5:$C$388,B32)</x:f>
        <x:v>67248</x:v>
      </x:c>
      <x:c r="G32" s="27" t="n">
        <x:f>E32-F32</x:f>
        <x:v>38040.652</x:v>
      </x:c>
      <x:c r="H32" s="28" t="n">
        <x:f>IF(E32=0,"n.a.",G32/E32)</x:f>
        <x:v>0.3612986896251649</x:v>
      </x:c>
      <x:c r="I32" s="27" t="n">
        <x:f>SUMIFS('Sales'!$G$5:$G$388,'Sales'!$B$5:$B$388,A32,'Sales'!$C$5:$C$388,B32)</x:f>
        <x:v>484</x:v>
      </x:c>
    </x:row>
    <x:row r="33" ht="23" customHeight="1">
      <x:c r="A33" s="7" t="str">
        <x:v>West</x:v>
      </x:c>
      <x:c r="B33" s="14" t="d">
        <x:v>2026-05-01T00:00:00.000Z</x:v>
      </x:c>
      <x:c r="C33" s="27" t="n">
        <x:f>'Rebates'!C33</x:f>
        <x:v>98992.4</x:v>
      </x:c>
      <x:c r="D33" s="27" t="n">
        <x:f>'Rebates'!D33</x:f>
        <x:v>1979.848</x:v>
      </x:c>
      <x:c r="E33" s="27" t="n">
        <x:f>'Rebates'!E33</x:f>
        <x:v>97012.552</x:v>
      </x:c>
      <x:c r="F33" s="27" t="n">
        <x:f>SUMIFS('Sales'!$K$5:$K$388,'Sales'!$B$5:$B$388,A33,'Sales'!$C$5:$C$388,B33)</x:f>
        <x:v>61874</x:v>
      </x:c>
      <x:c r="G33" s="27" t="n">
        <x:f>E33-F33</x:f>
        <x:v>35138.551999999996</x:v>
      </x:c>
      <x:c r="H33" s="28" t="n">
        <x:f>IF(E33=0,"n.a.",G33/E33)</x:f>
        <x:v>0.362206243167379</x:v>
      </x:c>
      <x:c r="I33" s="27" t="n">
        <x:f>SUMIFS('Sales'!$G$5:$G$388,'Sales'!$B$5:$B$388,A33,'Sales'!$C$5:$C$388,B33)</x:f>
        <x:v>434</x:v>
      </x:c>
    </x:row>
    <x:row r="34" ht="23" customHeight="1">
      <x:c r="A34" s="7" t="str">
        <x:v>West</x:v>
      </x:c>
      <x:c r="B34" s="14" t="d">
        <x:v>2026-06-01T00:00:00.000Z</x:v>
      </x:c>
      <x:c r="C34" s="27" t="n">
        <x:f>'Rebates'!C34</x:f>
        <x:v>96041.4</x:v>
      </x:c>
      <x:c r="D34" s="27" t="n">
        <x:f>'Rebates'!D34</x:f>
        <x:v>1920.828</x:v>
      </x:c>
      <x:c r="E34" s="27" t="n">
        <x:f>'Rebates'!E34</x:f>
        <x:v>94120.572</x:v>
      </x:c>
      <x:c r="F34" s="27" t="n">
        <x:f>SUMIFS('Sales'!$K$5:$K$388,'Sales'!$B$5:$B$388,A34,'Sales'!$C$5:$C$388,B34)</x:f>
        <x:v>59913</x:v>
      </x:c>
      <x:c r="G34" s="27" t="n">
        <x:f>E34-F34</x:f>
        <x:v>34207.572</x:v>
      </x:c>
      <x:c r="H34" s="28" t="n">
        <x:f>IF(E34=0,"n.a.",G34/E34)</x:f>
        <x:v>0.3634441575641933</x:v>
      </x:c>
      <x:c r="I34" s="27" t="n">
        <x:f>SUMIFS('Sales'!$G$5:$G$388,'Sales'!$B$5:$B$388,A34,'Sales'!$C$5:$C$388,B34)</x:f>
        <x:v>428</x:v>
      </x:c>
    </x:row>
    <x:row r="35" ht="23" customHeight="1">
      <x:c r="A35" s="7" t="str">
        <x:v>West</x:v>
      </x:c>
      <x:c r="B35" s="14" t="d">
        <x:v>2026-07-01T00:00:00.000Z</x:v>
      </x:c>
      <x:c r="C35" s="27" t="n">
        <x:f>'Rebates'!C35</x:f>
        <x:v>368266.2</x:v>
      </x:c>
      <x:c r="D35" s="27" t="n">
        <x:f>'Rebates'!D35</x:f>
        <x:v>7365.3240000000005</x:v>
      </x:c>
      <x:c r="E35" s="27" t="n">
        <x:f>'Rebates'!E35</x:f>
        <x:v>360900.876</x:v>
      </x:c>
      <x:c r="F35" s="27" t="n">
        <x:f>SUMIFS('Sales'!$K$5:$K$388,'Sales'!$B$5:$B$388,A35,'Sales'!$C$5:$C$388,B35)</x:f>
        <x:v>223058.7</x:v>
      </x:c>
      <x:c r="G35" s="27" t="n">
        <x:f>E35-F35</x:f>
        <x:v>137842.17599999998</x:v>
      </x:c>
      <x:c r="H35" s="28" t="n">
        <x:f>IF(E35=0,"n.a.",G35/E35)</x:f>
        <x:v>0.3819391560579088</x:v>
      </x:c>
      <x:c r="I35" s="27" t="n">
        <x:f>SUMIFS('Sales'!$G$5:$G$388,'Sales'!$B$5:$B$388,A35,'Sales'!$C$5:$C$388,B35)</x:f>
        <x:v>1524</x:v>
      </x:c>
    </x:row>
    <x:row r="36" ht="23" customHeight="1">
      <x:c r="A36" s="7" t="str">
        <x:v>West</x:v>
      </x:c>
      <x:c r="B36" s="14" t="d">
        <x:v>2026-08-01T00:00:00.000Z</x:v>
      </x:c>
      <x:c r="C36" s="27" t="n">
        <x:f>'Rebates'!C36</x:f>
        <x:v>395952.6</x:v>
      </x:c>
      <x:c r="D36" s="27" t="n">
        <x:f>'Rebates'!D36</x:f>
        <x:v>7919.052</x:v>
      </x:c>
      <x:c r="E36" s="27" t="n">
        <x:f>'Rebates'!E36</x:f>
        <x:v>388033.54799999995</x:v>
      </x:c>
      <x:c r="F36" s="27" t="n">
        <x:f>SUMIFS('Sales'!$K$5:$K$388,'Sales'!$B$5:$B$388,A36,'Sales'!$C$5:$C$388,B36)</x:f>
        <x:v>239806.08</x:v>
      </x:c>
      <x:c r="G36" s="27" t="n">
        <x:f>E36-F36</x:f>
        <x:v>148227.46799999996</x:v>
      </x:c>
      <x:c r="H36" s="28" t="n">
        <x:f>IF(E36=0,"n.a.",G36/E36)</x:f>
        <x:v>0.38199652778475734</x:v>
      </x:c>
      <x:c r="I36" s="27" t="n">
        <x:f>SUMIFS('Sales'!$G$5:$G$388,'Sales'!$B$5:$B$388,A36,'Sales'!$C$5:$C$388,B36)</x:f>
        <x:v>1641</x:v>
      </x:c>
    </x:row>
    <x:row r="37" ht="23" customHeight="1">
      <x:c r="A37" s="7" t="str">
        <x:v>West</x:v>
      </x:c>
      <x:c r="B37" s="14" t="d">
        <x:v>2026-09-01T00:00:00.000Z</x:v>
      </x:c>
      <x:c r="C37" s="27" t="n">
        <x:f>'Rebates'!C37</x:f>
        <x:v>415427.5940298508</x:v>
      </x:c>
      <x:c r="D37" s="27" t="n">
        <x:f>'Rebates'!D37</x:f>
        <x:v>8308.551880597017</x:v>
      </x:c>
      <x:c r="E37" s="27" t="n">
        <x:f>'Rebates'!E37</x:f>
        <x:v>407119.0421492538</x:v>
      </x:c>
      <x:c r="F37" s="27" t="n">
        <x:f>SUMIFS('Sales'!$K$5:$K$388,'Sales'!$B$5:$B$388,A37,'Sales'!$C$5:$C$388,B37)</x:f>
        <x:v>251528.58550106612</x:v>
      </x:c>
      <x:c r="G37" s="27" t="n">
        <x:f>E37-F37</x:f>
        <x:v>155590.45664818765</x:v>
      </x:c>
      <x:c r="H37" s="28" t="n">
        <x:f>IF(E37=0,"n.a.",G37/E37)</x:f>
        <x:v>0.3821743532967605</x:v>
      </x:c>
      <x:c r="I37" s="27" t="n">
        <x:f>SUMIFS('Sales'!$G$5:$G$388,'Sales'!$B$5:$B$388,A37,'Sales'!$C$5:$C$388,B37)</x:f>
        <x:v>1729.5991471215352</x:v>
      </x:c>
    </x:row>
    <x:row r="38" ht="23" customHeight="1">
      <x:c r="A38" s="7" t="str">
        <x:v>West</x:v>
      </x:c>
      <x:c r="B38" s="14" t="d">
        <x:v>2026-10-01T00:00:00.000Z</x:v>
      </x:c>
      <x:c r="C38" s="27" t="n">
        <x:f>'Rebates'!C38</x:f>
        <x:v>319389.0088571675</x:v>
      </x:c>
      <x:c r="D38" s="27" t="n">
        <x:f>'Rebates'!D38</x:f>
        <x:v>6387.780177143351</x:v>
      </x:c>
      <x:c r="E38" s="27" t="n">
        <x:f>'Rebates'!E38</x:f>
        <x:v>313001.22868002416</x:v>
      </x:c>
      <x:c r="F38" s="27" t="n">
        <x:f>SUMIFS('Sales'!$K$5:$K$388,'Sales'!$B$5:$B$388,A38,'Sales'!$C$5:$C$388,B38)</x:f>
        <x:v>193687.20780240654</x:v>
      </x:c>
      <x:c r="G38" s="27" t="n">
        <x:f>E38-F38</x:f>
        <x:v>119314.02087761762</x:v>
      </x:c>
      <x:c r="H38" s="28" t="n">
        <x:f>IF(E38=0,"n.a.",G38/E38)</x:f>
        <x:v>0.38119345850744346</x:v>
      </x:c>
      <x:c r="I38" s="27" t="n">
        <x:f>SUMIFS('Sales'!$G$5:$G$388,'Sales'!$B$5:$B$388,A38,'Sales'!$C$5:$C$388,B38)</x:f>
        <x:v>1296.3056915438049</x:v>
      </x:c>
    </x:row>
    <x:row r="39" ht="23" customHeight="1">
      <x:c r="A39" s="7" t="str">
        <x:v>West</x:v>
      </x:c>
      <x:c r="B39" s="14" t="d">
        <x:v>2026-11-01T00:00:00.000Z</x:v>
      </x:c>
      <x:c r="C39" s="27" t="n">
        <x:f>'Rebates'!C39</x:f>
        <x:v>223690.4263919073</x:v>
      </x:c>
      <x:c r="D39" s="27" t="n">
        <x:f>'Rebates'!D39</x:f>
        <x:v>4473.808527838146</x:v>
      </x:c>
      <x:c r="E39" s="27" t="n">
        <x:f>'Rebates'!E39</x:f>
        <x:v>219216.61786406915</x:v>
      </x:c>
      <x:c r="F39" s="27" t="n">
        <x:f>SUMIFS('Sales'!$K$5:$K$388,'Sales'!$B$5:$B$388,A39,'Sales'!$C$5:$C$388,B39)</x:f>
        <x:v>135470.2926602239</x:v>
      </x:c>
      <x:c r="G39" s="27" t="n">
        <x:f>E39-F39</x:f>
        <x:v>83746.32520384525</x:v>
      </x:c>
      <x:c r="H39" s="28" t="n">
        <x:f>IF(E39=0,"n.a.",G39/E39)</x:f>
        <x:v>0.3820254414096211</x:v>
      </x:c>
      <x:c r="I39" s="27" t="n">
        <x:f>SUMIFS('Sales'!$G$5:$G$388,'Sales'!$B$5:$B$388,A39,'Sales'!$C$5:$C$388,B39)</x:f>
        <x:v>927.7609892552296</x:v>
      </x:c>
    </x:row>
    <x:row r="40" ht="23" customHeight="1">
      <x:c r="A40" s="7" t="str">
        <x:v>West</x:v>
      </x:c>
      <x:c r="B40" s="14" t="d">
        <x:v>2026-12-01T00:00:00.000Z</x:v>
      </x:c>
      <x:c r="C40" s="27" t="n">
        <x:f>'Rebates'!C40</x:f>
        <x:v>223426.2991893469</x:v>
      </x:c>
      <x:c r="D40" s="27" t="n">
        <x:f>'Rebates'!D40</x:f>
        <x:v>4468.525983786938</x:v>
      </x:c>
      <x:c r="E40" s="27" t="n">
        <x:f>'Rebates'!E40</x:f>
        <x:v>218957.77320555996</x:v>
      </x:c>
      <x:c r="F40" s="27" t="n">
        <x:f>SUMIFS('Sales'!$K$5:$K$388,'Sales'!$B$5:$B$388,A40,'Sales'!$C$5:$C$388,B40)</x:f>
        <x:v>135309.77398749287</x:v>
      </x:c>
      <x:c r="G40" s="27" t="n">
        <x:f>E40-F40</x:f>
        <x:v>83647.9992180671</x:v>
      </x:c>
      <x:c r="H40" s="28" t="n">
        <x:f>IF(E40=0,"n.a.",G40/E40)</x:f>
        <x:v>0.3820279955968379</x:v>
      </x:c>
      <x:c r="I40" s="27" t="n">
        <x:f>SUMIFS('Sales'!$G$5:$G$388,'Sales'!$B$5:$B$388,A40,'Sales'!$C$5:$C$388,B40)</x:f>
        <x:v>926.72643731829</x:v>
      </x:c>
    </x:row>
    <x:row r="41" ht="23" customHeight="1">
      <x:c r="A41" s="7" t="str">
        <x:v>North</x:v>
      </x:c>
      <x:c r="B41" s="14" t="d">
        <x:v>2026-01-01T00:00:00.000Z</x:v>
      </x:c>
      <x:c r="C41" s="27" t="n">
        <x:f>'Rebates'!C41</x:f>
        <x:v>113249.2</x:v>
      </x:c>
      <x:c r="D41" s="27" t="n">
        <x:f>'Rebates'!D41</x:f>
        <x:v>2264.984</x:v>
      </x:c>
      <x:c r="E41" s="27" t="n">
        <x:f>'Rebates'!E41</x:f>
        <x:v>110984.216</x:v>
      </x:c>
      <x:c r="F41" s="27" t="n">
        <x:f>SUMIFS('Sales'!$K$5:$K$388,'Sales'!$B$5:$B$388,A41,'Sales'!$C$5:$C$388,B41)</x:f>
        <x:v>70644</x:v>
      </x:c>
      <x:c r="G41" s="27" t="n">
        <x:f>E41-F41</x:f>
        <x:v>40340.216</x:v>
      </x:c>
      <x:c r="H41" s="28" t="n">
        <x:f>IF(E41=0,"n.a.",G41/E41)</x:f>
        <x:v>0.3634770551516983</x:v>
      </x:c>
      <x:c r="I41" s="27" t="n">
        <x:f>SUMIFS('Sales'!$G$5:$G$388,'Sales'!$B$5:$B$388,A41,'Sales'!$C$5:$C$388,B41)</x:f>
        <x:v>501</x:v>
      </x:c>
    </x:row>
    <x:row r="42" ht="23" customHeight="1">
      <x:c r="A42" s="7" t="str">
        <x:v>North</x:v>
      </x:c>
      <x:c r="B42" s="14" t="d">
        <x:v>2026-02-01T00:00:00.000Z</x:v>
      </x:c>
      <x:c r="C42" s="27" t="n">
        <x:f>'Rebates'!C42</x:f>
        <x:v>110650.2</x:v>
      </x:c>
      <x:c r="D42" s="27" t="n">
        <x:f>'Rebates'!D42</x:f>
        <x:v>2213.004</x:v>
      </x:c>
      <x:c r="E42" s="27" t="n">
        <x:f>'Rebates'!E42</x:f>
        <x:v>108437.196</x:v>
      </x:c>
      <x:c r="F42" s="27" t="n">
        <x:f>SUMIFS('Sales'!$K$5:$K$388,'Sales'!$B$5:$B$388,A42,'Sales'!$C$5:$C$388,B42)</x:f>
        <x:v>69198</x:v>
      </x:c>
      <x:c r="G42" s="27" t="n">
        <x:f>E42-F42</x:f>
        <x:v>39239.195999999996</x:v>
      </x:c>
      <x:c r="H42" s="28" t="n">
        <x:f>IF(E42=0,"n.a.",G42/E42)</x:f>
        <x:v>0.36186103521157076</x:v>
      </x:c>
      <x:c r="I42" s="27" t="n">
        <x:f>SUMIFS('Sales'!$G$5:$G$388,'Sales'!$B$5:$B$388,A42,'Sales'!$C$5:$C$388,B42)</x:f>
        <x:v>497</x:v>
      </x:c>
    </x:row>
    <x:row r="43" ht="23" customHeight="1">
      <x:c r="A43" s="7" t="str">
        <x:v>North</x:v>
      </x:c>
      <x:c r="B43" s="14" t="d">
        <x:v>2026-03-01T00:00:00.000Z</x:v>
      </x:c>
      <x:c r="C43" s="27" t="n">
        <x:f>'Rebates'!C43</x:f>
        <x:v>103981</x:v>
      </x:c>
      <x:c r="D43" s="27" t="n">
        <x:f>'Rebates'!D43</x:f>
        <x:v>2079.62</x:v>
      </x:c>
      <x:c r="E43" s="27" t="n">
        <x:f>'Rebates'!E43</x:f>
        <x:v>101901.38</x:v>
      </x:c>
      <x:c r="F43" s="27" t="n">
        <x:f>SUMIFS('Sales'!$K$5:$K$388,'Sales'!$B$5:$B$388,A43,'Sales'!$C$5:$C$388,B43)</x:f>
        <x:v>65282</x:v>
      </x:c>
      <x:c r="G43" s="27" t="n">
        <x:f>E43-F43</x:f>
        <x:v>36619.380000000005</x:v>
      </x:c>
      <x:c r="H43" s="28" t="n">
        <x:f>IF(E43=0,"n.a.",G43/E43)</x:f>
        <x:v>0.3593609821574546</x:v>
      </x:c>
      <x:c r="I43" s="27" t="n">
        <x:f>SUMIFS('Sales'!$G$5:$G$388,'Sales'!$B$5:$B$388,A43,'Sales'!$C$5:$C$388,B43)</x:f>
        <x:v>467</x:v>
      </x:c>
    </x:row>
    <x:row r="44" ht="23" customHeight="1">
      <x:c r="A44" s="7" t="str">
        <x:v>North</x:v>
      </x:c>
      <x:c r="B44" s="14" t="d">
        <x:v>2026-04-01T00:00:00.000Z</x:v>
      </x:c>
      <x:c r="C44" s="27" t="n">
        <x:f>'Rebates'!C44</x:f>
        <x:v>107754</x:v>
      </x:c>
      <x:c r="D44" s="27" t="n">
        <x:f>'Rebates'!D44</x:f>
        <x:v>2155.08</x:v>
      </x:c>
      <x:c r="E44" s="27" t="n">
        <x:f>'Rebates'!E44</x:f>
        <x:v>105598.92</x:v>
      </x:c>
      <x:c r="F44" s="27" t="n">
        <x:f>SUMIFS('Sales'!$K$5:$K$388,'Sales'!$B$5:$B$388,A44,'Sales'!$C$5:$C$388,B44)</x:f>
        <x:v>67127</x:v>
      </x:c>
      <x:c r="G44" s="27" t="n">
        <x:f>E44-F44</x:f>
        <x:v>38471.92</x:v>
      </x:c>
      <x:c r="H44" s="28" t="n">
        <x:f>IF(E44=0,"n.a.",G44/E44)</x:f>
        <x:v>0.3643211502541882</x:v>
      </x:c>
      <x:c r="I44" s="27" t="n">
        <x:f>SUMIFS('Sales'!$G$5:$G$388,'Sales'!$B$5:$B$388,A44,'Sales'!$C$5:$C$388,B44)</x:f>
        <x:v>483</x:v>
      </x:c>
    </x:row>
    <x:row r="45" ht="23" customHeight="1">
      <x:c r="A45" s="7" t="str">
        <x:v>North</x:v>
      </x:c>
      <x:c r="B45" s="14" t="d">
        <x:v>2026-05-01T00:00:00.000Z</x:v>
      </x:c>
      <x:c r="C45" s="27" t="n">
        <x:f>'Rebates'!C45</x:f>
        <x:v>110933.4</x:v>
      </x:c>
      <x:c r="D45" s="27" t="n">
        <x:f>'Rebates'!D45</x:f>
        <x:v>2218.668</x:v>
      </x:c>
      <x:c r="E45" s="27" t="n">
        <x:f>'Rebates'!E45</x:f>
        <x:v>108714.73199999999</x:v>
      </x:c>
      <x:c r="F45" s="27" t="n">
        <x:f>SUMIFS('Sales'!$K$5:$K$388,'Sales'!$B$5:$B$388,A45,'Sales'!$C$5:$C$388,B45)</x:f>
        <x:v>69399</x:v>
      </x:c>
      <x:c r="G45" s="27" t="n">
        <x:f>E45-F45</x:f>
        <x:v>39315.73199999999</x:v>
      </x:c>
      <x:c r="H45" s="28" t="n">
        <x:f>IF(E45=0,"n.a.",G45/E45)</x:f>
        <x:v>0.36164125391947793</x:v>
      </x:c>
      <x:c r="I45" s="27" t="n">
        <x:f>SUMIFS('Sales'!$G$5:$G$388,'Sales'!$B$5:$B$388,A45,'Sales'!$C$5:$C$388,B45)</x:f>
        <x:v>492</x:v>
      </x:c>
    </x:row>
    <x:row r="46" ht="23" customHeight="1">
      <x:c r="A46" s="7" t="str">
        <x:v>North</x:v>
      </x:c>
      <x:c r="B46" s="14" t="d">
        <x:v>2026-06-01T00:00:00.000Z</x:v>
      </x:c>
      <x:c r="C46" s="27" t="n">
        <x:f>'Rebates'!C46</x:f>
        <x:v>96499.20000000001</x:v>
      </x:c>
      <x:c r="D46" s="27" t="n">
        <x:f>'Rebates'!D46</x:f>
        <x:v>1929.9840000000004</x:v>
      </x:c>
      <x:c r="E46" s="27" t="n">
        <x:f>'Rebates'!E46</x:f>
        <x:v>94569.21600000001</x:v>
      </x:c>
      <x:c r="F46" s="27" t="n">
        <x:f>SUMIFS('Sales'!$K$5:$K$388,'Sales'!$B$5:$B$388,A46,'Sales'!$C$5:$C$388,B46)</x:f>
        <x:v>60564</x:v>
      </x:c>
      <x:c r="G46" s="27" t="n">
        <x:f>E46-F46</x:f>
        <x:v>34005.216000000015</x:v>
      </x:c>
      <x:c r="H46" s="28" t="n">
        <x:f>IF(E46=0,"n.a.",G46/E46)</x:f>
        <x:v>0.3595801830481497</x:v>
      </x:c>
      <x:c r="I46" s="27" t="n">
        <x:f>SUMIFS('Sales'!$G$5:$G$388,'Sales'!$B$5:$B$388,A46,'Sales'!$C$5:$C$388,B46)</x:f>
        <x:v>425</x:v>
      </x:c>
    </x:row>
    <x:row r="47" ht="23" customHeight="1">
      <x:c r="A47" s="7" t="str">
        <x:v>North</x:v>
      </x:c>
      <x:c r="B47" s="14" t="d">
        <x:v>2026-07-01T00:00:00.000Z</x:v>
      </x:c>
      <x:c r="C47" s="27" t="n">
        <x:f>'Rebates'!C47</x:f>
        <x:v>390267</x:v>
      </x:c>
      <x:c r="D47" s="27" t="n">
        <x:f>'Rebates'!D47</x:f>
        <x:v>7805.34</x:v>
      </x:c>
      <x:c r="E47" s="27" t="n">
        <x:f>'Rebates'!E47</x:f>
        <x:v>382461.66</x:v>
      </x:c>
      <x:c r="F47" s="27" t="n">
        <x:f>SUMIFS('Sales'!$K$5:$K$388,'Sales'!$B$5:$B$388,A47,'Sales'!$C$5:$C$388,B47)</x:f>
        <x:v>236366.64</x:v>
      </x:c>
      <x:c r="G47" s="27" t="n">
        <x:f>E47-F47</x:f>
        <x:v>146095.01999999996</x:v>
      </x:c>
      <x:c r="H47" s="28" t="n">
        <x:f>IF(E47=0,"n.a.",G47/E47)</x:f>
        <x:v>0.3819860531902726</x:v>
      </x:c>
      <x:c r="I47" s="27" t="n">
        <x:f>SUMIFS('Sales'!$G$5:$G$388,'Sales'!$B$5:$B$388,A47,'Sales'!$C$5:$C$388,B47)</x:f>
        <x:v>1617</x:v>
      </x:c>
    </x:row>
    <x:row r="48" ht="23" customHeight="1">
      <x:c r="A48" s="7" t="str">
        <x:v>North</x:v>
      </x:c>
      <x:c r="B48" s="14" t="d">
        <x:v>2026-08-01T00:00:00.000Z</x:v>
      </x:c>
      <x:c r="C48" s="27" t="n">
        <x:f>'Rebates'!C48</x:f>
        <x:v>418221.2</x:v>
      </x:c>
      <x:c r="D48" s="27" t="n">
        <x:f>'Rebates'!D48</x:f>
        <x:v>8364.424</x:v>
      </x:c>
      <x:c r="E48" s="27" t="n">
        <x:f>'Rebates'!E48</x:f>
        <x:v>409856.776</x:v>
      </x:c>
      <x:c r="F48" s="27" t="n">
        <x:f>SUMIFS('Sales'!$K$5:$K$388,'Sales'!$B$5:$B$388,A48,'Sales'!$C$5:$C$388,B48)</x:f>
        <x:v>253277.22</x:v>
      </x:c>
      <x:c r="G48" s="27" t="n">
        <x:f>E48-F48</x:f>
        <x:v>156579.556</x:v>
      </x:c>
      <x:c r="H48" s="28" t="n">
        <x:f>IF(E48=0,"n.a.",G48/E48)</x:f>
        <x:v>0.38203481110679505</x:v>
      </x:c>
      <x:c r="I48" s="27" t="n">
        <x:f>SUMIFS('Sales'!$G$5:$G$388,'Sales'!$B$5:$B$388,A48,'Sales'!$C$5:$C$388,B48)</x:f>
        <x:v>1735</x:v>
      </x:c>
    </x:row>
    <x:row r="49" ht="23" customHeight="1">
      <x:c r="A49" s="7" t="str">
        <x:v>North</x:v>
      </x:c>
      <x:c r="B49" s="14" t="d">
        <x:v>2026-09-01T00:00:00.000Z</x:v>
      </x:c>
      <x:c r="C49" s="27" t="n">
        <x:f>'Rebates'!C49</x:f>
        <x:v>437060.0537313433</x:v>
      </x:c>
      <x:c r="D49" s="27" t="n">
        <x:f>'Rebates'!D49</x:f>
        <x:v>8741.201074626866</x:v>
      </x:c>
      <x:c r="E49" s="27" t="n">
        <x:f>'Rebates'!E49</x:f>
        <x:v>428318.8526567164</x:v>
      </x:c>
      <x:c r="F49" s="27" t="n">
        <x:f>SUMIFS('Sales'!$K$5:$K$388,'Sales'!$B$5:$B$388,A49,'Sales'!$C$5:$C$388,B49)</x:f>
        <x:v>264612.4647761194</x:v>
      </x:c>
      <x:c r="G49" s="27" t="n">
        <x:f>E49-F49</x:f>
        <x:v>163706.38788059703</x:v>
      </x:c>
      <x:c r="H49" s="28" t="n">
        <x:f>IF(E49=0,"n.a.",G49/E49)</x:f>
        <x:v>0.38220682294319264</x:v>
      </x:c>
      <x:c r="I49" s="27" t="n">
        <x:f>SUMIFS('Sales'!$G$5:$G$388,'Sales'!$B$5:$B$388,A49,'Sales'!$C$5:$C$388,B49)</x:f>
        <x:v>1821.1791044776119</x:v>
      </x:c>
    </x:row>
    <x:row r="50" ht="23" customHeight="1">
      <x:c r="A50" s="7" t="str">
        <x:v>North</x:v>
      </x:c>
      <x:c r="B50" s="14" t="d">
        <x:v>2026-10-01T00:00:00.000Z</x:v>
      </x:c>
      <x:c r="C50" s="27" t="n">
        <x:f>'Rebates'!C50</x:f>
        <x:v>334817.4012301798</x:v>
      </x:c>
      <x:c r="D50" s="27" t="n">
        <x:f>'Rebates'!D50</x:f>
        <x:v>6696.348024603597</x:v>
      </x:c>
      <x:c r="E50" s="27" t="n">
        <x:f>'Rebates'!E50</x:f>
        <x:v>328121.0532055762</x:v>
      </x:c>
      <x:c r="F50" s="27" t="n">
        <x:f>SUMIFS('Sales'!$K$5:$K$388,'Sales'!$B$5:$B$388,A50,'Sales'!$C$5:$C$388,B50)</x:f>
        <x:v>203034.85669414292</x:v>
      </x:c>
      <x:c r="G50" s="27" t="n">
        <x:f>E50-F50</x:f>
        <x:v>125086.19651143329</x:v>
      </x:c>
      <x:c r="H50" s="28" t="n">
        <x:f>IF(E50=0,"n.a.",G50/E50)</x:f>
        <x:v>0.3812196605167654</x:v>
      </x:c>
      <x:c r="I50" s="27" t="n">
        <x:f>SUMIFS('Sales'!$G$5:$G$388,'Sales'!$B$5:$B$388,A50,'Sales'!$C$5:$C$388,B50)</x:f>
        <x:v>1359.861520468942</x:v>
      </x:c>
    </x:row>
    <x:row r="51" ht="23" customHeight="1">
      <x:c r="A51" s="7" t="str">
        <x:v>North</x:v>
      </x:c>
      <x:c r="B51" s="14" t="d">
        <x:v>2026-11-01T00:00:00.000Z</x:v>
      </x:c>
      <x:c r="C51" s="27" t="n">
        <x:f>'Rebates'!C51</x:f>
        <x:v>234063.8123568098</x:v>
      </x:c>
      <x:c r="D51" s="27" t="n">
        <x:f>'Rebates'!D51</x:f>
        <x:v>4681.276247136196</x:v>
      </x:c>
      <x:c r="E51" s="27" t="n">
        <x:f>'Rebates'!E51</x:f>
        <x:v>229382.5361096736</x:v>
      </x:c>
      <x:c r="F51" s="27" t="n">
        <x:f>SUMIFS('Sales'!$K$5:$K$388,'Sales'!$B$5:$B$388,A51,'Sales'!$C$5:$C$388,B51)</x:f>
        <x:v>141745.88918620438</x:v>
      </x:c>
      <x:c r="G51" s="27" t="n">
        <x:f>E51-F51</x:f>
        <x:v>87636.6469234692</x:v>
      </x:c>
      <x:c r="H51" s="28" t="n">
        <x:f>IF(E51=0,"n.a.",G51/E51)</x:f>
        <x:v>0.3820545731588211</x:v>
      </x:c>
      <x:c r="I51" s="27" t="n">
        <x:f>SUMIFS('Sales'!$G$5:$G$388,'Sales'!$B$5:$B$388,A51,'Sales'!$C$5:$C$388,B51)</x:f>
        <x:v>971.5127578710978</x:v>
      </x:c>
    </x:row>
    <x:row r="52" ht="23" customHeight="1">
      <x:c r="A52" s="7" t="str">
        <x:v>North</x:v>
      </x:c>
      <x:c r="B52" s="14" t="d">
        <x:v>2026-12-01T00:00:00.000Z</x:v>
      </x:c>
      <x:c r="C52" s="27" t="n">
        <x:f>'Rebates'!C52</x:f>
        <x:v>233164.10109526868</x:v>
      </x:c>
      <x:c r="D52" s="27" t="n">
        <x:f>'Rebates'!D52</x:f>
        <x:v>4663.282021905374</x:v>
      </x:c>
      <x:c r="E52" s="27" t="n">
        <x:f>'Rebates'!E52</x:f>
        <x:v>228500.8190733633</x:v>
      </x:c>
      <x:c r="F52" s="27" t="n">
        <x:f>SUMIFS('Sales'!$K$5:$K$388,'Sales'!$B$5:$B$388,A52,'Sales'!$C$5:$C$388,B52)</x:f>
        <x:v>141203.11693195213</x:v>
      </x:c>
      <x:c r="G52" s="27" t="n">
        <x:f>E52-F52</x:f>
        <x:v>87297.70214141117</x:v>
      </x:c>
      <x:c r="H52" s="28" t="n">
        <x:f>IF(E52=0,"n.a.",G52/E52)</x:f>
        <x:v>0.3820454670378361</x:v>
      </x:c>
      <x:c r="I52" s="27" t="n">
        <x:f>SUMIFS('Sales'!$G$5:$G$388,'Sales'!$B$5:$B$388,A52,'Sales'!$C$5:$C$388,B52)</x:f>
        <x:v>967.5517256015037</x:v>
      </x:c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</x:sheetData>
  <x:pageMargins left="0.7" right="0.7" top="0.75" bottom="0.75" header="0.3" footer="0.3"/>
  <x:tableParts count="1">
    <x:tablePart xmlns:r="http://schemas.openxmlformats.org/officeDocument/2006/relationships" r:id="R17ad2a4d6b084827"/>
  </x:tableParts>
</x:worksheet>
</file>

<file path=xl/worksheets/sheet4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Sales | distributor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0" customHeight="1">
      <x:c r="A4" s="6" t="str">
        <x:v>SKU</x:v>
      </x:c>
      <x:c r="B4" s="6" t="str">
        <x:v>Region</x:v>
      </x:c>
      <x:c r="C4" s="6" t="str">
        <x:v>Month</x:v>
      </x:c>
      <x:c r="D4" s="6" t="str">
        <x:v>BaseDemand</x:v>
      </x:c>
      <x:c r="E4" s="6" t="str">
        <x:v>EffectiveUplift</x:v>
      </x:c>
      <x:c r="F4" s="6" t="str">
        <x:v>DesiredUnits</x:v>
      </x:c>
      <x:c r="G4" s="6" t="str">
        <x:v>SoldUnits</x:v>
      </x:c>
      <x:c r="H4" s="6" t="str">
        <x:v>UnitPrice</x:v>
      </x:c>
      <x:c r="I4" s="6" t="str">
        <x:v>GrossRevenue</x:v>
      </x:c>
      <x:c r="J4" s="6" t="str">
        <x:v>UnitCost</x:v>
      </x:c>
      <x:c r="K4" s="6" t="str">
        <x:v>COGS</x:v>
      </x:c>
      <x:c r="L4" s="6" t="str">
        <x:v>GrossProfit</x:v>
      </x:c>
    </x:row>
    <x:row r="5" ht="23" customHeight="1">
      <x:c r="A5" s="34" t="str">
        <x:v>0001</x:v>
      </x:c>
      <x:c r="B5" s="7" t="str">
        <x:v>Central</x:v>
      </x:c>
      <x:c r="C5" s="14" t="d">
        <x:v>2026-01-01T00:00:00.000Z</x:v>
      </x:c>
      <x:c r="D5" s="27" t="n">
        <x:f>SUMIFS('Orders'!$F$5:$F$3004,'Orders'!$D$5:$D$3004,A5,'Orders'!$E$5:$E$3004,B5,'Orders'!$C$5:$C$3004,C5)</x:f>
        <x:v>34</x:v>
      </x:c>
      <x:c r="E5" s="28" t="n">
        <x:f>0</x:f>
        <x:v>0</x:v>
      </x:c>
      <x:c r="F5" s="27" t="n">
        <x:f>D5</x:f>
        <x:v>34</x:v>
      </x:c>
      <x:c r="G5" s="27" t="n">
        <x:f>F5</x:f>
        <x:v>34</x:v>
      </x:c>
      <x:c r="H5" s="27" t="n">
        <x:f>IF(F5=0,0,I5/F5)</x:f>
        <x:v>160</x:v>
      </x:c>
      <x:c r="I5" s="27" t="n">
        <x:f>SUMIFS('Orders'!$I$5:$I$3004,'Orders'!$D$5:$D$3004,A5,'Orders'!$E$5:$E$3004,B5,'Orders'!$C$5:$C$3004,C5)</x:f>
        <x:v>5440</x:v>
      </x:c>
      <x:c r="J5" s="27" t="n">
        <x:f>'Products'!D5*INDEX('Assumptions'!$C$16:$N$16,1,MONTH(C5))</x:f>
        <x:v>95</x:v>
      </x:c>
      <x:c r="K5" s="27" t="n">
        <x:f>G5*J5</x:f>
        <x:v>3230</x:v>
      </x:c>
      <x:c r="L5" s="27" t="n">
        <x:f>I5-K5</x:f>
        <x:v>2210</x:v>
      </x:c>
    </x:row>
    <x:row r="6" ht="23" customHeight="1">
      <x:c r="A6" s="34" t="str">
        <x:v>0001</x:v>
      </x:c>
      <x:c r="B6" s="7" t="str">
        <x:v>Central</x:v>
      </x:c>
      <x:c r="C6" s="14" t="d">
        <x:v>2026-02-01T00:00:00.000Z</x:v>
      </x:c>
      <x:c r="D6" s="27" t="n">
        <x:f>SUMIFS('Orders'!$F$5:$F$3004,'Orders'!$D$5:$D$3004,A6,'Orders'!$E$5:$E$3004,B6,'Orders'!$C$5:$C$3004,C6)</x:f>
        <x:v>68</x:v>
      </x:c>
      <x:c r="E6" s="28" t="n">
        <x:f>0</x:f>
        <x:v>0</x:v>
      </x:c>
      <x:c r="F6" s="27" t="n">
        <x:f>D6</x:f>
        <x:v>68</x:v>
      </x:c>
      <x:c r="G6" s="27" t="n">
        <x:f>F6</x:f>
        <x:v>68</x:v>
      </x:c>
      <x:c r="H6" s="27" t="n">
        <x:f>IF(F6=0,0,I6/F6)</x:f>
        <x:v>152</x:v>
      </x:c>
      <x:c r="I6" s="27" t="n">
        <x:f>SUMIFS('Orders'!$I$5:$I$3004,'Orders'!$D$5:$D$3004,A6,'Orders'!$E$5:$E$3004,B6,'Orders'!$C$5:$C$3004,C6)</x:f>
        <x:v>10336</x:v>
      </x:c>
      <x:c r="J6" s="27" t="n">
        <x:f>'Products'!D5*INDEX('Assumptions'!$C$16:$N$16,1,MONTH(C6))</x:f>
        <x:v>95</x:v>
      </x:c>
      <x:c r="K6" s="27" t="n">
        <x:f>G6*J6</x:f>
        <x:v>6460</x:v>
      </x:c>
      <x:c r="L6" s="27" t="n">
        <x:f>I6-K6</x:f>
        <x:v>3876</x:v>
      </x:c>
    </x:row>
    <x:row r="7" ht="23" customHeight="1">
      <x:c r="A7" s="34" t="str">
        <x:v>0001</x:v>
      </x:c>
      <x:c r="B7" s="7" t="str">
        <x:v>Central</x:v>
      </x:c>
      <x:c r="C7" s="14" t="d">
        <x:v>2026-03-01T00:00:00.000Z</x:v>
      </x:c>
      <x:c r="D7" s="27" t="n">
        <x:f>SUMIFS('Orders'!$F$5:$F$3004,'Orders'!$D$5:$D$3004,A7,'Orders'!$E$5:$E$3004,B7,'Orders'!$C$5:$C$3004,C7)</x:f>
        <x:v>61</x:v>
      </x:c>
      <x:c r="E7" s="28" t="n">
        <x:f>0</x:f>
        <x:v>0</x:v>
      </x:c>
      <x:c r="F7" s="27" t="n">
        <x:f>D7</x:f>
        <x:v>61</x:v>
      </x:c>
      <x:c r="G7" s="27" t="n">
        <x:f>F7</x:f>
        <x:v>61</x:v>
      </x:c>
      <x:c r="H7" s="27" t="n">
        <x:f>IF(F7=0,0,I7/F7)</x:f>
        <x:v>156.79999999999998</x:v>
      </x:c>
      <x:c r="I7" s="27" t="n">
        <x:f>SUMIFS('Orders'!$I$5:$I$3004,'Orders'!$D$5:$D$3004,A7,'Orders'!$E$5:$E$3004,B7,'Orders'!$C$5:$C$3004,C7)</x:f>
        <x:v>9564.8</x:v>
      </x:c>
      <x:c r="J7" s="27" t="n">
        <x:f>'Products'!D5*INDEX('Assumptions'!$C$16:$N$16,1,MONTH(C7))</x:f>
        <x:v>95</x:v>
      </x:c>
      <x:c r="K7" s="27" t="n">
        <x:f>G7*J7</x:f>
        <x:v>5795</x:v>
      </x:c>
      <x:c r="L7" s="27" t="n">
        <x:f>I7-K7</x:f>
        <x:v>3769.7999999999993</x:v>
      </x:c>
    </x:row>
    <x:row r="8" ht="23" customHeight="1">
      <x:c r="A8" s="34" t="str">
        <x:v>0001</x:v>
      </x:c>
      <x:c r="B8" s="7" t="str">
        <x:v>Central</x:v>
      </x:c>
      <x:c r="C8" s="14" t="d">
        <x:v>2026-04-01T00:00:00.000Z</x:v>
      </x:c>
      <x:c r="D8" s="27" t="n">
        <x:f>SUMIFS('Orders'!$F$5:$F$3004,'Orders'!$D$5:$D$3004,A8,'Orders'!$E$5:$E$3004,B8,'Orders'!$C$5:$C$3004,C8)</x:f>
        <x:v>60</x:v>
      </x:c>
      <x:c r="E8" s="28" t="n">
        <x:f>0</x:f>
        <x:v>0</x:v>
      </x:c>
      <x:c r="F8" s="27" t="n">
        <x:f>D8</x:f>
        <x:v>60</x:v>
      </x:c>
      <x:c r="G8" s="27" t="n">
        <x:f>F8</x:f>
        <x:v>60</x:v>
      </x:c>
      <x:c r="H8" s="27" t="n">
        <x:f>IF(F8=0,0,I8/F8)</x:f>
        <x:v>160</x:v>
      </x:c>
      <x:c r="I8" s="27" t="n">
        <x:f>SUMIFS('Orders'!$I$5:$I$3004,'Orders'!$D$5:$D$3004,A8,'Orders'!$E$5:$E$3004,B8,'Orders'!$C$5:$C$3004,C8)</x:f>
        <x:v>9600</x:v>
      </x:c>
      <x:c r="J8" s="27" t="n">
        <x:f>'Products'!D5*INDEX('Assumptions'!$C$16:$N$16,1,MONTH(C8))</x:f>
        <x:v>95</x:v>
      </x:c>
      <x:c r="K8" s="27" t="n">
        <x:f>G8*J8</x:f>
        <x:v>5700</x:v>
      </x:c>
      <x:c r="L8" s="27" t="n">
        <x:f>I8-K8</x:f>
        <x:v>3900</x:v>
      </x:c>
    </x:row>
    <x:row r="9" ht="23" customHeight="1">
      <x:c r="A9" s="34" t="str">
        <x:v>0001</x:v>
      </x:c>
      <x:c r="B9" s="7" t="str">
        <x:v>Central</x:v>
      </x:c>
      <x:c r="C9" s="14" t="d">
        <x:v>2026-05-01T00:00:00.000Z</x:v>
      </x:c>
      <x:c r="D9" s="27" t="n">
        <x:f>SUMIFS('Orders'!$F$5:$F$3004,'Orders'!$D$5:$D$3004,A9,'Orders'!$E$5:$E$3004,B9,'Orders'!$C$5:$C$3004,C9)</x:f>
        <x:v>54</x:v>
      </x:c>
      <x:c r="E9" s="28" t="n">
        <x:f>0</x:f>
        <x:v>0</x:v>
      </x:c>
      <x:c r="F9" s="27" t="n">
        <x:f>D9</x:f>
        <x:v>54</x:v>
      </x:c>
      <x:c r="G9" s="27" t="n">
        <x:f>F9</x:f>
        <x:v>54</x:v>
      </x:c>
      <x:c r="H9" s="27" t="n">
        <x:f>IF(F9=0,0,I9/F9)</x:f>
        <x:v>152</x:v>
      </x:c>
      <x:c r="I9" s="27" t="n">
        <x:f>SUMIFS('Orders'!$I$5:$I$3004,'Orders'!$D$5:$D$3004,A9,'Orders'!$E$5:$E$3004,B9,'Orders'!$C$5:$C$3004,C9)</x:f>
        <x:v>8208</x:v>
      </x:c>
      <x:c r="J9" s="27" t="n">
        <x:f>'Products'!D5*INDEX('Assumptions'!$C$16:$N$16,1,MONTH(C9))</x:f>
        <x:v>95</x:v>
      </x:c>
      <x:c r="K9" s="27" t="n">
        <x:f>G9*J9</x:f>
        <x:v>5130</x:v>
      </x:c>
      <x:c r="L9" s="27" t="n">
        <x:f>I9-K9</x:f>
        <x:v>3078</x:v>
      </x:c>
    </x:row>
    <x:row r="10" ht="23" customHeight="1">
      <x:c r="A10" s="34" t="str">
        <x:v>0001</x:v>
      </x:c>
      <x:c r="B10" s="7" t="str">
        <x:v>Central</x:v>
      </x:c>
      <x:c r="C10" s="14" t="d">
        <x:v>2026-06-01T00:00:00.000Z</x:v>
      </x:c>
      <x:c r="D10" s="27" t="n">
        <x:f>SUMIFS('Orders'!$F$5:$F$3004,'Orders'!$D$5:$D$3004,A10,'Orders'!$E$5:$E$3004,B10,'Orders'!$C$5:$C$3004,C10)</x:f>
        <x:v>50</x:v>
      </x:c>
      <x:c r="E10" s="28" t="n">
        <x:f>0</x:f>
        <x:v>0</x:v>
      </x:c>
      <x:c r="F10" s="27" t="n">
        <x:f>D10</x:f>
        <x:v>50</x:v>
      </x:c>
      <x:c r="G10" s="27" t="n">
        <x:f>F10</x:f>
        <x:v>50</x:v>
      </x:c>
      <x:c r="H10" s="27" t="n">
        <x:f>IF(F10=0,0,I10/F10)</x:f>
        <x:v>156.80000000000004</x:v>
      </x:c>
      <x:c r="I10" s="27" t="n">
        <x:f>SUMIFS('Orders'!$I$5:$I$3004,'Orders'!$D$5:$D$3004,A10,'Orders'!$E$5:$E$3004,B10,'Orders'!$C$5:$C$3004,C10)</x:f>
        <x:v>7840.000000000002</x:v>
      </x:c>
      <x:c r="J10" s="27" t="n">
        <x:f>'Products'!D5*INDEX('Assumptions'!$C$16:$N$16,1,MONTH(C10))</x:f>
        <x:v>95</x:v>
      </x:c>
      <x:c r="K10" s="27" t="n">
        <x:f>G10*J10</x:f>
        <x:v>4750</x:v>
      </x:c>
      <x:c r="L10" s="27" t="n">
        <x:f>I10-K10</x:f>
        <x:v>3090.000000000002</x:v>
      </x:c>
    </x:row>
    <x:row r="11" ht="23" customHeight="1">
      <x:c r="A11" s="34" t="str">
        <x:v>0001</x:v>
      </x:c>
      <x:c r="B11" s="7" t="str">
        <x:v>Central</x:v>
      </x:c>
      <x:c r="C11" s="14" t="d">
        <x:v>2026-07-01T00:00:00.000Z</x:v>
      </x:c>
      <x:c r="D11" s="27" t="n">
        <x:f>'Assumptions'!D39</x:f>
        <x:v>140</x:v>
      </x:c>
      <x:c r="E11" s="28" t="n">
        <x:f>INDEX('Assumptions'!$C$12:$N$12,1,MONTH(C11))</x:f>
        <x:v>0.03</x:v>
      </x:c>
      <x:c r="F11" s="27" t="n">
        <x:f>ROUND(D11*INDEX('Assumptions'!$C$8:$N$8,1,MONTH(C11))*(1-'Products'!E5*E11),0)</x:f>
        <x:v>137</x:v>
      </x:c>
      <x:c r="G11" s="27" t="n">
        <x:f>F11*SUMIFS('Inventory'!$L$5:$L$100,'Inventory'!$A$5:$A$100,A11,'Inventory'!$B$5:$B$100,C11)</x:f>
        <x:v>137</x:v>
      </x:c>
      <x:c r="H11" s="27" t="n">
        <x:f>'Assumptions'!E39*(1+E11)</x:f>
        <x:v>164.8</x:v>
      </x:c>
      <x:c r="I11" s="27" t="n">
        <x:f>G11*H11</x:f>
        <x:v>22577.600000000002</x:v>
      </x:c>
      <x:c r="J11" s="27" t="n">
        <x:f>'Products'!D5*INDEX('Assumptions'!$C$16:$N$16,1,MONTH(C11))</x:f>
        <x:v>96.9</x:v>
      </x:c>
      <x:c r="K11" s="27" t="n">
        <x:f>G11*J11</x:f>
        <x:v>13275.300000000001</x:v>
      </x:c>
      <x:c r="L11" s="27" t="n">
        <x:f>I11-K11</x:f>
        <x:v>9302.300000000001</x:v>
      </x:c>
    </x:row>
    <x:row r="12" ht="23" customHeight="1">
      <x:c r="A12" s="34" t="str">
        <x:v>0001</x:v>
      </x:c>
      <x:c r="B12" s="7" t="str">
        <x:v>Central</x:v>
      </x:c>
      <x:c r="C12" s="14" t="d">
        <x:v>2026-08-01T00:00:00.000Z</x:v>
      </x:c>
      <x:c r="D12" s="27" t="n">
        <x:f>'Assumptions'!D40</x:f>
        <x:v>155</x:v>
      </x:c>
      <x:c r="E12" s="28" t="n">
        <x:f>INDEX('Assumptions'!$C$12:$N$12,1,MONTH(C12))</x:f>
        <x:v>0.03</x:v>
      </x:c>
      <x:c r="F12" s="27" t="n">
        <x:f>ROUND(D12*INDEX('Assumptions'!$C$8:$N$8,1,MONTH(C12))*(1-'Products'!E5*E12),0)</x:f>
        <x:v>152</x:v>
      </x:c>
      <x:c r="G12" s="27" t="n">
        <x:f>F12*SUMIFS('Inventory'!$L$5:$L$100,'Inventory'!$A$5:$A$100,A12,'Inventory'!$B$5:$B$100,C12)</x:f>
        <x:v>152</x:v>
      </x:c>
      <x:c r="H12" s="27" t="n">
        <x:f>'Assumptions'!E40*(1+E12)</x:f>
        <x:v>164.8</x:v>
      </x:c>
      <x:c r="I12" s="27" t="n">
        <x:f>G12*H12</x:f>
        <x:v>25049.600000000002</x:v>
      </x:c>
      <x:c r="J12" s="27" t="n">
        <x:f>'Products'!D5*INDEX('Assumptions'!$C$16:$N$16,1,MONTH(C12))</x:f>
        <x:v>96.9</x:v>
      </x:c>
      <x:c r="K12" s="27" t="n">
        <x:f>G12*J12</x:f>
        <x:v>14728.800000000001</x:v>
      </x:c>
      <x:c r="L12" s="27" t="n">
        <x:f>I12-K12</x:f>
        <x:v>10320.800000000001</x:v>
      </x:c>
    </x:row>
    <x:row r="13" ht="23" customHeight="1">
      <x:c r="A13" s="34" t="str">
        <x:v>0001</x:v>
      </x:c>
      <x:c r="B13" s="7" t="str">
        <x:v>Central</x:v>
      </x:c>
      <x:c r="C13" s="14" t="d">
        <x:v>2026-09-01T00:00:00.000Z</x:v>
      </x:c>
      <x:c r="D13" s="27" t="n">
        <x:f>'Assumptions'!D41</x:f>
        <x:v>170</x:v>
      </x:c>
      <x:c r="E13" s="28" t="n">
        <x:f>INDEX('Assumptions'!$C$12:$N$12,1,MONTH(C13))</x:f>
        <x:v>0.03</x:v>
      </x:c>
      <x:c r="F13" s="27" t="n">
        <x:f>ROUND(D13*INDEX('Assumptions'!$C$8:$N$8,1,MONTH(C13))*(1-'Products'!E5*E13),0)</x:f>
        <x:v>167</x:v>
      </x:c>
      <x:c r="G13" s="27" t="n">
        <x:f>F13*SUMIFS('Inventory'!$L$5:$L$100,'Inventory'!$A$5:$A$100,A13,'Inventory'!$B$5:$B$100,C13)</x:f>
        <x:v>167</x:v>
      </x:c>
      <x:c r="H13" s="27" t="n">
        <x:f>'Assumptions'!E41*(1+E13)</x:f>
        <x:v>164.8</x:v>
      </x:c>
      <x:c r="I13" s="27" t="n">
        <x:f>G13*H13</x:f>
        <x:v>27521.600000000002</x:v>
      </x:c>
      <x:c r="J13" s="27" t="n">
        <x:f>'Products'!D5*INDEX('Assumptions'!$C$16:$N$16,1,MONTH(C13))</x:f>
        <x:v>96.9</x:v>
      </x:c>
      <x:c r="K13" s="27" t="n">
        <x:f>G13*J13</x:f>
        <x:v>16182.300000000001</x:v>
      </x:c>
      <x:c r="L13" s="27" t="n">
        <x:f>I13-K13</x:f>
        <x:v>11339.300000000001</x:v>
      </x:c>
    </x:row>
    <x:row r="14" ht="23" customHeight="1">
      <x:c r="A14" s="34" t="str">
        <x:v>0001</x:v>
      </x:c>
      <x:c r="B14" s="7" t="str">
        <x:v>Central</x:v>
      </x:c>
      <x:c r="C14" s="14" t="d">
        <x:v>2026-10-01T00:00:00.000Z</x:v>
      </x:c>
      <x:c r="D14" s="27" t="n">
        <x:f>'Assumptions'!D42</x:f>
        <x:v>185</x:v>
      </x:c>
      <x:c r="E14" s="28" t="n">
        <x:f>INDEX('Assumptions'!$C$12:$N$12,1,MONTH(C14))</x:f>
        <x:v>0.03</x:v>
      </x:c>
      <x:c r="F14" s="27" t="n">
        <x:f>ROUND(D14*INDEX('Assumptions'!$C$8:$N$8,1,MONTH(C14))*(1-'Products'!E5*E14),0)</x:f>
        <x:v>182</x:v>
      </x:c>
      <x:c r="G14" s="27" t="n">
        <x:f>F14*SUMIFS('Inventory'!$L$5:$L$100,'Inventory'!$A$5:$A$100,A14,'Inventory'!$B$5:$B$100,C14)</x:f>
        <x:v>106.41405269761607</x:v>
      </x:c>
      <x:c r="H14" s="27" t="n">
        <x:f>'Assumptions'!E42*(1+E14)</x:f>
        <x:v>164.8</x:v>
      </x:c>
      <x:c r="I14" s="27" t="n">
        <x:f>G14*H14</x:f>
        <x:v>17537.03588456713</x:v>
      </x:c>
      <x:c r="J14" s="27" t="n">
        <x:f>'Products'!D5*INDEX('Assumptions'!$C$16:$N$16,1,MONTH(C14))</x:f>
        <x:v>96.9</x:v>
      </x:c>
      <x:c r="K14" s="27" t="n">
        <x:f>G14*J14</x:f>
        <x:v>10311.521706398999</x:v>
      </x:c>
      <x:c r="L14" s="27" t="n">
        <x:f>I14-K14</x:f>
        <x:v>7225.5141781681305</x:v>
      </x:c>
    </x:row>
    <x:row r="15" ht="23" customHeight="1">
      <x:c r="A15" s="34" t="str">
        <x:v>0001</x:v>
      </x:c>
      <x:c r="B15" s="7" t="str">
        <x:v>Central</x:v>
      </x:c>
      <x:c r="C15" s="14" t="d">
        <x:v>2026-11-01T00:00:00.000Z</x:v>
      </x:c>
      <x:c r="D15" s="27" t="n">
        <x:f>'Assumptions'!D43</x:f>
        <x:v>200</x:v>
      </x:c>
      <x:c r="E15" s="28" t="n">
        <x:f>INDEX('Assumptions'!$C$12:$N$12,1,MONTH(C15))</x:f>
        <x:v>0.03</x:v>
      </x:c>
      <x:c r="F15" s="27" t="n">
        <x:f>ROUND(D15*INDEX('Assumptions'!$C$8:$N$8,1,MONTH(C15))*(1-'Products'!E5*E15),0)</x:f>
        <x:v>196</x:v>
      </x:c>
      <x:c r="G15" s="27" t="n">
        <x:f>F15*SUMIFS('Inventory'!$L$5:$L$100,'Inventory'!$A$5:$A$100,A15,'Inventory'!$B$5:$B$100,C15)</x:f>
        <x:v>89.29906542056075</x:v>
      </x:c>
      <x:c r="H15" s="27" t="n">
        <x:f>'Assumptions'!E43*(1+E15)</x:f>
        <x:v>164.8</x:v>
      </x:c>
      <x:c r="I15" s="27" t="n">
        <x:f>G15*H15</x:f>
        <x:v>14716.485981308413</x:v>
      </x:c>
      <x:c r="J15" s="27" t="n">
        <x:f>'Products'!D5*INDEX('Assumptions'!$C$16:$N$16,1,MONTH(C15))</x:f>
        <x:v>96.9</x:v>
      </x:c>
      <x:c r="K15" s="27" t="n">
        <x:f>G15*J15</x:f>
        <x:v>8653.079439252337</x:v>
      </x:c>
      <x:c r="L15" s="27" t="n">
        <x:f>I15-K15</x:f>
        <x:v>6063.406542056076</x:v>
      </x:c>
    </x:row>
    <x:row r="16" ht="23" customHeight="1">
      <x:c r="A16" s="34" t="str">
        <x:v>0001</x:v>
      </x:c>
      <x:c r="B16" s="7" t="str">
        <x:v>Central</x:v>
      </x:c>
      <x:c r="C16" s="14" t="d">
        <x:v>2026-12-01T00:00:00.000Z</x:v>
      </x:c>
      <x:c r="D16" s="27" t="n">
        <x:f>'Assumptions'!D44</x:f>
        <x:v>215</x:v>
      </x:c>
      <x:c r="E16" s="28" t="n">
        <x:f>INDEX('Assumptions'!$C$12:$N$12,1,MONTH(C16))</x:f>
        <x:v>0.03</x:v>
      </x:c>
      <x:c r="F16" s="27" t="n">
        <x:f>ROUND(D16*INDEX('Assumptions'!$C$8:$N$8,1,MONTH(C16))*(1-'Products'!E5*E16),0)</x:f>
        <x:v>211</x:v>
      </x:c>
      <x:c r="G16" s="27" t="n">
        <x:f>F16*SUMIFS('Inventory'!$L$5:$L$100,'Inventory'!$A$5:$A$100,A16,'Inventory'!$B$5:$B$100,C16)</x:f>
        <x:v>89.93442622950819</x:v>
      </x:c>
      <x:c r="H16" s="27" t="n">
        <x:f>'Assumptions'!E44*(1+E16)</x:f>
        <x:v>164.8</x:v>
      </x:c>
      <x:c r="I16" s="27" t="n">
        <x:f>G16*H16</x:f>
        <x:v>14821.19344262295</x:v>
      </x:c>
      <x:c r="J16" s="27" t="n">
        <x:f>'Products'!D5*INDEX('Assumptions'!$C$16:$N$16,1,MONTH(C16))</x:f>
        <x:v>96.9</x:v>
      </x:c>
      <x:c r="K16" s="27" t="n">
        <x:f>G16*J16</x:f>
        <x:v>8714.645901639344</x:v>
      </x:c>
      <x:c r="L16" s="27" t="n">
        <x:f>I16-K16</x:f>
        <x:v>6106.547540983607</x:v>
      </x:c>
    </x:row>
    <x:row r="17" ht="23" customHeight="1">
      <x:c r="A17" s="34" t="str">
        <x:v>0001</x:v>
      </x:c>
      <x:c r="B17" s="7" t="str">
        <x:v>East</x:v>
      </x:c>
      <x:c r="C17" s="14" t="d">
        <x:v>2026-01-01T00:00:00.000Z</x:v>
      </x:c>
      <x:c r="D17" s="27" t="n">
        <x:f>SUMIFS('Orders'!$F$5:$F$3004,'Orders'!$D$5:$D$3004,A17,'Orders'!$E$5:$E$3004,B17,'Orders'!$C$5:$C$3004,C17)</x:f>
        <x:v>79</x:v>
      </x:c>
      <x:c r="E17" s="28" t="n">
        <x:f>0</x:f>
        <x:v>0</x:v>
      </x:c>
      <x:c r="F17" s="27" t="n">
        <x:f>D17</x:f>
        <x:v>79</x:v>
      </x:c>
      <x:c r="G17" s="27" t="n">
        <x:f>F17</x:f>
        <x:v>79</x:v>
      </x:c>
      <x:c r="H17" s="27" t="n">
        <x:f>IF(F17=0,0,I17/F17)</x:f>
        <x:v>152</x:v>
      </x:c>
      <x:c r="I17" s="27" t="n">
        <x:f>SUMIFS('Orders'!$I$5:$I$3004,'Orders'!$D$5:$D$3004,A17,'Orders'!$E$5:$E$3004,B17,'Orders'!$C$5:$C$3004,C17)</x:f>
        <x:v>12008</x:v>
      </x:c>
      <x:c r="J17" s="27" t="n">
        <x:f>'Products'!D5*INDEX('Assumptions'!$C$16:$N$16,1,MONTH(C17))</x:f>
        <x:v>95</x:v>
      </x:c>
      <x:c r="K17" s="27" t="n">
        <x:f>G17*J17</x:f>
        <x:v>7505</x:v>
      </x:c>
      <x:c r="L17" s="27" t="n">
        <x:f>I17-K17</x:f>
        <x:v>4503</x:v>
      </x:c>
    </x:row>
    <x:row r="18" ht="23" customHeight="1">
      <x:c r="A18" s="34" t="str">
        <x:v>0001</x:v>
      </x:c>
      <x:c r="B18" s="7" t="str">
        <x:v>East</x:v>
      </x:c>
      <x:c r="C18" s="14" t="d">
        <x:v>2026-02-01T00:00:00.000Z</x:v>
      </x:c>
      <x:c r="D18" s="27" t="n">
        <x:f>SUMIFS('Orders'!$F$5:$F$3004,'Orders'!$D$5:$D$3004,A18,'Orders'!$E$5:$E$3004,B18,'Orders'!$C$5:$C$3004,C18)</x:f>
        <x:v>71</x:v>
      </x:c>
      <x:c r="E18" s="28" t="n">
        <x:f>0</x:f>
        <x:v>0</x:v>
      </x:c>
      <x:c r="F18" s="27" t="n">
        <x:f>D18</x:f>
        <x:v>71</x:v>
      </x:c>
      <x:c r="G18" s="27" t="n">
        <x:f>F18</x:f>
        <x:v>71</x:v>
      </x:c>
      <x:c r="H18" s="27" t="n">
        <x:f>IF(F18=0,0,I18/F18)</x:f>
        <x:v>156.79999999999998</x:v>
      </x:c>
      <x:c r="I18" s="27" t="n">
        <x:f>SUMIFS('Orders'!$I$5:$I$3004,'Orders'!$D$5:$D$3004,A18,'Orders'!$E$5:$E$3004,B18,'Orders'!$C$5:$C$3004,C18)</x:f>
        <x:v>11132.8</x:v>
      </x:c>
      <x:c r="J18" s="27" t="n">
        <x:f>'Products'!D5*INDEX('Assumptions'!$C$16:$N$16,1,MONTH(C18))</x:f>
        <x:v>95</x:v>
      </x:c>
      <x:c r="K18" s="27" t="n">
        <x:f>G18*J18</x:f>
        <x:v>6745</x:v>
      </x:c>
      <x:c r="L18" s="27" t="n">
        <x:f>I18-K18</x:f>
        <x:v>4387.799999999999</x:v>
      </x:c>
    </x:row>
    <x:row r="19" ht="23" customHeight="1">
      <x:c r="A19" s="34" t="str">
        <x:v>0001</x:v>
      </x:c>
      <x:c r="B19" s="7" t="str">
        <x:v>East</x:v>
      </x:c>
      <x:c r="C19" s="14" t="d">
        <x:v>2026-03-01T00:00:00.000Z</x:v>
      </x:c>
      <x:c r="D19" s="27" t="n">
        <x:f>SUMIFS('Orders'!$F$5:$F$3004,'Orders'!$D$5:$D$3004,A19,'Orders'!$E$5:$E$3004,B19,'Orders'!$C$5:$C$3004,C19)</x:f>
        <x:v>41</x:v>
      </x:c>
      <x:c r="E19" s="28" t="n">
        <x:f>0</x:f>
        <x:v>0</x:v>
      </x:c>
      <x:c r="F19" s="27" t="n">
        <x:f>D19</x:f>
        <x:v>41</x:v>
      </x:c>
      <x:c r="G19" s="27" t="n">
        <x:f>F19</x:f>
        <x:v>41</x:v>
      </x:c>
      <x:c r="H19" s="27" t="n">
        <x:f>IF(F19=0,0,I19/F19)</x:f>
        <x:v>160</x:v>
      </x:c>
      <x:c r="I19" s="27" t="n">
        <x:f>SUMIFS('Orders'!$I$5:$I$3004,'Orders'!$D$5:$D$3004,A19,'Orders'!$E$5:$E$3004,B19,'Orders'!$C$5:$C$3004,C19)</x:f>
        <x:v>6560</x:v>
      </x:c>
      <x:c r="J19" s="27" t="n">
        <x:f>'Products'!D5*INDEX('Assumptions'!$C$16:$N$16,1,MONTH(C19))</x:f>
        <x:v>95</x:v>
      </x:c>
      <x:c r="K19" s="27" t="n">
        <x:f>G19*J19</x:f>
        <x:v>3895</x:v>
      </x:c>
      <x:c r="L19" s="27" t="n">
        <x:f>I19-K19</x:f>
        <x:v>2665</x:v>
      </x:c>
    </x:row>
    <x:row r="20" ht="23" customHeight="1">
      <x:c r="A20" s="34" t="str">
        <x:v>0001</x:v>
      </x:c>
      <x:c r="B20" s="7" t="str">
        <x:v>East</x:v>
      </x:c>
      <x:c r="C20" s="14" t="d">
        <x:v>2026-04-01T00:00:00.000Z</x:v>
      </x:c>
      <x:c r="D20" s="27" t="n">
        <x:f>SUMIFS('Orders'!$F$5:$F$3004,'Orders'!$D$5:$D$3004,A20,'Orders'!$E$5:$E$3004,B20,'Orders'!$C$5:$C$3004,C20)</x:f>
        <x:v>57</x:v>
      </x:c>
      <x:c r="E20" s="28" t="n">
        <x:f>0</x:f>
        <x:v>0</x:v>
      </x:c>
      <x:c r="F20" s="27" t="n">
        <x:f>D20</x:f>
        <x:v>57</x:v>
      </x:c>
      <x:c r="G20" s="27" t="n">
        <x:f>F20</x:f>
        <x:v>57</x:v>
      </x:c>
      <x:c r="H20" s="27" t="n">
        <x:f>IF(F20=0,0,I20/F20)</x:f>
        <x:v>152</x:v>
      </x:c>
      <x:c r="I20" s="27" t="n">
        <x:f>SUMIFS('Orders'!$I$5:$I$3004,'Orders'!$D$5:$D$3004,A20,'Orders'!$E$5:$E$3004,B20,'Orders'!$C$5:$C$3004,C20)</x:f>
        <x:v>8664</x:v>
      </x:c>
      <x:c r="J20" s="27" t="n">
        <x:f>'Products'!D5*INDEX('Assumptions'!$C$16:$N$16,1,MONTH(C20))</x:f>
        <x:v>95</x:v>
      </x:c>
      <x:c r="K20" s="27" t="n">
        <x:f>G20*J20</x:f>
        <x:v>5415</x:v>
      </x:c>
      <x:c r="L20" s="27" t="n">
        <x:f>I20-K20</x:f>
        <x:v>3249</x:v>
      </x:c>
    </x:row>
    <x:row r="21" ht="23" customHeight="1">
      <x:c r="A21" s="34" t="str">
        <x:v>0001</x:v>
      </x:c>
      <x:c r="B21" s="7" t="str">
        <x:v>East</x:v>
      </x:c>
      <x:c r="C21" s="14" t="d">
        <x:v>2026-05-01T00:00:00.000Z</x:v>
      </x:c>
      <x:c r="D21" s="27" t="n">
        <x:f>SUMIFS('Orders'!$F$5:$F$3004,'Orders'!$D$5:$D$3004,A21,'Orders'!$E$5:$E$3004,B21,'Orders'!$C$5:$C$3004,C21)</x:f>
        <x:v>48</x:v>
      </x:c>
      <x:c r="E21" s="28" t="n">
        <x:f>0</x:f>
        <x:v>0</x:v>
      </x:c>
      <x:c r="F21" s="27" t="n">
        <x:f>D21</x:f>
        <x:v>48</x:v>
      </x:c>
      <x:c r="G21" s="27" t="n">
        <x:f>F21</x:f>
        <x:v>48</x:v>
      </x:c>
      <x:c r="H21" s="27" t="n">
        <x:f>IF(F21=0,0,I21/F21)</x:f>
        <x:v>156.79999999999998</x:v>
      </x:c>
      <x:c r="I21" s="27" t="n">
        <x:f>SUMIFS('Orders'!$I$5:$I$3004,'Orders'!$D$5:$D$3004,A21,'Orders'!$E$5:$E$3004,B21,'Orders'!$C$5:$C$3004,C21)</x:f>
        <x:v>7526.4</x:v>
      </x:c>
      <x:c r="J21" s="27" t="n">
        <x:f>'Products'!D5*INDEX('Assumptions'!$C$16:$N$16,1,MONTH(C21))</x:f>
        <x:v>95</x:v>
      </x:c>
      <x:c r="K21" s="27" t="n">
        <x:f>G21*J21</x:f>
        <x:v>4560</x:v>
      </x:c>
      <x:c r="L21" s="27" t="n">
        <x:f>I21-K21</x:f>
        <x:v>2966.3999999999996</x:v>
      </x:c>
    </x:row>
    <x:row r="22" ht="23" customHeight="1">
      <x:c r="A22" s="34" t="str">
        <x:v>0001</x:v>
      </x:c>
      <x:c r="B22" s="7" t="str">
        <x:v>East</x:v>
      </x:c>
      <x:c r="C22" s="14" t="d">
        <x:v>2026-06-01T00:00:00.000Z</x:v>
      </x:c>
      <x:c r="D22" s="27" t="n">
        <x:f>SUMIFS('Orders'!$F$5:$F$3004,'Orders'!$D$5:$D$3004,A22,'Orders'!$E$5:$E$3004,B22,'Orders'!$C$5:$C$3004,C22)</x:f>
        <x:v>59</x:v>
      </x:c>
      <x:c r="E22" s="28" t="n">
        <x:f>0</x:f>
        <x:v>0</x:v>
      </x:c>
      <x:c r="F22" s="27" t="n">
        <x:f>D22</x:f>
        <x:v>59</x:v>
      </x:c>
      <x:c r="G22" s="27" t="n">
        <x:f>F22</x:f>
        <x:v>59</x:v>
      </x:c>
      <x:c r="H22" s="27" t="n">
        <x:f>IF(F22=0,0,I22/F22)</x:f>
        <x:v>160</x:v>
      </x:c>
      <x:c r="I22" s="27" t="n">
        <x:f>SUMIFS('Orders'!$I$5:$I$3004,'Orders'!$D$5:$D$3004,A22,'Orders'!$E$5:$E$3004,B22,'Orders'!$C$5:$C$3004,C22)</x:f>
        <x:v>9440</x:v>
      </x:c>
      <x:c r="J22" s="27" t="n">
        <x:f>'Products'!D5*INDEX('Assumptions'!$C$16:$N$16,1,MONTH(C22))</x:f>
        <x:v>95</x:v>
      </x:c>
      <x:c r="K22" s="27" t="n">
        <x:f>G22*J22</x:f>
        <x:v>5605</x:v>
      </x:c>
      <x:c r="L22" s="27" t="n">
        <x:f>I22-K22</x:f>
        <x:v>3835</x:v>
      </x:c>
    </x:row>
    <x:row r="23" ht="23" customHeight="1">
      <x:c r="A23" s="34" t="str">
        <x:v>0001</x:v>
      </x:c>
      <x:c r="B23" s="7" t="str">
        <x:v>East</x:v>
      </x:c>
      <x:c r="C23" s="14" t="d">
        <x:v>2026-07-01T00:00:00.000Z</x:v>
      </x:c>
      <x:c r="D23" s="27" t="n">
        <x:f>'Assumptions'!D45</x:f>
        <x:v>152</x:v>
      </x:c>
      <x:c r="E23" s="28" t="n">
        <x:f>INDEX('Assumptions'!$C$12:$N$12,1,MONTH(C23))</x:f>
        <x:v>0.03</x:v>
      </x:c>
      <x:c r="F23" s="27" t="n">
        <x:f>ROUND(D23*INDEX('Assumptions'!$C$8:$N$8,1,MONTH(C23))*(1-'Products'!E5*E23),0)</x:f>
        <x:v>149</x:v>
      </x:c>
      <x:c r="G23" s="27" t="n">
        <x:f>F23*SUMIFS('Inventory'!$L$5:$L$100,'Inventory'!$A$5:$A$100,A23,'Inventory'!$B$5:$B$100,C23)</x:f>
        <x:v>149</x:v>
      </x:c>
      <x:c r="H23" s="27" t="n">
        <x:f>'Assumptions'!E45*(1+E23)</x:f>
        <x:v>164.8</x:v>
      </x:c>
      <x:c r="I23" s="27" t="n">
        <x:f>G23*H23</x:f>
        <x:v>24555.2</x:v>
      </x:c>
      <x:c r="J23" s="27" t="n">
        <x:f>'Products'!D5*INDEX('Assumptions'!$C$16:$N$16,1,MONTH(C23))</x:f>
        <x:v>96.9</x:v>
      </x:c>
      <x:c r="K23" s="27" t="n">
        <x:f>G23*J23</x:f>
        <x:v>14438.1</x:v>
      </x:c>
      <x:c r="L23" s="27" t="n">
        <x:f>I23-K23</x:f>
        <x:v>10117.1</x:v>
      </x:c>
    </x:row>
    <x:row r="24" ht="23" customHeight="1">
      <x:c r="A24" s="34" t="str">
        <x:v>0001</x:v>
      </x:c>
      <x:c r="B24" s="7" t="str">
        <x:v>East</x:v>
      </x:c>
      <x:c r="C24" s="14" t="d">
        <x:v>2026-08-01T00:00:00.000Z</x:v>
      </x:c>
      <x:c r="D24" s="27" t="n">
        <x:f>'Assumptions'!D46</x:f>
        <x:v>167</x:v>
      </x:c>
      <x:c r="E24" s="28" t="n">
        <x:f>INDEX('Assumptions'!$C$12:$N$12,1,MONTH(C24))</x:f>
        <x:v>0.03</x:v>
      </x:c>
      <x:c r="F24" s="27" t="n">
        <x:f>ROUND(D24*INDEX('Assumptions'!$C$8:$N$8,1,MONTH(C24))*(1-'Products'!E5*E24),0)</x:f>
        <x:v>164</x:v>
      </x:c>
      <x:c r="G24" s="27" t="n">
        <x:f>F24*SUMIFS('Inventory'!$L$5:$L$100,'Inventory'!$A$5:$A$100,A24,'Inventory'!$B$5:$B$100,C24)</x:f>
        <x:v>164</x:v>
      </x:c>
      <x:c r="H24" s="27" t="n">
        <x:f>'Assumptions'!E46*(1+E24)</x:f>
        <x:v>164.8</x:v>
      </x:c>
      <x:c r="I24" s="27" t="n">
        <x:f>G24*H24</x:f>
        <x:v>27027.2</x:v>
      </x:c>
      <x:c r="J24" s="27" t="n">
        <x:f>'Products'!D5*INDEX('Assumptions'!$C$16:$N$16,1,MONTH(C24))</x:f>
        <x:v>96.9</x:v>
      </x:c>
      <x:c r="K24" s="27" t="n">
        <x:f>G24*J24</x:f>
        <x:v>15891.6</x:v>
      </x:c>
      <x:c r="L24" s="27" t="n">
        <x:f>I24-K24</x:f>
        <x:v>11135.6</x:v>
      </x:c>
    </x:row>
    <x:row r="25" ht="23" customHeight="1">
      <x:c r="A25" s="34" t="str">
        <x:v>0001</x:v>
      </x:c>
      <x:c r="B25" s="7" t="str">
        <x:v>East</x:v>
      </x:c>
      <x:c r="C25" s="14" t="d">
        <x:v>2026-09-01T00:00:00.000Z</x:v>
      </x:c>
      <x:c r="D25" s="27" t="n">
        <x:f>'Assumptions'!D47</x:f>
        <x:v>182</x:v>
      </x:c>
      <x:c r="E25" s="28" t="n">
        <x:f>INDEX('Assumptions'!$C$12:$N$12,1,MONTH(C25))</x:f>
        <x:v>0.03</x:v>
      </x:c>
      <x:c r="F25" s="27" t="n">
        <x:f>ROUND(D25*INDEX('Assumptions'!$C$8:$N$8,1,MONTH(C25))*(1-'Products'!E5*E25),0)</x:f>
        <x:v>179</x:v>
      </x:c>
      <x:c r="G25" s="27" t="n">
        <x:f>F25*SUMIFS('Inventory'!$L$5:$L$100,'Inventory'!$A$5:$A$100,A25,'Inventory'!$B$5:$B$100,C25)</x:f>
        <x:v>179</x:v>
      </x:c>
      <x:c r="H25" s="27" t="n">
        <x:f>'Assumptions'!E47*(1+E25)</x:f>
        <x:v>164.8</x:v>
      </x:c>
      <x:c r="I25" s="27" t="n">
        <x:f>G25*H25</x:f>
        <x:v>29499.2</x:v>
      </x:c>
      <x:c r="J25" s="27" t="n">
        <x:f>'Products'!D5*INDEX('Assumptions'!$C$16:$N$16,1,MONTH(C25))</x:f>
        <x:v>96.9</x:v>
      </x:c>
      <x:c r="K25" s="27" t="n">
        <x:f>G25*J25</x:f>
        <x:v>17345.100000000002</x:v>
      </x:c>
      <x:c r="L25" s="27" t="n">
        <x:f>I25-K25</x:f>
        <x:v>12154.099999999999</x:v>
      </x:c>
    </x:row>
    <x:row r="26" ht="23" customHeight="1">
      <x:c r="A26" s="34" t="str">
        <x:v>0001</x:v>
      </x:c>
      <x:c r="B26" s="7" t="str">
        <x:v>East</x:v>
      </x:c>
      <x:c r="C26" s="14" t="d">
        <x:v>2026-10-01T00:00:00.000Z</x:v>
      </x:c>
      <x:c r="D26" s="27" t="n">
        <x:f>'Assumptions'!D48</x:f>
        <x:v>197</x:v>
      </x:c>
      <x:c r="E26" s="28" t="n">
        <x:f>INDEX('Assumptions'!$C$12:$N$12,1,MONTH(C26))</x:f>
        <x:v>0.03</x:v>
      </x:c>
      <x:c r="F26" s="27" t="n">
        <x:f>ROUND(D26*INDEX('Assumptions'!$C$8:$N$8,1,MONTH(C26))*(1-'Products'!E5*E26),0)</x:f>
        <x:v>193</x:v>
      </x:c>
      <x:c r="G26" s="27" t="n">
        <x:f>F26*SUMIFS('Inventory'!$L$5:$L$100,'Inventory'!$A$5:$A$100,A26,'Inventory'!$B$5:$B$100,C26)</x:f>
        <x:v>112.8456712672522</x:v>
      </x:c>
      <x:c r="H26" s="27" t="n">
        <x:f>'Assumptions'!E48*(1+E26)</x:f>
        <x:v>164.8</x:v>
      </x:c>
      <x:c r="I26" s="27" t="n">
        <x:f>G26*H26</x:f>
        <x:v>18596.966624843164</x:v>
      </x:c>
      <x:c r="J26" s="27" t="n">
        <x:f>'Products'!D5*INDEX('Assumptions'!$C$16:$N$16,1,MONTH(C26))</x:f>
        <x:v>96.9</x:v>
      </x:c>
      <x:c r="K26" s="27" t="n">
        <x:f>G26*J26</x:f>
        <x:v>10934.745545796739</x:v>
      </x:c>
      <x:c r="L26" s="27" t="n">
        <x:f>I26-K26</x:f>
        <x:v>7662.221079046425</x:v>
      </x:c>
    </x:row>
    <x:row r="27" ht="23" customHeight="1">
      <x:c r="A27" s="34" t="str">
        <x:v>0001</x:v>
      </x:c>
      <x:c r="B27" s="7" t="str">
        <x:v>East</x:v>
      </x:c>
      <x:c r="C27" s="14" t="d">
        <x:v>2026-11-01T00:00:00.000Z</x:v>
      </x:c>
      <x:c r="D27" s="27" t="n">
        <x:f>'Assumptions'!D49</x:f>
        <x:v>212</x:v>
      </x:c>
      <x:c r="E27" s="28" t="n">
        <x:f>INDEX('Assumptions'!$C$12:$N$12,1,MONTH(C27))</x:f>
        <x:v>0.03</x:v>
      </x:c>
      <x:c r="F27" s="27" t="n">
        <x:f>ROUND(D27*INDEX('Assumptions'!$C$8:$N$8,1,MONTH(C27))*(1-'Products'!E5*E27),0)</x:f>
        <x:v>208</x:v>
      </x:c>
      <x:c r="G27" s="27" t="n">
        <x:f>F27*SUMIFS('Inventory'!$L$5:$L$100,'Inventory'!$A$5:$A$100,A27,'Inventory'!$B$5:$B$100,C27)</x:f>
        <x:v>94.76635514018692</x:v>
      </x:c>
      <x:c r="H27" s="27" t="n">
        <x:f>'Assumptions'!E49*(1+E27)</x:f>
        <x:v>164.8</x:v>
      </x:c>
      <x:c r="I27" s="27" t="n">
        <x:f>G27*H27</x:f>
        <x:v>15617.495327102804</x:v>
      </x:c>
      <x:c r="J27" s="27" t="n">
        <x:f>'Products'!D5*INDEX('Assumptions'!$C$16:$N$16,1,MONTH(C27))</x:f>
        <x:v>96.9</x:v>
      </x:c>
      <x:c r="K27" s="27" t="n">
        <x:f>G27*J27</x:f>
        <x:v>9182.859813084113</x:v>
      </x:c>
      <x:c r="L27" s="27" t="n">
        <x:f>I27-K27</x:f>
        <x:v>6434.6355140186915</x:v>
      </x:c>
    </x:row>
    <x:row r="28" ht="23" customHeight="1">
      <x:c r="A28" s="34" t="str">
        <x:v>0001</x:v>
      </x:c>
      <x:c r="B28" s="7" t="str">
        <x:v>East</x:v>
      </x:c>
      <x:c r="C28" s="14" t="d">
        <x:v>2026-12-01T00:00:00.000Z</x:v>
      </x:c>
      <x:c r="D28" s="27" t="n">
        <x:f>'Assumptions'!D50</x:f>
        <x:v>227</x:v>
      </x:c>
      <x:c r="E28" s="28" t="n">
        <x:f>INDEX('Assumptions'!$C$12:$N$12,1,MONTH(C28))</x:f>
        <x:v>0.03</x:v>
      </x:c>
      <x:c r="F28" s="27" t="n">
        <x:f>ROUND(D28*INDEX('Assumptions'!$C$8:$N$8,1,MONTH(C28))*(1-'Products'!E5*E28),0)</x:f>
        <x:v>223</x:v>
      </x:c>
      <x:c r="G28" s="27" t="n">
        <x:f>F28*SUMIFS('Inventory'!$L$5:$L$100,'Inventory'!$A$5:$A$100,A28,'Inventory'!$B$5:$B$100,C28)</x:f>
        <x:v>95.04918032786885</x:v>
      </x:c>
      <x:c r="H28" s="27" t="n">
        <x:f>'Assumptions'!E50*(1+E28)</x:f>
        <x:v>164.8</x:v>
      </x:c>
      <x:c r="I28" s="27" t="n">
        <x:f>G28*H28</x:f>
        <x:v>15664.104918032788</x:v>
      </x:c>
      <x:c r="J28" s="27" t="n">
        <x:f>'Products'!D5*INDEX('Assumptions'!$C$16:$N$16,1,MONTH(C28))</x:f>
        <x:v>96.9</x:v>
      </x:c>
      <x:c r="K28" s="27" t="n">
        <x:f>G28*J28</x:f>
        <x:v>9210.265573770492</x:v>
      </x:c>
      <x:c r="L28" s="27" t="n">
        <x:f>I28-K28</x:f>
        <x:v>6453.839344262296</x:v>
      </x:c>
    </x:row>
    <x:row r="29" ht="23" customHeight="1">
      <x:c r="A29" s="34" t="str">
        <x:v>0001</x:v>
      </x:c>
      <x:c r="B29" s="7" t="str">
        <x:v>West</x:v>
      </x:c>
      <x:c r="C29" s="14" t="d">
        <x:v>2026-01-01T00:00:00.000Z</x:v>
      </x:c>
      <x:c r="D29" s="27" t="n">
        <x:f>SUMIFS('Orders'!$F$5:$F$3004,'Orders'!$D$5:$D$3004,A29,'Orders'!$E$5:$E$3004,B29,'Orders'!$C$5:$C$3004,C29)</x:f>
        <x:v>67</x:v>
      </x:c>
      <x:c r="E29" s="28" t="n">
        <x:f>0</x:f>
        <x:v>0</x:v>
      </x:c>
      <x:c r="F29" s="27" t="n">
        <x:f>D29</x:f>
        <x:v>67</x:v>
      </x:c>
      <x:c r="G29" s="27" t="n">
        <x:f>F29</x:f>
        <x:v>67</x:v>
      </x:c>
      <x:c r="H29" s="27" t="n">
        <x:f>IF(F29=0,0,I29/F29)</x:f>
        <x:v>156.8</x:v>
      </x:c>
      <x:c r="I29" s="27" t="n">
        <x:f>SUMIFS('Orders'!$I$5:$I$3004,'Orders'!$D$5:$D$3004,A29,'Orders'!$E$5:$E$3004,B29,'Orders'!$C$5:$C$3004,C29)</x:f>
        <x:v>10505.6</x:v>
      </x:c>
      <x:c r="J29" s="27" t="n">
        <x:f>'Products'!D5*INDEX('Assumptions'!$C$16:$N$16,1,MONTH(C29))</x:f>
        <x:v>95</x:v>
      </x:c>
      <x:c r="K29" s="27" t="n">
        <x:f>G29*J29</x:f>
        <x:v>6365</x:v>
      </x:c>
      <x:c r="L29" s="27" t="n">
        <x:f>I29-K29</x:f>
        <x:v>4140.6</x:v>
      </x:c>
    </x:row>
    <x:row r="30" ht="23" customHeight="1">
      <x:c r="A30" s="34" t="str">
        <x:v>0001</x:v>
      </x:c>
      <x:c r="B30" s="7" t="str">
        <x:v>West</x:v>
      </x:c>
      <x:c r="C30" s="14" t="d">
        <x:v>2026-02-01T00:00:00.000Z</x:v>
      </x:c>
      <x:c r="D30" s="27" t="n">
        <x:f>SUMIFS('Orders'!$F$5:$F$3004,'Orders'!$D$5:$D$3004,A30,'Orders'!$E$5:$E$3004,B30,'Orders'!$C$5:$C$3004,C30)</x:f>
        <x:v>59</x:v>
      </x:c>
      <x:c r="E30" s="28" t="n">
        <x:f>0</x:f>
        <x:v>0</x:v>
      </x:c>
      <x:c r="F30" s="27" t="n">
        <x:f>D30</x:f>
        <x:v>59</x:v>
      </x:c>
      <x:c r="G30" s="27" t="n">
        <x:f>F30</x:f>
        <x:v>59</x:v>
      </x:c>
      <x:c r="H30" s="27" t="n">
        <x:f>IF(F30=0,0,I30/F30)</x:f>
        <x:v>160</x:v>
      </x:c>
      <x:c r="I30" s="27" t="n">
        <x:f>SUMIFS('Orders'!$I$5:$I$3004,'Orders'!$D$5:$D$3004,A30,'Orders'!$E$5:$E$3004,B30,'Orders'!$C$5:$C$3004,C30)</x:f>
        <x:v>9440</x:v>
      </x:c>
      <x:c r="J30" s="27" t="n">
        <x:f>'Products'!D5*INDEX('Assumptions'!$C$16:$N$16,1,MONTH(C30))</x:f>
        <x:v>95</x:v>
      </x:c>
      <x:c r="K30" s="27" t="n">
        <x:f>G30*J30</x:f>
        <x:v>5605</x:v>
      </x:c>
      <x:c r="L30" s="27" t="n">
        <x:f>I30-K30</x:f>
        <x:v>3835</x:v>
      </x:c>
    </x:row>
    <x:row r="31" ht="23" customHeight="1">
      <x:c r="A31" s="34" t="str">
        <x:v>0001</x:v>
      </x:c>
      <x:c r="B31" s="7" t="str">
        <x:v>West</x:v>
      </x:c>
      <x:c r="C31" s="14" t="d">
        <x:v>2026-03-01T00:00:00.000Z</x:v>
      </x:c>
      <x:c r="D31" s="27" t="n">
        <x:f>SUMIFS('Orders'!$F$5:$F$3004,'Orders'!$D$5:$D$3004,A31,'Orders'!$E$5:$E$3004,B31,'Orders'!$C$5:$C$3004,C31)</x:f>
        <x:v>50</x:v>
      </x:c>
      <x:c r="E31" s="28" t="n">
        <x:f>0</x:f>
        <x:v>0</x:v>
      </x:c>
      <x:c r="F31" s="27" t="n">
        <x:f>D31</x:f>
        <x:v>50</x:v>
      </x:c>
      <x:c r="G31" s="27" t="n">
        <x:f>F31</x:f>
        <x:v>50</x:v>
      </x:c>
      <x:c r="H31" s="27" t="n">
        <x:f>IF(F31=0,0,I31/F31)</x:f>
        <x:v>152</x:v>
      </x:c>
      <x:c r="I31" s="27" t="n">
        <x:f>SUMIFS('Orders'!$I$5:$I$3004,'Orders'!$D$5:$D$3004,A31,'Orders'!$E$5:$E$3004,B31,'Orders'!$C$5:$C$3004,C31)</x:f>
        <x:v>7600</x:v>
      </x:c>
      <x:c r="J31" s="27" t="n">
        <x:f>'Products'!D5*INDEX('Assumptions'!$C$16:$N$16,1,MONTH(C31))</x:f>
        <x:v>95</x:v>
      </x:c>
      <x:c r="K31" s="27" t="n">
        <x:f>G31*J31</x:f>
        <x:v>4750</x:v>
      </x:c>
      <x:c r="L31" s="27" t="n">
        <x:f>I31-K31</x:f>
        <x:v>2850</x:v>
      </x:c>
    </x:row>
    <x:row r="32" ht="23" customHeight="1">
      <x:c r="A32" s="34" t="str">
        <x:v>0001</x:v>
      </x:c>
      <x:c r="B32" s="7" t="str">
        <x:v>West</x:v>
      </x:c>
      <x:c r="C32" s="14" t="d">
        <x:v>2026-04-01T00:00:00.000Z</x:v>
      </x:c>
      <x:c r="D32" s="27" t="n">
        <x:f>SUMIFS('Orders'!$F$5:$F$3004,'Orders'!$D$5:$D$3004,A32,'Orders'!$E$5:$E$3004,B32,'Orders'!$C$5:$C$3004,C32)</x:f>
        <x:v>73</x:v>
      </x:c>
      <x:c r="E32" s="28" t="n">
        <x:f>0</x:f>
        <x:v>0</x:v>
      </x:c>
      <x:c r="F32" s="27" t="n">
        <x:f>D32</x:f>
        <x:v>73</x:v>
      </x:c>
      <x:c r="G32" s="27" t="n">
        <x:f>F32</x:f>
        <x:v>73</x:v>
      </x:c>
      <x:c r="H32" s="27" t="n">
        <x:f>IF(F32=0,0,I32/F32)</x:f>
        <x:v>156.79999999999998</x:v>
      </x:c>
      <x:c r="I32" s="27" t="n">
        <x:f>SUMIFS('Orders'!$I$5:$I$3004,'Orders'!$D$5:$D$3004,A32,'Orders'!$E$5:$E$3004,B32,'Orders'!$C$5:$C$3004,C32)</x:f>
        <x:v>11446.4</x:v>
      </x:c>
      <x:c r="J32" s="27" t="n">
        <x:f>'Products'!D5*INDEX('Assumptions'!$C$16:$N$16,1,MONTH(C32))</x:f>
        <x:v>95</x:v>
      </x:c>
      <x:c r="K32" s="27" t="n">
        <x:f>G32*J32</x:f>
        <x:v>6935</x:v>
      </x:c>
      <x:c r="L32" s="27" t="n">
        <x:f>I32-K32</x:f>
        <x:v>4511.4</x:v>
      </x:c>
    </x:row>
    <x:row r="33" ht="23" customHeight="1">
      <x:c r="A33" s="34" t="str">
        <x:v>0001</x:v>
      </x:c>
      <x:c r="B33" s="7" t="str">
        <x:v>West</x:v>
      </x:c>
      <x:c r="C33" s="14" t="d">
        <x:v>2026-05-01T00:00:00.000Z</x:v>
      </x:c>
      <x:c r="D33" s="27" t="n">
        <x:f>SUMIFS('Orders'!$F$5:$F$3004,'Orders'!$D$5:$D$3004,A33,'Orders'!$E$5:$E$3004,B33,'Orders'!$C$5:$C$3004,C33)</x:f>
        <x:v>50</x:v>
      </x:c>
      <x:c r="E33" s="28" t="n">
        <x:f>0</x:f>
        <x:v>0</x:v>
      </x:c>
      <x:c r="F33" s="27" t="n">
        <x:f>D33</x:f>
        <x:v>50</x:v>
      </x:c>
      <x:c r="G33" s="27" t="n">
        <x:f>F33</x:f>
        <x:v>50</x:v>
      </x:c>
      <x:c r="H33" s="27" t="n">
        <x:f>IF(F33=0,0,I33/F33)</x:f>
        <x:v>160</x:v>
      </x:c>
      <x:c r="I33" s="27" t="n">
        <x:f>SUMIFS('Orders'!$I$5:$I$3004,'Orders'!$D$5:$D$3004,A33,'Orders'!$E$5:$E$3004,B33,'Orders'!$C$5:$C$3004,C33)</x:f>
        <x:v>8000</x:v>
      </x:c>
      <x:c r="J33" s="27" t="n">
        <x:f>'Products'!D5*INDEX('Assumptions'!$C$16:$N$16,1,MONTH(C33))</x:f>
        <x:v>95</x:v>
      </x:c>
      <x:c r="K33" s="27" t="n">
        <x:f>G33*J33</x:f>
        <x:v>4750</x:v>
      </x:c>
      <x:c r="L33" s="27" t="n">
        <x:f>I33-K33</x:f>
        <x:v>3250</x:v>
      </x:c>
    </x:row>
    <x:row r="34" ht="23" customHeight="1">
      <x:c r="A34" s="34" t="str">
        <x:v>0001</x:v>
      </x:c>
      <x:c r="B34" s="7" t="str">
        <x:v>West</x:v>
      </x:c>
      <x:c r="C34" s="14" t="d">
        <x:v>2026-06-01T00:00:00.000Z</x:v>
      </x:c>
      <x:c r="D34" s="27" t="n">
        <x:f>SUMIFS('Orders'!$F$5:$F$3004,'Orders'!$D$5:$D$3004,A34,'Orders'!$E$5:$E$3004,B34,'Orders'!$C$5:$C$3004,C34)</x:f>
        <x:v>52</x:v>
      </x:c>
      <x:c r="E34" s="28" t="n">
        <x:f>0</x:f>
        <x:v>0</x:v>
      </x:c>
      <x:c r="F34" s="27" t="n">
        <x:f>D34</x:f>
        <x:v>52</x:v>
      </x:c>
      <x:c r="G34" s="27" t="n">
        <x:f>F34</x:f>
        <x:v>52</x:v>
      </x:c>
      <x:c r="H34" s="27" t="n">
        <x:f>IF(F34=0,0,I34/F34)</x:f>
        <x:v>152</x:v>
      </x:c>
      <x:c r="I34" s="27" t="n">
        <x:f>SUMIFS('Orders'!$I$5:$I$3004,'Orders'!$D$5:$D$3004,A34,'Orders'!$E$5:$E$3004,B34,'Orders'!$C$5:$C$3004,C34)</x:f>
        <x:v>7904</x:v>
      </x:c>
      <x:c r="J34" s="27" t="n">
        <x:f>'Products'!D5*INDEX('Assumptions'!$C$16:$N$16,1,MONTH(C34))</x:f>
        <x:v>95</x:v>
      </x:c>
      <x:c r="K34" s="27" t="n">
        <x:f>G34*J34</x:f>
        <x:v>4940</x:v>
      </x:c>
      <x:c r="L34" s="27" t="n">
        <x:f>I34-K34</x:f>
        <x:v>2964</x:v>
      </x:c>
    </x:row>
    <x:row r="35" ht="23" customHeight="1">
      <x:c r="A35" s="34" t="str">
        <x:v>0001</x:v>
      </x:c>
      <x:c r="B35" s="7" t="str">
        <x:v>West</x:v>
      </x:c>
      <x:c r="C35" s="14" t="d">
        <x:v>2026-07-01T00:00:00.000Z</x:v>
      </x:c>
      <x:c r="D35" s="27" t="n">
        <x:f>'Assumptions'!D51</x:f>
        <x:v>164</x:v>
      </x:c>
      <x:c r="E35" s="28" t="n">
        <x:f>INDEX('Assumptions'!$C$12:$N$12,1,MONTH(C35))</x:f>
        <x:v>0.03</x:v>
      </x:c>
      <x:c r="F35" s="27" t="n">
        <x:f>ROUND(D35*INDEX('Assumptions'!$C$8:$N$8,1,MONTH(C35))*(1-'Products'!E5*E35),0)</x:f>
        <x:v>161</x:v>
      </x:c>
      <x:c r="G35" s="27" t="n">
        <x:f>F35*SUMIFS('Inventory'!$L$5:$L$100,'Inventory'!$A$5:$A$100,A35,'Inventory'!$B$5:$B$100,C35)</x:f>
        <x:v>161</x:v>
      </x:c>
      <x:c r="H35" s="27" t="n">
        <x:f>'Assumptions'!E51*(1+E35)</x:f>
        <x:v>164.8</x:v>
      </x:c>
      <x:c r="I35" s="27" t="n">
        <x:f>G35*H35</x:f>
        <x:v>26532.800000000003</x:v>
      </x:c>
      <x:c r="J35" s="27" t="n">
        <x:f>'Products'!D5*INDEX('Assumptions'!$C$16:$N$16,1,MONTH(C35))</x:f>
        <x:v>96.9</x:v>
      </x:c>
      <x:c r="K35" s="27" t="n">
        <x:f>G35*J35</x:f>
        <x:v>15600.900000000001</x:v>
      </x:c>
      <x:c r="L35" s="27" t="n">
        <x:f>I35-K35</x:f>
        <x:v>10931.900000000001</x:v>
      </x:c>
    </x:row>
    <x:row r="36" ht="23" customHeight="1">
      <x:c r="A36" s="34" t="str">
        <x:v>0001</x:v>
      </x:c>
      <x:c r="B36" s="7" t="str">
        <x:v>West</x:v>
      </x:c>
      <x:c r="C36" s="14" t="d">
        <x:v>2026-08-01T00:00:00.000Z</x:v>
      </x:c>
      <x:c r="D36" s="27" t="n">
        <x:f>'Assumptions'!D52</x:f>
        <x:v>179</x:v>
      </x:c>
      <x:c r="E36" s="28" t="n">
        <x:f>INDEX('Assumptions'!$C$12:$N$12,1,MONTH(C36))</x:f>
        <x:v>0.03</x:v>
      </x:c>
      <x:c r="F36" s="27" t="n">
        <x:f>ROUND(D36*INDEX('Assumptions'!$C$8:$N$8,1,MONTH(C36))*(1-'Products'!E5*E36),0)</x:f>
        <x:v>176</x:v>
      </x:c>
      <x:c r="G36" s="27" t="n">
        <x:f>F36*SUMIFS('Inventory'!$L$5:$L$100,'Inventory'!$A$5:$A$100,A36,'Inventory'!$B$5:$B$100,C36)</x:f>
        <x:v>176</x:v>
      </x:c>
      <x:c r="H36" s="27" t="n">
        <x:f>'Assumptions'!E52*(1+E36)</x:f>
        <x:v>164.8</x:v>
      </x:c>
      <x:c r="I36" s="27" t="n">
        <x:f>G36*H36</x:f>
        <x:v>29004.800000000003</x:v>
      </x:c>
      <x:c r="J36" s="27" t="n">
        <x:f>'Products'!D5*INDEX('Assumptions'!$C$16:$N$16,1,MONTH(C36))</x:f>
        <x:v>96.9</x:v>
      </x:c>
      <x:c r="K36" s="27" t="n">
        <x:f>G36*J36</x:f>
        <x:v>17054.4</x:v>
      </x:c>
      <x:c r="L36" s="27" t="n">
        <x:f>I36-K36</x:f>
        <x:v>11950.400000000001</x:v>
      </x:c>
    </x:row>
    <x:row r="37" ht="23" customHeight="1">
      <x:c r="A37" s="34" t="str">
        <x:v>0001</x:v>
      </x:c>
      <x:c r="B37" s="7" t="str">
        <x:v>West</x:v>
      </x:c>
      <x:c r="C37" s="14" t="d">
        <x:v>2026-09-01T00:00:00.000Z</x:v>
      </x:c>
      <x:c r="D37" s="27" t="n">
        <x:f>'Assumptions'!D53</x:f>
        <x:v>194</x:v>
      </x:c>
      <x:c r="E37" s="28" t="n">
        <x:f>INDEX('Assumptions'!$C$12:$N$12,1,MONTH(C37))</x:f>
        <x:v>0.03</x:v>
      </x:c>
      <x:c r="F37" s="27" t="n">
        <x:f>ROUND(D37*INDEX('Assumptions'!$C$8:$N$8,1,MONTH(C37))*(1-'Products'!E5*E37),0)</x:f>
        <x:v>191</x:v>
      </x:c>
      <x:c r="G37" s="27" t="n">
        <x:f>F37*SUMIFS('Inventory'!$L$5:$L$100,'Inventory'!$A$5:$A$100,A37,'Inventory'!$B$5:$B$100,C37)</x:f>
        <x:v>191</x:v>
      </x:c>
      <x:c r="H37" s="27" t="n">
        <x:f>'Assumptions'!E53*(1+E37)</x:f>
        <x:v>164.8</x:v>
      </x:c>
      <x:c r="I37" s="27" t="n">
        <x:f>G37*H37</x:f>
        <x:v>31476.800000000003</x:v>
      </x:c>
      <x:c r="J37" s="27" t="n">
        <x:f>'Products'!D5*INDEX('Assumptions'!$C$16:$N$16,1,MONTH(C37))</x:f>
        <x:v>96.9</x:v>
      </x:c>
      <x:c r="K37" s="27" t="n">
        <x:f>G37*J37</x:f>
        <x:v>18507.9</x:v>
      </x:c>
      <x:c r="L37" s="27" t="n">
        <x:f>I37-K37</x:f>
        <x:v>12968.900000000001</x:v>
      </x:c>
    </x:row>
    <x:row r="38" ht="23" customHeight="1">
      <x:c r="A38" s="34" t="str">
        <x:v>0001</x:v>
      </x:c>
      <x:c r="B38" s="7" t="str">
        <x:v>West</x:v>
      </x:c>
      <x:c r="C38" s="14" t="d">
        <x:v>2026-10-01T00:00:00.000Z</x:v>
      </x:c>
      <x:c r="D38" s="27" t="n">
        <x:f>'Assumptions'!D54</x:f>
        <x:v>209</x:v>
      </x:c>
      <x:c r="E38" s="28" t="n">
        <x:f>INDEX('Assumptions'!$C$12:$N$12,1,MONTH(C38))</x:f>
        <x:v>0.03</x:v>
      </x:c>
      <x:c r="F38" s="27" t="n">
        <x:f>ROUND(D38*INDEX('Assumptions'!$C$8:$N$8,1,MONTH(C38))*(1-'Products'!E5*E38),0)</x:f>
        <x:v>205</x:v>
      </x:c>
      <x:c r="G38" s="27" t="n">
        <x:f>F38*SUMIFS('Inventory'!$L$5:$L$100,'Inventory'!$A$5:$A$100,A38,'Inventory'!$B$5:$B$100,C38)</x:f>
        <x:v>119.861982434128</x:v>
      </x:c>
      <x:c r="H38" s="27" t="n">
        <x:f>'Assumptions'!E54*(1+E38)</x:f>
        <x:v>164.8</x:v>
      </x:c>
      <x:c r="I38" s="27" t="n">
        <x:f>G38*H38</x:f>
        <x:v>19753.254705144296</x:v>
      </x:c>
      <x:c r="J38" s="27" t="n">
        <x:f>'Products'!D5*INDEX('Assumptions'!$C$16:$N$16,1,MONTH(C38))</x:f>
        <x:v>96.9</x:v>
      </x:c>
      <x:c r="K38" s="27" t="n">
        <x:f>G38*J38</x:f>
        <x:v>11614.626097867003</x:v>
      </x:c>
      <x:c r="L38" s="27" t="n">
        <x:f>I38-K38</x:f>
        <x:v>8138.628607277293</x:v>
      </x:c>
    </x:row>
    <x:row r="39" ht="23" customHeight="1">
      <x:c r="A39" s="34" t="str">
        <x:v>0001</x:v>
      </x:c>
      <x:c r="B39" s="7" t="str">
        <x:v>West</x:v>
      </x:c>
      <x:c r="C39" s="14" t="d">
        <x:v>2026-11-01T00:00:00.000Z</x:v>
      </x:c>
      <x:c r="D39" s="27" t="n">
        <x:f>'Assumptions'!D55</x:f>
        <x:v>224</x:v>
      </x:c>
      <x:c r="E39" s="28" t="n">
        <x:f>INDEX('Assumptions'!$C$12:$N$12,1,MONTH(C39))</x:f>
        <x:v>0.03</x:v>
      </x:c>
      <x:c r="F39" s="27" t="n">
        <x:f>ROUND(D39*INDEX('Assumptions'!$C$8:$N$8,1,MONTH(C39))*(1-'Products'!E5*E39),0)</x:f>
        <x:v>220</x:v>
      </x:c>
      <x:c r="G39" s="27" t="n">
        <x:f>F39*SUMIFS('Inventory'!$L$5:$L$100,'Inventory'!$A$5:$A$100,A39,'Inventory'!$B$5:$B$100,C39)</x:f>
        <x:v>100.23364485981308</x:v>
      </x:c>
      <x:c r="H39" s="27" t="n">
        <x:f>'Assumptions'!E55*(1+E39)</x:f>
        <x:v>164.8</x:v>
      </x:c>
      <x:c r="I39" s="27" t="n">
        <x:f>G39*H39</x:f>
        <x:v>16518.504672897197</x:v>
      </x:c>
      <x:c r="J39" s="27" t="n">
        <x:f>'Products'!D5*INDEX('Assumptions'!$C$16:$N$16,1,MONTH(C39))</x:f>
        <x:v>96.9</x:v>
      </x:c>
      <x:c r="K39" s="27" t="n">
        <x:f>G39*J39</x:f>
        <x:v>9712.640186915889</x:v>
      </x:c>
      <x:c r="L39" s="27" t="n">
        <x:f>I39-K39</x:f>
        <x:v>6805.8644859813085</x:v>
      </x:c>
    </x:row>
    <x:row r="40" ht="23" customHeight="1">
      <x:c r="A40" s="34" t="str">
        <x:v>0001</x:v>
      </x:c>
      <x:c r="B40" s="7" t="str">
        <x:v>West</x:v>
      </x:c>
      <x:c r="C40" s="14" t="d">
        <x:v>2026-12-01T00:00:00.000Z</x:v>
      </x:c>
      <x:c r="D40" s="27" t="n">
        <x:f>'Assumptions'!D56</x:f>
        <x:v>239</x:v>
      </x:c>
      <x:c r="E40" s="28" t="n">
        <x:f>INDEX('Assumptions'!$C$12:$N$12,1,MONTH(C40))</x:f>
        <x:v>0.03</x:v>
      </x:c>
      <x:c r="F40" s="27" t="n">
        <x:f>ROUND(D40*INDEX('Assumptions'!$C$8:$N$8,1,MONTH(C40))*(1-'Products'!E5*E40),0)</x:f>
        <x:v>235</x:v>
      </x:c>
      <x:c r="G40" s="27" t="n">
        <x:f>F40*SUMIFS('Inventory'!$L$5:$L$100,'Inventory'!$A$5:$A$100,A40,'Inventory'!$B$5:$B$100,C40)</x:f>
        <x:v>100.1639344262295</x:v>
      </x:c>
      <x:c r="H40" s="27" t="n">
        <x:f>'Assumptions'!E56*(1+E40)</x:f>
        <x:v>164.8</x:v>
      </x:c>
      <x:c r="I40" s="27" t="n">
        <x:f>G40*H40</x:f>
        <x:v>16507.016393442624</x:v>
      </x:c>
      <x:c r="J40" s="27" t="n">
        <x:f>'Products'!D5*INDEX('Assumptions'!$C$16:$N$16,1,MONTH(C40))</x:f>
        <x:v>96.9</x:v>
      </x:c>
      <x:c r="K40" s="27" t="n">
        <x:f>G40*J40</x:f>
        <x:v>9705.88524590164</x:v>
      </x:c>
      <x:c r="L40" s="27" t="n">
        <x:f>I40-K40</x:f>
        <x:v>6801.131147540984</x:v>
      </x:c>
    </x:row>
    <x:row r="41" ht="23" customHeight="1">
      <x:c r="A41" s="34" t="str">
        <x:v>0001</x:v>
      </x:c>
      <x:c r="B41" s="7" t="str">
        <x:v>North</x:v>
      </x:c>
      <x:c r="C41" s="14" t="d">
        <x:v>2026-01-01T00:00:00.000Z</x:v>
      </x:c>
      <x:c r="D41" s="27" t="n">
        <x:f>SUMIFS('Orders'!$F$5:$F$3004,'Orders'!$D$5:$D$3004,A41,'Orders'!$E$5:$E$3004,B41,'Orders'!$C$5:$C$3004,C41)</x:f>
        <x:v>54</x:v>
      </x:c>
      <x:c r="E41" s="28" t="n">
        <x:f>0</x:f>
        <x:v>0</x:v>
      </x:c>
      <x:c r="F41" s="27" t="n">
        <x:f>D41</x:f>
        <x:v>54</x:v>
      </x:c>
      <x:c r="G41" s="27" t="n">
        <x:f>F41</x:f>
        <x:v>54</x:v>
      </x:c>
      <x:c r="H41" s="27" t="n">
        <x:f>IF(F41=0,0,I41/F41)</x:f>
        <x:v>160</x:v>
      </x:c>
      <x:c r="I41" s="27" t="n">
        <x:f>SUMIFS('Orders'!$I$5:$I$3004,'Orders'!$D$5:$D$3004,A41,'Orders'!$E$5:$E$3004,B41,'Orders'!$C$5:$C$3004,C41)</x:f>
        <x:v>8640</x:v>
      </x:c>
      <x:c r="J41" s="27" t="n">
        <x:f>'Products'!D5*INDEX('Assumptions'!$C$16:$N$16,1,MONTH(C41))</x:f>
        <x:v>95</x:v>
      </x:c>
      <x:c r="K41" s="27" t="n">
        <x:f>G41*J41</x:f>
        <x:v>5130</x:v>
      </x:c>
      <x:c r="L41" s="27" t="n">
        <x:f>I41-K41</x:f>
        <x:v>3510</x:v>
      </x:c>
    </x:row>
    <x:row r="42" ht="23" customHeight="1">
      <x:c r="A42" s="34" t="str">
        <x:v>0001</x:v>
      </x:c>
      <x:c r="B42" s="7" t="str">
        <x:v>North</x:v>
      </x:c>
      <x:c r="C42" s="14" t="d">
        <x:v>2026-02-01T00:00:00.000Z</x:v>
      </x:c>
      <x:c r="D42" s="27" t="n">
        <x:f>SUMIFS('Orders'!$F$5:$F$3004,'Orders'!$D$5:$D$3004,A42,'Orders'!$E$5:$E$3004,B42,'Orders'!$C$5:$C$3004,C42)</x:f>
        <x:v>71</x:v>
      </x:c>
      <x:c r="E42" s="28" t="n">
        <x:f>0</x:f>
        <x:v>0</x:v>
      </x:c>
      <x:c r="F42" s="27" t="n">
        <x:f>D42</x:f>
        <x:v>71</x:v>
      </x:c>
      <x:c r="G42" s="27" t="n">
        <x:f>F42</x:f>
        <x:v>71</x:v>
      </x:c>
      <x:c r="H42" s="27" t="n">
        <x:f>IF(F42=0,0,I42/F42)</x:f>
        <x:v>152</x:v>
      </x:c>
      <x:c r="I42" s="27" t="n">
        <x:f>SUMIFS('Orders'!$I$5:$I$3004,'Orders'!$D$5:$D$3004,A42,'Orders'!$E$5:$E$3004,B42,'Orders'!$C$5:$C$3004,C42)</x:f>
        <x:v>10792</x:v>
      </x:c>
      <x:c r="J42" s="27" t="n">
        <x:f>'Products'!D5*INDEX('Assumptions'!$C$16:$N$16,1,MONTH(C42))</x:f>
        <x:v>95</x:v>
      </x:c>
      <x:c r="K42" s="27" t="n">
        <x:f>G42*J42</x:f>
        <x:v>6745</x:v>
      </x:c>
      <x:c r="L42" s="27" t="n">
        <x:f>I42-K42</x:f>
        <x:v>4047</x:v>
      </x:c>
    </x:row>
    <x:row r="43" ht="23" customHeight="1">
      <x:c r="A43" s="34" t="str">
        <x:v>0001</x:v>
      </x:c>
      <x:c r="B43" s="7" t="str">
        <x:v>North</x:v>
      </x:c>
      <x:c r="C43" s="14" t="d">
        <x:v>2026-03-01T00:00:00.000Z</x:v>
      </x:c>
      <x:c r="D43" s="27" t="n">
        <x:f>SUMIFS('Orders'!$F$5:$F$3004,'Orders'!$D$5:$D$3004,A43,'Orders'!$E$5:$E$3004,B43,'Orders'!$C$5:$C$3004,C43)</x:f>
        <x:v>57</x:v>
      </x:c>
      <x:c r="E43" s="28" t="n">
        <x:f>0</x:f>
        <x:v>0</x:v>
      </x:c>
      <x:c r="F43" s="27" t="n">
        <x:f>D43</x:f>
        <x:v>57</x:v>
      </x:c>
      <x:c r="G43" s="27" t="n">
        <x:f>F43</x:f>
        <x:v>57</x:v>
      </x:c>
      <x:c r="H43" s="27" t="n">
        <x:f>IF(F43=0,0,I43/F43)</x:f>
        <x:v>156.79999999999998</x:v>
      </x:c>
      <x:c r="I43" s="27" t="n">
        <x:f>SUMIFS('Orders'!$I$5:$I$3004,'Orders'!$D$5:$D$3004,A43,'Orders'!$E$5:$E$3004,B43,'Orders'!$C$5:$C$3004,C43)</x:f>
        <x:v>8937.599999999999</x:v>
      </x:c>
      <x:c r="J43" s="27" t="n">
        <x:f>'Products'!D5*INDEX('Assumptions'!$C$16:$N$16,1,MONTH(C43))</x:f>
        <x:v>95</x:v>
      </x:c>
      <x:c r="K43" s="27" t="n">
        <x:f>G43*J43</x:f>
        <x:v>5415</x:v>
      </x:c>
      <x:c r="L43" s="27" t="n">
        <x:f>I43-K43</x:f>
        <x:v>3522.5999999999985</x:v>
      </x:c>
    </x:row>
    <x:row r="44" ht="23" customHeight="1">
      <x:c r="A44" s="34" t="str">
        <x:v>0001</x:v>
      </x:c>
      <x:c r="B44" s="7" t="str">
        <x:v>North</x:v>
      </x:c>
      <x:c r="C44" s="14" t="d">
        <x:v>2026-04-01T00:00:00.000Z</x:v>
      </x:c>
      <x:c r="D44" s="27" t="n">
        <x:f>SUMIFS('Orders'!$F$5:$F$3004,'Orders'!$D$5:$D$3004,A44,'Orders'!$E$5:$E$3004,B44,'Orders'!$C$5:$C$3004,C44)</x:f>
        <x:v>62</x:v>
      </x:c>
      <x:c r="E44" s="28" t="n">
        <x:f>0</x:f>
        <x:v>0</x:v>
      </x:c>
      <x:c r="F44" s="27" t="n">
        <x:f>D44</x:f>
        <x:v>62</x:v>
      </x:c>
      <x:c r="G44" s="27" t="n">
        <x:f>F44</x:f>
        <x:v>62</x:v>
      </x:c>
      <x:c r="H44" s="27" t="n">
        <x:f>IF(F44=0,0,I44/F44)</x:f>
        <x:v>160</x:v>
      </x:c>
      <x:c r="I44" s="27" t="n">
        <x:f>SUMIFS('Orders'!$I$5:$I$3004,'Orders'!$D$5:$D$3004,A44,'Orders'!$E$5:$E$3004,B44,'Orders'!$C$5:$C$3004,C44)</x:f>
        <x:v>9920</x:v>
      </x:c>
      <x:c r="J44" s="27" t="n">
        <x:f>'Products'!D5*INDEX('Assumptions'!$C$16:$N$16,1,MONTH(C44))</x:f>
        <x:v>95</x:v>
      </x:c>
      <x:c r="K44" s="27" t="n">
        <x:f>G44*J44</x:f>
        <x:v>5890</x:v>
      </x:c>
      <x:c r="L44" s="27" t="n">
        <x:f>I44-K44</x:f>
        <x:v>4030</x:v>
      </x:c>
    </x:row>
    <x:row r="45" ht="23" customHeight="1">
      <x:c r="A45" s="34" t="str">
        <x:v>0001</x:v>
      </x:c>
      <x:c r="B45" s="7" t="str">
        <x:v>North</x:v>
      </x:c>
      <x:c r="C45" s="14" t="d">
        <x:v>2026-05-01T00:00:00.000Z</x:v>
      </x:c>
      <x:c r="D45" s="27" t="n">
        <x:f>SUMIFS('Orders'!$F$5:$F$3004,'Orders'!$D$5:$D$3004,A45,'Orders'!$E$5:$E$3004,B45,'Orders'!$C$5:$C$3004,C45)</x:f>
        <x:v>51</x:v>
      </x:c>
      <x:c r="E45" s="28" t="n">
        <x:f>0</x:f>
        <x:v>0</x:v>
      </x:c>
      <x:c r="F45" s="27" t="n">
        <x:f>D45</x:f>
        <x:v>51</x:v>
      </x:c>
      <x:c r="G45" s="27" t="n">
        <x:f>F45</x:f>
        <x:v>51</x:v>
      </x:c>
      <x:c r="H45" s="27" t="n">
        <x:f>IF(F45=0,0,I45/F45)</x:f>
        <x:v>152</x:v>
      </x:c>
      <x:c r="I45" s="27" t="n">
        <x:f>SUMIFS('Orders'!$I$5:$I$3004,'Orders'!$D$5:$D$3004,A45,'Orders'!$E$5:$E$3004,B45,'Orders'!$C$5:$C$3004,C45)</x:f>
        <x:v>7752</x:v>
      </x:c>
      <x:c r="J45" s="27" t="n">
        <x:f>'Products'!D5*INDEX('Assumptions'!$C$16:$N$16,1,MONTH(C45))</x:f>
        <x:v>95</x:v>
      </x:c>
      <x:c r="K45" s="27" t="n">
        <x:f>G45*J45</x:f>
        <x:v>4845</x:v>
      </x:c>
      <x:c r="L45" s="27" t="n">
        <x:f>I45-K45</x:f>
        <x:v>2907</x:v>
      </x:c>
    </x:row>
    <x:row r="46" ht="23" customHeight="1">
      <x:c r="A46" s="34" t="str">
        <x:v>0001</x:v>
      </x:c>
      <x:c r="B46" s="7" t="str">
        <x:v>North</x:v>
      </x:c>
      <x:c r="C46" s="14" t="d">
        <x:v>2026-06-01T00:00:00.000Z</x:v>
      </x:c>
      <x:c r="D46" s="27" t="n">
        <x:f>SUMIFS('Orders'!$F$5:$F$3004,'Orders'!$D$5:$D$3004,A46,'Orders'!$E$5:$E$3004,B46,'Orders'!$C$5:$C$3004,C46)</x:f>
        <x:v>47</x:v>
      </x:c>
      <x:c r="E46" s="28" t="n">
        <x:f>0</x:f>
        <x:v>0</x:v>
      </x:c>
      <x:c r="F46" s="27" t="n">
        <x:f>D46</x:f>
        <x:v>47</x:v>
      </x:c>
      <x:c r="G46" s="27" t="n">
        <x:f>F46</x:f>
        <x:v>47</x:v>
      </x:c>
      <x:c r="H46" s="27" t="n">
        <x:f>IF(F46=0,0,I46/F46)</x:f>
        <x:v>156.80000000000004</x:v>
      </x:c>
      <x:c r="I46" s="27" t="n">
        <x:f>SUMIFS('Orders'!$I$5:$I$3004,'Orders'!$D$5:$D$3004,A46,'Orders'!$E$5:$E$3004,B46,'Orders'!$C$5:$C$3004,C46)</x:f>
        <x:v>7369.600000000001</x:v>
      </x:c>
      <x:c r="J46" s="27" t="n">
        <x:f>'Products'!D5*INDEX('Assumptions'!$C$16:$N$16,1,MONTH(C46))</x:f>
        <x:v>95</x:v>
      </x:c>
      <x:c r="K46" s="27" t="n">
        <x:f>G46*J46</x:f>
        <x:v>4465</x:v>
      </x:c>
      <x:c r="L46" s="27" t="n">
        <x:f>I46-K46</x:f>
        <x:v>2904.6000000000013</x:v>
      </x:c>
    </x:row>
    <x:row r="47" ht="23" customHeight="1">
      <x:c r="A47" s="34" t="str">
        <x:v>0001</x:v>
      </x:c>
      <x:c r="B47" s="7" t="str">
        <x:v>North</x:v>
      </x:c>
      <x:c r="C47" s="14" t="d">
        <x:v>2026-07-01T00:00:00.000Z</x:v>
      </x:c>
      <x:c r="D47" s="27" t="n">
        <x:f>'Assumptions'!D57</x:f>
        <x:v>176</x:v>
      </x:c>
      <x:c r="E47" s="28" t="n">
        <x:f>INDEX('Assumptions'!$C$12:$N$12,1,MONTH(C47))</x:f>
        <x:v>0.03</x:v>
      </x:c>
      <x:c r="F47" s="27" t="n">
        <x:f>ROUND(D47*INDEX('Assumptions'!$C$8:$N$8,1,MONTH(C47))*(1-'Products'!E5*E47),0)</x:f>
        <x:v>173</x:v>
      </x:c>
      <x:c r="G47" s="27" t="n">
        <x:f>F47*SUMIFS('Inventory'!$L$5:$L$100,'Inventory'!$A$5:$A$100,A47,'Inventory'!$B$5:$B$100,C47)</x:f>
        <x:v>173</x:v>
      </x:c>
      <x:c r="H47" s="27" t="n">
        <x:f>'Assumptions'!E57*(1+E47)</x:f>
        <x:v>164.8</x:v>
      </x:c>
      <x:c r="I47" s="27" t="n">
        <x:f>G47*H47</x:f>
        <x:v>28510.4</x:v>
      </x:c>
      <x:c r="J47" s="27" t="n">
        <x:f>'Products'!D5*INDEX('Assumptions'!$C$16:$N$16,1,MONTH(C47))</x:f>
        <x:v>96.9</x:v>
      </x:c>
      <x:c r="K47" s="27" t="n">
        <x:f>G47*J47</x:f>
        <x:v>16763.7</x:v>
      </x:c>
      <x:c r="L47" s="27" t="n">
        <x:f>I47-K47</x:f>
        <x:v>11746.7</x:v>
      </x:c>
    </x:row>
    <x:row r="48" ht="23" customHeight="1">
      <x:c r="A48" s="34" t="str">
        <x:v>0001</x:v>
      </x:c>
      <x:c r="B48" s="7" t="str">
        <x:v>North</x:v>
      </x:c>
      <x:c r="C48" s="14" t="d">
        <x:v>2026-08-01T00:00:00.000Z</x:v>
      </x:c>
      <x:c r="D48" s="27" t="n">
        <x:f>'Assumptions'!D58</x:f>
        <x:v>191</x:v>
      </x:c>
      <x:c r="E48" s="28" t="n">
        <x:f>INDEX('Assumptions'!$C$12:$N$12,1,MONTH(C48))</x:f>
        <x:v>0.03</x:v>
      </x:c>
      <x:c r="F48" s="27" t="n">
        <x:f>ROUND(D48*INDEX('Assumptions'!$C$8:$N$8,1,MONTH(C48))*(1-'Products'!E5*E48),0)</x:f>
        <x:v>188</x:v>
      </x:c>
      <x:c r="G48" s="27" t="n">
        <x:f>F48*SUMIFS('Inventory'!$L$5:$L$100,'Inventory'!$A$5:$A$100,A48,'Inventory'!$B$5:$B$100,C48)</x:f>
        <x:v>188</x:v>
      </x:c>
      <x:c r="H48" s="27" t="n">
        <x:f>'Assumptions'!E58*(1+E48)</x:f>
        <x:v>164.8</x:v>
      </x:c>
      <x:c r="I48" s="27" t="n">
        <x:f>G48*H48</x:f>
        <x:v>30982.4</x:v>
      </x:c>
      <x:c r="J48" s="27" t="n">
        <x:f>'Products'!D5*INDEX('Assumptions'!$C$16:$N$16,1,MONTH(C48))</x:f>
        <x:v>96.9</x:v>
      </x:c>
      <x:c r="K48" s="27" t="n">
        <x:f>G48*J48</x:f>
        <x:v>18217.2</x:v>
      </x:c>
      <x:c r="L48" s="27" t="n">
        <x:f>I48-K48</x:f>
        <x:v>12765.2</x:v>
      </x:c>
    </x:row>
    <x:row r="49" ht="23" customHeight="1">
      <x:c r="A49" s="34" t="str">
        <x:v>0001</x:v>
      </x:c>
      <x:c r="B49" s="7" t="str">
        <x:v>North</x:v>
      </x:c>
      <x:c r="C49" s="14" t="d">
        <x:v>2026-09-01T00:00:00.000Z</x:v>
      </x:c>
      <x:c r="D49" s="27" t="n">
        <x:f>'Assumptions'!D59</x:f>
        <x:v>206</x:v>
      </x:c>
      <x:c r="E49" s="28" t="n">
        <x:f>INDEX('Assumptions'!$C$12:$N$12,1,MONTH(C49))</x:f>
        <x:v>0.03</x:v>
      </x:c>
      <x:c r="F49" s="27" t="n">
        <x:f>ROUND(D49*INDEX('Assumptions'!$C$8:$N$8,1,MONTH(C49))*(1-'Products'!E5*E49),0)</x:f>
        <x:v>202</x:v>
      </x:c>
      <x:c r="G49" s="27" t="n">
        <x:f>F49*SUMIFS('Inventory'!$L$5:$L$100,'Inventory'!$A$5:$A$100,A49,'Inventory'!$B$5:$B$100,C49)</x:f>
        <x:v>202</x:v>
      </x:c>
      <x:c r="H49" s="27" t="n">
        <x:f>'Assumptions'!E59*(1+E49)</x:f>
        <x:v>164.8</x:v>
      </x:c>
      <x:c r="I49" s="27" t="n">
        <x:f>G49*H49</x:f>
        <x:v>33289.600000000006</x:v>
      </x:c>
      <x:c r="J49" s="27" t="n">
        <x:f>'Products'!D5*INDEX('Assumptions'!$C$16:$N$16,1,MONTH(C49))</x:f>
        <x:v>96.9</x:v>
      </x:c>
      <x:c r="K49" s="27" t="n">
        <x:f>G49*J49</x:f>
        <x:v>19573.800000000003</x:v>
      </x:c>
      <x:c r="L49" s="27" t="n">
        <x:f>I49-K49</x:f>
        <x:v>13715.800000000003</x:v>
      </x:c>
    </x:row>
    <x:row r="50" ht="23" customHeight="1">
      <x:c r="A50" s="34" t="str">
        <x:v>0001</x:v>
      </x:c>
      <x:c r="B50" s="7" t="str">
        <x:v>North</x:v>
      </x:c>
      <x:c r="C50" s="14" t="d">
        <x:v>2026-10-01T00:00:00.000Z</x:v>
      </x:c>
      <x:c r="D50" s="27" t="n">
        <x:f>'Assumptions'!D60</x:f>
        <x:v>221</x:v>
      </x:c>
      <x:c r="E50" s="28" t="n">
        <x:f>INDEX('Assumptions'!$C$12:$N$12,1,MONTH(C50))</x:f>
        <x:v>0.03</x:v>
      </x:c>
      <x:c r="F50" s="27" t="n">
        <x:f>ROUND(D50*INDEX('Assumptions'!$C$8:$N$8,1,MONTH(C50))*(1-'Products'!E5*E50),0)</x:f>
        <x:v>217</x:v>
      </x:c>
      <x:c r="G50" s="27" t="n">
        <x:f>F50*SUMIFS('Inventory'!$L$5:$L$100,'Inventory'!$A$5:$A$100,A50,'Inventory'!$B$5:$B$100,C50)</x:f>
        <x:v>126.87829360100378</x:v>
      </x:c>
      <x:c r="H50" s="27" t="n">
        <x:f>'Assumptions'!E60*(1+E50)</x:f>
        <x:v>164.8</x:v>
      </x:c>
      <x:c r="I50" s="27" t="n">
        <x:f>G50*H50</x:f>
        <x:v>20909.542785445425</x:v>
      </x:c>
      <x:c r="J50" s="27" t="n">
        <x:f>'Products'!D5*INDEX('Assumptions'!$C$16:$N$16,1,MONTH(C50))</x:f>
        <x:v>96.9</x:v>
      </x:c>
      <x:c r="K50" s="27" t="n">
        <x:f>G50*J50</x:f>
        <x:v>12294.506649937266</x:v>
      </x:c>
      <x:c r="L50" s="27" t="n">
        <x:f>I50-K50</x:f>
        <x:v>8615.036135508159</x:v>
      </x:c>
    </x:row>
    <x:row r="51" ht="23" customHeight="1">
      <x:c r="A51" s="34" t="str">
        <x:v>0001</x:v>
      </x:c>
      <x:c r="B51" s="7" t="str">
        <x:v>North</x:v>
      </x:c>
      <x:c r="C51" s="14" t="d">
        <x:v>2026-11-01T00:00:00.000Z</x:v>
      </x:c>
      <x:c r="D51" s="27" t="n">
        <x:f>'Assumptions'!D61</x:f>
        <x:v>236</x:v>
      </x:c>
      <x:c r="E51" s="28" t="n">
        <x:f>INDEX('Assumptions'!$C$12:$N$12,1,MONTH(C51))</x:f>
        <x:v>0.03</x:v>
      </x:c>
      <x:c r="F51" s="27" t="n">
        <x:f>ROUND(D51*INDEX('Assumptions'!$C$8:$N$8,1,MONTH(C51))*(1-'Products'!E5*E51),0)</x:f>
        <x:v>232</x:v>
      </x:c>
      <x:c r="G51" s="27" t="n">
        <x:f>F51*SUMIFS('Inventory'!$L$5:$L$100,'Inventory'!$A$5:$A$100,A51,'Inventory'!$B$5:$B$100,C51)</x:f>
        <x:v>105.70093457943926</x:v>
      </x:c>
      <x:c r="H51" s="27" t="n">
        <x:f>'Assumptions'!E61*(1+E51)</x:f>
        <x:v>164.8</x:v>
      </x:c>
      <x:c r="I51" s="27" t="n">
        <x:f>G51*H51</x:f>
        <x:v>17419.514018691592</x:v>
      </x:c>
      <x:c r="J51" s="27" t="n">
        <x:f>'Products'!D5*INDEX('Assumptions'!$C$16:$N$16,1,MONTH(C51))</x:f>
        <x:v>96.9</x:v>
      </x:c>
      <x:c r="K51" s="27" t="n">
        <x:f>G51*J51</x:f>
        <x:v>10242.420560747665</x:v>
      </x:c>
      <x:c r="L51" s="27" t="n">
        <x:f>I51-K51</x:f>
        <x:v>7177.093457943927</x:v>
      </x:c>
    </x:row>
    <x:row r="52" ht="23" customHeight="1">
      <x:c r="A52" s="34" t="str">
        <x:v>0001</x:v>
      </x:c>
      <x:c r="B52" s="7" t="str">
        <x:v>North</x:v>
      </x:c>
      <x:c r="C52" s="14" t="d">
        <x:v>2026-12-01T00:00:00.000Z</x:v>
      </x:c>
      <x:c r="D52" s="27" t="n">
        <x:f>'Assumptions'!D62</x:f>
        <x:v>251</x:v>
      </x:c>
      <x:c r="E52" s="28" t="n">
        <x:f>INDEX('Assumptions'!$C$12:$N$12,1,MONTH(C52))</x:f>
        <x:v>0.03</x:v>
      </x:c>
      <x:c r="F52" s="27" t="n">
        <x:f>ROUND(D52*INDEX('Assumptions'!$C$8:$N$8,1,MONTH(C52))*(1-'Products'!E5*E52),0)</x:f>
        <x:v>246</x:v>
      </x:c>
      <x:c r="G52" s="27" t="n">
        <x:f>F52*SUMIFS('Inventory'!$L$5:$L$100,'Inventory'!$A$5:$A$100,A52,'Inventory'!$B$5:$B$100,C52)</x:f>
        <x:v>104.85245901639344</x:v>
      </x:c>
      <x:c r="H52" s="27" t="n">
        <x:f>'Assumptions'!E62*(1+E52)</x:f>
        <x:v>164.8</x:v>
      </x:c>
      <x:c r="I52" s="27" t="n">
        <x:f>G52*H52</x:f>
        <x:v>17279.68524590164</x:v>
      </x:c>
      <x:c r="J52" s="27" t="n">
        <x:f>'Products'!D5*INDEX('Assumptions'!$C$16:$N$16,1,MONTH(C52))</x:f>
        <x:v>96.9</x:v>
      </x:c>
      <x:c r="K52" s="27" t="n">
        <x:f>G52*J52</x:f>
        <x:v>10160.203278688525</x:v>
      </x:c>
      <x:c r="L52" s="27" t="n">
        <x:f>I52-K52</x:f>
        <x:v>7119.481967213116</x:v>
      </x:c>
    </x:row>
    <x:row r="53" ht="23" customHeight="1">
      <x:c r="A53" s="34" t="str">
        <x:v>0002</x:v>
      </x:c>
      <x:c r="B53" s="7" t="str">
        <x:v>Central</x:v>
      </x:c>
      <x:c r="C53" s="14" t="d">
        <x:v>2026-01-01T00:00:00.000Z</x:v>
      </x:c>
      <x:c r="D53" s="27" t="n">
        <x:f>SUMIFS('Orders'!$F$5:$F$3004,'Orders'!$D$5:$D$3004,A53,'Orders'!$E$5:$E$3004,B53,'Orders'!$C$5:$C$3004,C53)</x:f>
        <x:v>74</x:v>
      </x:c>
      <x:c r="E53" s="28" t="n">
        <x:f>0</x:f>
        <x:v>0</x:v>
      </x:c>
      <x:c r="F53" s="27" t="n">
        <x:f>D53</x:f>
        <x:v>74</x:v>
      </x:c>
      <x:c r="G53" s="27" t="n">
        <x:f>F53</x:f>
        <x:v>74</x:v>
      </x:c>
      <x:c r="H53" s="27" t="n">
        <x:f>IF(F53=0,0,I53/F53)</x:f>
        <x:v>176.4</x:v>
      </x:c>
      <x:c r="I53" s="27" t="n">
        <x:f>SUMIFS('Orders'!$I$5:$I$3004,'Orders'!$D$5:$D$3004,A53,'Orders'!$E$5:$E$3004,B53,'Orders'!$C$5:$C$3004,C53)</x:f>
        <x:v>13053.6</x:v>
      </x:c>
      <x:c r="J53" s="27" t="n">
        <x:f>'Products'!D6*INDEX('Assumptions'!$C$16:$N$16,1,MONTH(C53))</x:f>
        <x:v>108</x:v>
      </x:c>
      <x:c r="K53" s="27" t="n">
        <x:f>G53*J53</x:f>
        <x:v>7992</x:v>
      </x:c>
      <x:c r="L53" s="27" t="n">
        <x:f>I53-K53</x:f>
        <x:v>5061.6</x:v>
      </x:c>
    </x:row>
    <x:row r="54" ht="23" customHeight="1">
      <x:c r="A54" s="34" t="str">
        <x:v>0002</x:v>
      </x:c>
      <x:c r="B54" s="7" t="str">
        <x:v>Central</x:v>
      </x:c>
      <x:c r="C54" s="14" t="d">
        <x:v>2026-02-01T00:00:00.000Z</x:v>
      </x:c>
      <x:c r="D54" s="27" t="n">
        <x:f>SUMIFS('Orders'!$F$5:$F$3004,'Orders'!$D$5:$D$3004,A54,'Orders'!$E$5:$E$3004,B54,'Orders'!$C$5:$C$3004,C54)</x:f>
        <x:v>64</x:v>
      </x:c>
      <x:c r="E54" s="28" t="n">
        <x:f>0</x:f>
        <x:v>0</x:v>
      </x:c>
      <x:c r="F54" s="27" t="n">
        <x:f>D54</x:f>
        <x:v>64</x:v>
      </x:c>
      <x:c r="G54" s="27" t="n">
        <x:f>F54</x:f>
        <x:v>64</x:v>
      </x:c>
      <x:c r="H54" s="27" t="n">
        <x:f>IF(F54=0,0,I54/F54)</x:f>
        <x:v>180</x:v>
      </x:c>
      <x:c r="I54" s="27" t="n">
        <x:f>SUMIFS('Orders'!$I$5:$I$3004,'Orders'!$D$5:$D$3004,A54,'Orders'!$E$5:$E$3004,B54,'Orders'!$C$5:$C$3004,C54)</x:f>
        <x:v>11520</x:v>
      </x:c>
      <x:c r="J54" s="27" t="n">
        <x:f>'Products'!D6*INDEX('Assumptions'!$C$16:$N$16,1,MONTH(C54))</x:f>
        <x:v>108</x:v>
      </x:c>
      <x:c r="K54" s="27" t="n">
        <x:f>G54*J54</x:f>
        <x:v>6912</x:v>
      </x:c>
      <x:c r="L54" s="27" t="n">
        <x:f>I54-K54</x:f>
        <x:v>4608</x:v>
      </x:c>
    </x:row>
    <x:row r="55" ht="23" customHeight="1">
      <x:c r="A55" s="34" t="str">
        <x:v>0002</x:v>
      </x:c>
      <x:c r="B55" s="7" t="str">
        <x:v>Central</x:v>
      </x:c>
      <x:c r="C55" s="14" t="d">
        <x:v>2026-03-01T00:00:00.000Z</x:v>
      </x:c>
      <x:c r="D55" s="27" t="n">
        <x:f>SUMIFS('Orders'!$F$5:$F$3004,'Orders'!$D$5:$D$3004,A55,'Orders'!$E$5:$E$3004,B55,'Orders'!$C$5:$C$3004,C55)</x:f>
        <x:v>64</x:v>
      </x:c>
      <x:c r="E55" s="28" t="n">
        <x:f>0</x:f>
        <x:v>0</x:v>
      </x:c>
      <x:c r="F55" s="27" t="n">
        <x:f>D55</x:f>
        <x:v>64</x:v>
      </x:c>
      <x:c r="G55" s="27" t="n">
        <x:f>F55</x:f>
        <x:v>64</x:v>
      </x:c>
      <x:c r="H55" s="27" t="n">
        <x:f>IF(F55=0,0,I55/F55)</x:f>
        <x:v>171</x:v>
      </x:c>
      <x:c r="I55" s="27" t="n">
        <x:f>SUMIFS('Orders'!$I$5:$I$3004,'Orders'!$D$5:$D$3004,A55,'Orders'!$E$5:$E$3004,B55,'Orders'!$C$5:$C$3004,C55)</x:f>
        <x:v>10944</x:v>
      </x:c>
      <x:c r="J55" s="27" t="n">
        <x:f>'Products'!D6*INDEX('Assumptions'!$C$16:$N$16,1,MONTH(C55))</x:f>
        <x:v>108</x:v>
      </x:c>
      <x:c r="K55" s="27" t="n">
        <x:f>G55*J55</x:f>
        <x:v>6912</x:v>
      </x:c>
      <x:c r="L55" s="27" t="n">
        <x:f>I55-K55</x:f>
        <x:v>4032</x:v>
      </x:c>
    </x:row>
    <x:row r="56" ht="23" customHeight="1">
      <x:c r="A56" s="34" t="str">
        <x:v>0002</x:v>
      </x:c>
      <x:c r="B56" s="7" t="str">
        <x:v>Central</x:v>
      </x:c>
      <x:c r="C56" s="14" t="d">
        <x:v>2026-04-01T00:00:00.000Z</x:v>
      </x:c>
      <x:c r="D56" s="27" t="n">
        <x:f>SUMIFS('Orders'!$F$5:$F$3004,'Orders'!$D$5:$D$3004,A56,'Orders'!$E$5:$E$3004,B56,'Orders'!$C$5:$C$3004,C56)</x:f>
        <x:v>54</x:v>
      </x:c>
      <x:c r="E56" s="28" t="n">
        <x:f>0</x:f>
        <x:v>0</x:v>
      </x:c>
      <x:c r="F56" s="27" t="n">
        <x:f>D56</x:f>
        <x:v>54</x:v>
      </x:c>
      <x:c r="G56" s="27" t="n">
        <x:f>F56</x:f>
        <x:v>54</x:v>
      </x:c>
      <x:c r="H56" s="27" t="n">
        <x:f>IF(F56=0,0,I56/F56)</x:f>
        <x:v>176.39999999999998</x:v>
      </x:c>
      <x:c r="I56" s="27" t="n">
        <x:f>SUMIFS('Orders'!$I$5:$I$3004,'Orders'!$D$5:$D$3004,A56,'Orders'!$E$5:$E$3004,B56,'Orders'!$C$5:$C$3004,C56)</x:f>
        <x:v>9525.599999999999</x:v>
      </x:c>
      <x:c r="J56" s="27" t="n">
        <x:f>'Products'!D6*INDEX('Assumptions'!$C$16:$N$16,1,MONTH(C56))</x:f>
        <x:v>108</x:v>
      </x:c>
      <x:c r="K56" s="27" t="n">
        <x:f>G56*J56</x:f>
        <x:v>5832</x:v>
      </x:c>
      <x:c r="L56" s="27" t="n">
        <x:f>I56-K56</x:f>
        <x:v>3693.5999999999985</x:v>
      </x:c>
    </x:row>
    <x:row r="57" ht="23" customHeight="1">
      <x:c r="A57" s="34" t="str">
        <x:v>0002</x:v>
      </x:c>
      <x:c r="B57" s="7" t="str">
        <x:v>Central</x:v>
      </x:c>
      <x:c r="C57" s="14" t="d">
        <x:v>2026-05-01T00:00:00.000Z</x:v>
      </x:c>
      <x:c r="D57" s="27" t="n">
        <x:f>SUMIFS('Orders'!$F$5:$F$3004,'Orders'!$D$5:$D$3004,A57,'Orders'!$E$5:$E$3004,B57,'Orders'!$C$5:$C$3004,C57)</x:f>
        <x:v>70</x:v>
      </x:c>
      <x:c r="E57" s="28" t="n">
        <x:f>0</x:f>
        <x:v>0</x:v>
      </x:c>
      <x:c r="F57" s="27" t="n">
        <x:f>D57</x:f>
        <x:v>70</x:v>
      </x:c>
      <x:c r="G57" s="27" t="n">
        <x:f>F57</x:f>
        <x:v>70</x:v>
      </x:c>
      <x:c r="H57" s="27" t="n">
        <x:f>IF(F57=0,0,I57/F57)</x:f>
        <x:v>180</x:v>
      </x:c>
      <x:c r="I57" s="27" t="n">
        <x:f>SUMIFS('Orders'!$I$5:$I$3004,'Orders'!$D$5:$D$3004,A57,'Orders'!$E$5:$E$3004,B57,'Orders'!$C$5:$C$3004,C57)</x:f>
        <x:v>12600</x:v>
      </x:c>
      <x:c r="J57" s="27" t="n">
        <x:f>'Products'!D6*INDEX('Assumptions'!$C$16:$N$16,1,MONTH(C57))</x:f>
        <x:v>108</x:v>
      </x:c>
      <x:c r="K57" s="27" t="n">
        <x:f>G57*J57</x:f>
        <x:v>7560</x:v>
      </x:c>
      <x:c r="L57" s="27" t="n">
        <x:f>I57-K57</x:f>
        <x:v>5040</x:v>
      </x:c>
    </x:row>
    <x:row r="58" ht="23" customHeight="1">
      <x:c r="A58" s="34" t="str">
        <x:v>0002</x:v>
      </x:c>
      <x:c r="B58" s="7" t="str">
        <x:v>Central</x:v>
      </x:c>
      <x:c r="C58" s="14" t="d">
        <x:v>2026-06-01T00:00:00.000Z</x:v>
      </x:c>
      <x:c r="D58" s="27" t="n">
        <x:f>SUMIFS('Orders'!$F$5:$F$3004,'Orders'!$D$5:$D$3004,A58,'Orders'!$E$5:$E$3004,B58,'Orders'!$C$5:$C$3004,C58)</x:f>
        <x:v>45</x:v>
      </x:c>
      <x:c r="E58" s="28" t="n">
        <x:f>0</x:f>
        <x:v>0</x:v>
      </x:c>
      <x:c r="F58" s="27" t="n">
        <x:f>D58</x:f>
        <x:v>45</x:v>
      </x:c>
      <x:c r="G58" s="27" t="n">
        <x:f>F58</x:f>
        <x:v>45</x:v>
      </x:c>
      <x:c r="H58" s="27" t="n">
        <x:f>IF(F58=0,0,I58/F58)</x:f>
        <x:v>171</x:v>
      </x:c>
      <x:c r="I58" s="27" t="n">
        <x:f>SUMIFS('Orders'!$I$5:$I$3004,'Orders'!$D$5:$D$3004,A58,'Orders'!$E$5:$E$3004,B58,'Orders'!$C$5:$C$3004,C58)</x:f>
        <x:v>7695</x:v>
      </x:c>
      <x:c r="J58" s="27" t="n">
        <x:f>'Products'!D6*INDEX('Assumptions'!$C$16:$N$16,1,MONTH(C58))</x:f>
        <x:v>108</x:v>
      </x:c>
      <x:c r="K58" s="27" t="n">
        <x:f>G58*J58</x:f>
        <x:v>4860</x:v>
      </x:c>
      <x:c r="L58" s="27" t="n">
        <x:f>I58-K58</x:f>
        <x:v>2835</x:v>
      </x:c>
    </x:row>
    <x:row r="59" ht="23" customHeight="1">
      <x:c r="A59" s="34" t="str">
        <x:v>0002</x:v>
      </x:c>
      <x:c r="B59" s="7" t="str">
        <x:v>Central</x:v>
      </x:c>
      <x:c r="C59" s="14" t="d">
        <x:v>2026-07-01T00:00:00.000Z</x:v>
      </x:c>
      <x:c r="D59" s="27" t="n">
        <x:f>'Assumptions'!D63</x:f>
        <x:v>149</x:v>
      </x:c>
      <x:c r="E59" s="28" t="n">
        <x:f>INDEX('Assumptions'!$C$12:$N$12,1,MONTH(C59))</x:f>
        <x:v>0.03</x:v>
      </x:c>
      <x:c r="F59" s="27" t="n">
        <x:f>ROUND(D59*INDEX('Assumptions'!$C$8:$N$8,1,MONTH(C59))*(1-'Products'!E6*E59),0)</x:f>
        <x:v>146</x:v>
      </x:c>
      <x:c r="G59" s="27" t="n">
        <x:f>F59*SUMIFS('Inventory'!$L$5:$L$100,'Inventory'!$A$5:$A$100,A59,'Inventory'!$B$5:$B$100,C59)</x:f>
        <x:v>146</x:v>
      </x:c>
      <x:c r="H59" s="27" t="n">
        <x:f>'Assumptions'!E63*(1+E59)</x:f>
        <x:v>185.4</x:v>
      </x:c>
      <x:c r="I59" s="27" t="n">
        <x:f>G59*H59</x:f>
        <x:v>27068.4</x:v>
      </x:c>
      <x:c r="J59" s="27" t="n">
        <x:f>'Products'!D6*INDEX('Assumptions'!$C$16:$N$16,1,MONTH(C59))</x:f>
        <x:v>110.16</x:v>
      </x:c>
      <x:c r="K59" s="27" t="n">
        <x:f>G59*J59</x:f>
        <x:v>16083.359999999999</x:v>
      </x:c>
      <x:c r="L59" s="27" t="n">
        <x:f>I59-K59</x:f>
        <x:v>10985.040000000003</x:v>
      </x:c>
    </x:row>
    <x:row r="60" ht="23" customHeight="1">
      <x:c r="A60" s="34" t="str">
        <x:v>0002</x:v>
      </x:c>
      <x:c r="B60" s="7" t="str">
        <x:v>Central</x:v>
      </x:c>
      <x:c r="C60" s="14" t="d">
        <x:v>2026-08-01T00:00:00.000Z</x:v>
      </x:c>
      <x:c r="D60" s="27" t="n">
        <x:f>'Assumptions'!D64</x:f>
        <x:v>164</x:v>
      </x:c>
      <x:c r="E60" s="28" t="n">
        <x:f>INDEX('Assumptions'!$C$12:$N$12,1,MONTH(C60))</x:f>
        <x:v>0.03</x:v>
      </x:c>
      <x:c r="F60" s="27" t="n">
        <x:f>ROUND(D60*INDEX('Assumptions'!$C$8:$N$8,1,MONTH(C60))*(1-'Products'!E6*E60),0)</x:f>
        <x:v>161</x:v>
      </x:c>
      <x:c r="G60" s="27" t="n">
        <x:f>F60*SUMIFS('Inventory'!$L$5:$L$100,'Inventory'!$A$5:$A$100,A60,'Inventory'!$B$5:$B$100,C60)</x:f>
        <x:v>161</x:v>
      </x:c>
      <x:c r="H60" s="27" t="n">
        <x:f>'Assumptions'!E64*(1+E60)</x:f>
        <x:v>185.4</x:v>
      </x:c>
      <x:c r="I60" s="27" t="n">
        <x:f>G60*H60</x:f>
        <x:v>29849.4</x:v>
      </x:c>
      <x:c r="J60" s="27" t="n">
        <x:f>'Products'!D6*INDEX('Assumptions'!$C$16:$N$16,1,MONTH(C60))</x:f>
        <x:v>110.16</x:v>
      </x:c>
      <x:c r="K60" s="27" t="n">
        <x:f>G60*J60</x:f>
        <x:v>17735.76</x:v>
      </x:c>
      <x:c r="L60" s="27" t="n">
        <x:f>I60-K60</x:f>
        <x:v>12113.640000000003</x:v>
      </x:c>
    </x:row>
    <x:row r="61" ht="23" customHeight="1">
      <x:c r="A61" s="34" t="str">
        <x:v>0002</x:v>
      </x:c>
      <x:c r="B61" s="7" t="str">
        <x:v>Central</x:v>
      </x:c>
      <x:c r="C61" s="14" t="d">
        <x:v>2026-09-01T00:00:00.000Z</x:v>
      </x:c>
      <x:c r="D61" s="27" t="n">
        <x:f>'Assumptions'!D65</x:f>
        <x:v>179</x:v>
      </x:c>
      <x:c r="E61" s="28" t="n">
        <x:f>INDEX('Assumptions'!$C$12:$N$12,1,MONTH(C61))</x:f>
        <x:v>0.03</x:v>
      </x:c>
      <x:c r="F61" s="27" t="n">
        <x:f>ROUND(D61*INDEX('Assumptions'!$C$8:$N$8,1,MONTH(C61))*(1-'Products'!E6*E61),0)</x:f>
        <x:v>175</x:v>
      </x:c>
      <x:c r="G61" s="27" t="n">
        <x:f>F61*SUMIFS('Inventory'!$L$5:$L$100,'Inventory'!$A$5:$A$100,A61,'Inventory'!$B$5:$B$100,C61)</x:f>
        <x:v>175</x:v>
      </x:c>
      <x:c r="H61" s="27" t="n">
        <x:f>'Assumptions'!E65*(1+E61)</x:f>
        <x:v>185.4</x:v>
      </x:c>
      <x:c r="I61" s="27" t="n">
        <x:f>G61*H61</x:f>
        <x:v>32445</x:v>
      </x:c>
      <x:c r="J61" s="27" t="n">
        <x:f>'Products'!D6*INDEX('Assumptions'!$C$16:$N$16,1,MONTH(C61))</x:f>
        <x:v>110.16</x:v>
      </x:c>
      <x:c r="K61" s="27" t="n">
        <x:f>G61*J61</x:f>
        <x:v>19278</x:v>
      </x:c>
      <x:c r="L61" s="27" t="n">
        <x:f>I61-K61</x:f>
        <x:v>13167</x:v>
      </x:c>
    </x:row>
    <x:row r="62" ht="23" customHeight="1">
      <x:c r="A62" s="34" t="str">
        <x:v>0002</x:v>
      </x:c>
      <x:c r="B62" s="7" t="str">
        <x:v>Central</x:v>
      </x:c>
      <x:c r="C62" s="14" t="d">
        <x:v>2026-10-01T00:00:00.000Z</x:v>
      </x:c>
      <x:c r="D62" s="27" t="n">
        <x:f>'Assumptions'!D66</x:f>
        <x:v>194</x:v>
      </x:c>
      <x:c r="E62" s="28" t="n">
        <x:f>INDEX('Assumptions'!$C$12:$N$12,1,MONTH(C62))</x:f>
        <x:v>0.03</x:v>
      </x:c>
      <x:c r="F62" s="27" t="n">
        <x:f>ROUND(D62*INDEX('Assumptions'!$C$8:$N$8,1,MONTH(C62))*(1-'Products'!E6*E62),0)</x:f>
        <x:v>190</x:v>
      </x:c>
      <x:c r="G62" s="27" t="n">
        <x:f>F62*SUMIFS('Inventory'!$L$5:$L$100,'Inventory'!$A$5:$A$100,A62,'Inventory'!$B$5:$B$100,C62)</x:f>
        <x:v>109.51865222623346</x:v>
      </x:c>
      <x:c r="H62" s="27" t="n">
        <x:f>'Assumptions'!E66*(1+E62)</x:f>
        <x:v>185.4</x:v>
      </x:c>
      <x:c r="I62" s="27" t="n">
        <x:f>G62*H62</x:f>
        <x:v>20304.758122743682</x:v>
      </x:c>
      <x:c r="J62" s="27" t="n">
        <x:f>'Products'!D6*INDEX('Assumptions'!$C$16:$N$16,1,MONTH(C62))</x:f>
        <x:v>110.16</x:v>
      </x:c>
      <x:c r="K62" s="27" t="n">
        <x:f>G62*J62</x:f>
        <x:v>12064.574729241876</x:v>
      </x:c>
      <x:c r="L62" s="27" t="n">
        <x:f>I62-K62</x:f>
        <x:v>8240.183393501806</x:v>
      </x:c>
    </x:row>
    <x:row r="63" ht="23" customHeight="1">
      <x:c r="A63" s="34" t="str">
        <x:v>0002</x:v>
      </x:c>
      <x:c r="B63" s="7" t="str">
        <x:v>Central</x:v>
      </x:c>
      <x:c r="C63" s="14" t="d">
        <x:v>2026-11-01T00:00:00.000Z</x:v>
      </x:c>
      <x:c r="D63" s="27" t="n">
        <x:f>'Assumptions'!D67</x:f>
        <x:v>209</x:v>
      </x:c>
      <x:c r="E63" s="28" t="n">
        <x:f>INDEX('Assumptions'!$C$12:$N$12,1,MONTH(C63))</x:f>
        <x:v>0.03</x:v>
      </x:c>
      <x:c r="F63" s="27" t="n">
        <x:f>ROUND(D63*INDEX('Assumptions'!$C$8:$N$8,1,MONTH(C63))*(1-'Products'!E6*E63),0)</x:f>
        <x:v>205</x:v>
      </x:c>
      <x:c r="G63" s="27" t="n">
        <x:f>F63*SUMIFS('Inventory'!$L$5:$L$100,'Inventory'!$A$5:$A$100,A63,'Inventory'!$B$5:$B$100,C63)</x:f>
        <x:v>93.97752808988764</x:v>
      </x:c>
      <x:c r="H63" s="27" t="n">
        <x:f>'Assumptions'!E67*(1+E63)</x:f>
        <x:v>185.4</x:v>
      </x:c>
      <x:c r="I63" s="27" t="n">
        <x:f>G63*H63</x:f>
        <x:v>17423.43370786517</x:v>
      </x:c>
      <x:c r="J63" s="27" t="n">
        <x:f>'Products'!D6*INDEX('Assumptions'!$C$16:$N$16,1,MONTH(C63))</x:f>
        <x:v>110.16</x:v>
      </x:c>
      <x:c r="K63" s="27" t="n">
        <x:f>G63*J63</x:f>
        <x:v>10352.564494382023</x:v>
      </x:c>
      <x:c r="L63" s="27" t="n">
        <x:f>I63-K63</x:f>
        <x:v>7070.869213483147</x:v>
      </x:c>
    </x:row>
    <x:row r="64" ht="23" customHeight="1">
      <x:c r="A64" s="34" t="str">
        <x:v>0002</x:v>
      </x:c>
      <x:c r="B64" s="7" t="str">
        <x:v>Central</x:v>
      </x:c>
      <x:c r="C64" s="14" t="d">
        <x:v>2026-12-01T00:00:00.000Z</x:v>
      </x:c>
      <x:c r="D64" s="27" t="n">
        <x:f>'Assumptions'!D68</x:f>
        <x:v>224</x:v>
      </x:c>
      <x:c r="E64" s="28" t="n">
        <x:f>INDEX('Assumptions'!$C$12:$N$12,1,MONTH(C64))</x:f>
        <x:v>0.03</x:v>
      </x:c>
      <x:c r="F64" s="27" t="n">
        <x:f>ROUND(D64*INDEX('Assumptions'!$C$8:$N$8,1,MONTH(C64))*(1-'Products'!E6*E64),0)</x:f>
        <x:v>219</x:v>
      </x:c>
      <x:c r="G64" s="27" t="n">
        <x:f>F64*SUMIFS('Inventory'!$L$5:$L$100,'Inventory'!$A$5:$A$100,A64,'Inventory'!$B$5:$B$100,C64)</x:f>
        <x:v>94.25316455696203</x:v>
      </x:c>
      <x:c r="H64" s="27" t="n">
        <x:f>'Assumptions'!E68*(1+E64)</x:f>
        <x:v>185.4</x:v>
      </x:c>
      <x:c r="I64" s="27" t="n">
        <x:f>G64*H64</x:f>
        <x:v>17474.53670886076</x:v>
      </x:c>
      <x:c r="J64" s="27" t="n">
        <x:f>'Products'!D6*INDEX('Assumptions'!$C$16:$N$16,1,MONTH(C64))</x:f>
        <x:v>110.16</x:v>
      </x:c>
      <x:c r="K64" s="27" t="n">
        <x:f>G64*J64</x:f>
        <x:v>10382.928607594937</x:v>
      </x:c>
      <x:c r="L64" s="27" t="n">
        <x:f>I64-K64</x:f>
        <x:v>7091.608101265823</x:v>
      </x:c>
    </x:row>
    <x:row r="65" ht="23" customHeight="1">
      <x:c r="A65" s="34" t="str">
        <x:v>0002</x:v>
      </x:c>
      <x:c r="B65" s="7" t="str">
        <x:v>East</x:v>
      </x:c>
      <x:c r="C65" s="14" t="d">
        <x:v>2026-01-01T00:00:00.000Z</x:v>
      </x:c>
      <x:c r="D65" s="27" t="n">
        <x:f>SUMIFS('Orders'!$F$5:$F$3004,'Orders'!$D$5:$D$3004,A65,'Orders'!$E$5:$E$3004,B65,'Orders'!$C$5:$C$3004,C65)</x:f>
        <x:v>64</x:v>
      </x:c>
      <x:c r="E65" s="28" t="n">
        <x:f>0</x:f>
        <x:v>0</x:v>
      </x:c>
      <x:c r="F65" s="27" t="n">
        <x:f>D65</x:f>
        <x:v>64</x:v>
      </x:c>
      <x:c r="G65" s="27" t="n">
        <x:f>F65</x:f>
        <x:v>64</x:v>
      </x:c>
      <x:c r="H65" s="27" t="n">
        <x:f>IF(F65=0,0,I65/F65)</x:f>
        <x:v>180</x:v>
      </x:c>
      <x:c r="I65" s="27" t="n">
        <x:f>SUMIFS('Orders'!$I$5:$I$3004,'Orders'!$D$5:$D$3004,A65,'Orders'!$E$5:$E$3004,B65,'Orders'!$C$5:$C$3004,C65)</x:f>
        <x:v>11520</x:v>
      </x:c>
      <x:c r="J65" s="27" t="n">
        <x:f>'Products'!D6*INDEX('Assumptions'!$C$16:$N$16,1,MONTH(C65))</x:f>
        <x:v>108</x:v>
      </x:c>
      <x:c r="K65" s="27" t="n">
        <x:f>G65*J65</x:f>
        <x:v>6912</x:v>
      </x:c>
      <x:c r="L65" s="27" t="n">
        <x:f>I65-K65</x:f>
        <x:v>4608</x:v>
      </x:c>
    </x:row>
    <x:row r="66" ht="23" customHeight="1">
      <x:c r="A66" s="34" t="str">
        <x:v>0002</x:v>
      </x:c>
      <x:c r="B66" s="7" t="str">
        <x:v>East</x:v>
      </x:c>
      <x:c r="C66" s="14" t="d">
        <x:v>2026-02-01T00:00:00.000Z</x:v>
      </x:c>
      <x:c r="D66" s="27" t="n">
        <x:f>SUMIFS('Orders'!$F$5:$F$3004,'Orders'!$D$5:$D$3004,A66,'Orders'!$E$5:$E$3004,B66,'Orders'!$C$5:$C$3004,C66)</x:f>
        <x:v>54</x:v>
      </x:c>
      <x:c r="E66" s="28" t="n">
        <x:f>0</x:f>
        <x:v>0</x:v>
      </x:c>
      <x:c r="F66" s="27" t="n">
        <x:f>D66</x:f>
        <x:v>54</x:v>
      </x:c>
      <x:c r="G66" s="27" t="n">
        <x:f>F66</x:f>
        <x:v>54</x:v>
      </x:c>
      <x:c r="H66" s="27" t="n">
        <x:f>IF(F66=0,0,I66/F66)</x:f>
        <x:v>171</x:v>
      </x:c>
      <x:c r="I66" s="27" t="n">
        <x:f>SUMIFS('Orders'!$I$5:$I$3004,'Orders'!$D$5:$D$3004,A66,'Orders'!$E$5:$E$3004,B66,'Orders'!$C$5:$C$3004,C66)</x:f>
        <x:v>9234</x:v>
      </x:c>
      <x:c r="J66" s="27" t="n">
        <x:f>'Products'!D6*INDEX('Assumptions'!$C$16:$N$16,1,MONTH(C66))</x:f>
        <x:v>108</x:v>
      </x:c>
      <x:c r="K66" s="27" t="n">
        <x:f>G66*J66</x:f>
        <x:v>5832</x:v>
      </x:c>
      <x:c r="L66" s="27" t="n">
        <x:f>I66-K66</x:f>
        <x:v>3402</x:v>
      </x:c>
    </x:row>
    <x:row r="67" ht="23" customHeight="1">
      <x:c r="A67" s="34" t="str">
        <x:v>0002</x:v>
      </x:c>
      <x:c r="B67" s="7" t="str">
        <x:v>East</x:v>
      </x:c>
      <x:c r="C67" s="14" t="d">
        <x:v>2026-03-01T00:00:00.000Z</x:v>
      </x:c>
      <x:c r="D67" s="27" t="n">
        <x:f>SUMIFS('Orders'!$F$5:$F$3004,'Orders'!$D$5:$D$3004,A67,'Orders'!$E$5:$E$3004,B67,'Orders'!$C$5:$C$3004,C67)</x:f>
        <x:v>71</x:v>
      </x:c>
      <x:c r="E67" s="28" t="n">
        <x:f>0</x:f>
        <x:v>0</x:v>
      </x:c>
      <x:c r="F67" s="27" t="n">
        <x:f>D67</x:f>
        <x:v>71</x:v>
      </x:c>
      <x:c r="G67" s="27" t="n">
        <x:f>F67</x:f>
        <x:v>71</x:v>
      </x:c>
      <x:c r="H67" s="27" t="n">
        <x:f>IF(F67=0,0,I67/F67)</x:f>
        <x:v>176.39999999999998</x:v>
      </x:c>
      <x:c r="I67" s="27" t="n">
        <x:f>SUMIFS('Orders'!$I$5:$I$3004,'Orders'!$D$5:$D$3004,A67,'Orders'!$E$5:$E$3004,B67,'Orders'!$C$5:$C$3004,C67)</x:f>
        <x:v>12524.399999999998</x:v>
      </x:c>
      <x:c r="J67" s="27" t="n">
        <x:f>'Products'!D6*INDEX('Assumptions'!$C$16:$N$16,1,MONTH(C67))</x:f>
        <x:v>108</x:v>
      </x:c>
      <x:c r="K67" s="27" t="n">
        <x:f>G67*J67</x:f>
        <x:v>7668</x:v>
      </x:c>
      <x:c r="L67" s="27" t="n">
        <x:f>I67-K67</x:f>
        <x:v>4856.399999999998</x:v>
      </x:c>
    </x:row>
    <x:row r="68" ht="23" customHeight="1">
      <x:c r="A68" s="34" t="str">
        <x:v>0002</x:v>
      </x:c>
      <x:c r="B68" s="7" t="str">
        <x:v>East</x:v>
      </x:c>
      <x:c r="C68" s="14" t="d">
        <x:v>2026-04-01T00:00:00.000Z</x:v>
      </x:c>
      <x:c r="D68" s="27" t="n">
        <x:f>SUMIFS('Orders'!$F$5:$F$3004,'Orders'!$D$5:$D$3004,A68,'Orders'!$E$5:$E$3004,B68,'Orders'!$C$5:$C$3004,C68)</x:f>
        <x:v>69</x:v>
      </x:c>
      <x:c r="E68" s="28" t="n">
        <x:f>0</x:f>
        <x:v>0</x:v>
      </x:c>
      <x:c r="F68" s="27" t="n">
        <x:f>D68</x:f>
        <x:v>69</x:v>
      </x:c>
      <x:c r="G68" s="27" t="n">
        <x:f>F68</x:f>
        <x:v>69</x:v>
      </x:c>
      <x:c r="H68" s="27" t="n">
        <x:f>IF(F68=0,0,I68/F68)</x:f>
        <x:v>180</x:v>
      </x:c>
      <x:c r="I68" s="27" t="n">
        <x:f>SUMIFS('Orders'!$I$5:$I$3004,'Orders'!$D$5:$D$3004,A68,'Orders'!$E$5:$E$3004,B68,'Orders'!$C$5:$C$3004,C68)</x:f>
        <x:v>12420</x:v>
      </x:c>
      <x:c r="J68" s="27" t="n">
        <x:f>'Products'!D6*INDEX('Assumptions'!$C$16:$N$16,1,MONTH(C68))</x:f>
        <x:v>108</x:v>
      </x:c>
      <x:c r="K68" s="27" t="n">
        <x:f>G68*J68</x:f>
        <x:v>7452</x:v>
      </x:c>
      <x:c r="L68" s="27" t="n">
        <x:f>I68-K68</x:f>
        <x:v>4968</x:v>
      </x:c>
    </x:row>
    <x:row r="69" ht="23" customHeight="1">
      <x:c r="A69" s="34" t="str">
        <x:v>0002</x:v>
      </x:c>
      <x:c r="B69" s="7" t="str">
        <x:v>East</x:v>
      </x:c>
      <x:c r="C69" s="14" t="d">
        <x:v>2026-05-01T00:00:00.000Z</x:v>
      </x:c>
      <x:c r="D69" s="27" t="n">
        <x:f>SUMIFS('Orders'!$F$5:$F$3004,'Orders'!$D$5:$D$3004,A69,'Orders'!$E$5:$E$3004,B69,'Orders'!$C$5:$C$3004,C69)</x:f>
        <x:v>69</x:v>
      </x:c>
      <x:c r="E69" s="28" t="n">
        <x:f>0</x:f>
        <x:v>0</x:v>
      </x:c>
      <x:c r="F69" s="27" t="n">
        <x:f>D69</x:f>
        <x:v>69</x:v>
      </x:c>
      <x:c r="G69" s="27" t="n">
        <x:f>F69</x:f>
        <x:v>69</x:v>
      </x:c>
      <x:c r="H69" s="27" t="n">
        <x:f>IF(F69=0,0,I69/F69)</x:f>
        <x:v>171</x:v>
      </x:c>
      <x:c r="I69" s="27" t="n">
        <x:f>SUMIFS('Orders'!$I$5:$I$3004,'Orders'!$D$5:$D$3004,A69,'Orders'!$E$5:$E$3004,B69,'Orders'!$C$5:$C$3004,C69)</x:f>
        <x:v>11799</x:v>
      </x:c>
      <x:c r="J69" s="27" t="n">
        <x:f>'Products'!D6*INDEX('Assumptions'!$C$16:$N$16,1,MONTH(C69))</x:f>
        <x:v>108</x:v>
      </x:c>
      <x:c r="K69" s="27" t="n">
        <x:f>G69*J69</x:f>
        <x:v>7452</x:v>
      </x:c>
      <x:c r="L69" s="27" t="n">
        <x:f>I69-K69</x:f>
        <x:v>4347</x:v>
      </x:c>
    </x:row>
    <x:row r="70" ht="23" customHeight="1">
      <x:c r="A70" s="34" t="str">
        <x:v>0002</x:v>
      </x:c>
      <x:c r="B70" s="7" t="str">
        <x:v>East</x:v>
      </x:c>
      <x:c r="C70" s="14" t="d">
        <x:v>2026-06-01T00:00:00.000Z</x:v>
      </x:c>
      <x:c r="D70" s="27" t="n">
        <x:f>SUMIFS('Orders'!$F$5:$F$3004,'Orders'!$D$5:$D$3004,A70,'Orders'!$E$5:$E$3004,B70,'Orders'!$C$5:$C$3004,C70)</x:f>
        <x:v>68</x:v>
      </x:c>
      <x:c r="E70" s="28" t="n">
        <x:f>0</x:f>
        <x:v>0</x:v>
      </x:c>
      <x:c r="F70" s="27" t="n">
        <x:f>D70</x:f>
        <x:v>68</x:v>
      </x:c>
      <x:c r="G70" s="27" t="n">
        <x:f>F70</x:f>
        <x:v>68</x:v>
      </x:c>
      <x:c r="H70" s="27" t="n">
        <x:f>IF(F70=0,0,I70/F70)</x:f>
        <x:v>176.39999999999998</x:v>
      </x:c>
      <x:c r="I70" s="27" t="n">
        <x:f>SUMIFS('Orders'!$I$5:$I$3004,'Orders'!$D$5:$D$3004,A70,'Orders'!$E$5:$E$3004,B70,'Orders'!$C$5:$C$3004,C70)</x:f>
        <x:v>11995.199999999999</x:v>
      </x:c>
      <x:c r="J70" s="27" t="n">
        <x:f>'Products'!D6*INDEX('Assumptions'!$C$16:$N$16,1,MONTH(C70))</x:f>
        <x:v>108</x:v>
      </x:c>
      <x:c r="K70" s="27" t="n">
        <x:f>G70*J70</x:f>
        <x:v>7344</x:v>
      </x:c>
      <x:c r="L70" s="27" t="n">
        <x:f>I70-K70</x:f>
        <x:v>4651.199999999999</x:v>
      </x:c>
    </x:row>
    <x:row r="71" ht="23" customHeight="1">
      <x:c r="A71" s="34" t="str">
        <x:v>0002</x:v>
      </x:c>
      <x:c r="B71" s="7" t="str">
        <x:v>East</x:v>
      </x:c>
      <x:c r="C71" s="14" t="d">
        <x:v>2026-07-01T00:00:00.000Z</x:v>
      </x:c>
      <x:c r="D71" s="27" t="n">
        <x:f>'Assumptions'!D69</x:f>
        <x:v>161</x:v>
      </x:c>
      <x:c r="E71" s="28" t="n">
        <x:f>INDEX('Assumptions'!$C$12:$N$12,1,MONTH(C71))</x:f>
        <x:v>0.03</x:v>
      </x:c>
      <x:c r="F71" s="27" t="n">
        <x:f>ROUND(D71*INDEX('Assumptions'!$C$8:$N$8,1,MONTH(C71))*(1-'Products'!E6*E71),0)</x:f>
        <x:v>158</x:v>
      </x:c>
      <x:c r="G71" s="27" t="n">
        <x:f>F71*SUMIFS('Inventory'!$L$5:$L$100,'Inventory'!$A$5:$A$100,A71,'Inventory'!$B$5:$B$100,C71)</x:f>
        <x:v>158</x:v>
      </x:c>
      <x:c r="H71" s="27" t="n">
        <x:f>'Assumptions'!E69*(1+E71)</x:f>
        <x:v>185.4</x:v>
      </x:c>
      <x:c r="I71" s="27" t="n">
        <x:f>G71*H71</x:f>
        <x:v>29293.2</x:v>
      </x:c>
      <x:c r="J71" s="27" t="n">
        <x:f>'Products'!D6*INDEX('Assumptions'!$C$16:$N$16,1,MONTH(C71))</x:f>
        <x:v>110.16</x:v>
      </x:c>
      <x:c r="K71" s="27" t="n">
        <x:f>G71*J71</x:f>
        <x:v>17405.28</x:v>
      </x:c>
      <x:c r="L71" s="27" t="n">
        <x:f>I71-K71</x:f>
        <x:v>11887.920000000002</x:v>
      </x:c>
    </x:row>
    <x:row r="72" ht="23" customHeight="1">
      <x:c r="A72" s="34" t="str">
        <x:v>0002</x:v>
      </x:c>
      <x:c r="B72" s="7" t="str">
        <x:v>East</x:v>
      </x:c>
      <x:c r="C72" s="14" t="d">
        <x:v>2026-08-01T00:00:00.000Z</x:v>
      </x:c>
      <x:c r="D72" s="27" t="n">
        <x:f>'Assumptions'!D70</x:f>
        <x:v>176</x:v>
      </x:c>
      <x:c r="E72" s="28" t="n">
        <x:f>INDEX('Assumptions'!$C$12:$N$12,1,MONTH(C72))</x:f>
        <x:v>0.03</x:v>
      </x:c>
      <x:c r="F72" s="27" t="n">
        <x:f>ROUND(D72*INDEX('Assumptions'!$C$8:$N$8,1,MONTH(C72))*(1-'Products'!E6*E72),0)</x:f>
        <x:v>172</x:v>
      </x:c>
      <x:c r="G72" s="27" t="n">
        <x:f>F72*SUMIFS('Inventory'!$L$5:$L$100,'Inventory'!$A$5:$A$100,A72,'Inventory'!$B$5:$B$100,C72)</x:f>
        <x:v>172</x:v>
      </x:c>
      <x:c r="H72" s="27" t="n">
        <x:f>'Assumptions'!E70*(1+E72)</x:f>
        <x:v>185.4</x:v>
      </x:c>
      <x:c r="I72" s="27" t="n">
        <x:f>G72*H72</x:f>
        <x:v>31888.8</x:v>
      </x:c>
      <x:c r="J72" s="27" t="n">
        <x:f>'Products'!D6*INDEX('Assumptions'!$C$16:$N$16,1,MONTH(C72))</x:f>
        <x:v>110.16</x:v>
      </x:c>
      <x:c r="K72" s="27" t="n">
        <x:f>G72*J72</x:f>
        <x:v>18947.52</x:v>
      </x:c>
      <x:c r="L72" s="27" t="n">
        <x:f>I72-K72</x:f>
        <x:v>12941.279999999999</x:v>
      </x:c>
    </x:row>
    <x:row r="73" ht="23" customHeight="1">
      <x:c r="A73" s="34" t="str">
        <x:v>0002</x:v>
      </x:c>
      <x:c r="B73" s="7" t="str">
        <x:v>East</x:v>
      </x:c>
      <x:c r="C73" s="14" t="d">
        <x:v>2026-09-01T00:00:00.000Z</x:v>
      </x:c>
      <x:c r="D73" s="27" t="n">
        <x:f>'Assumptions'!D71</x:f>
        <x:v>191</x:v>
      </x:c>
      <x:c r="E73" s="28" t="n">
        <x:f>INDEX('Assumptions'!$C$12:$N$12,1,MONTH(C73))</x:f>
        <x:v>0.03</x:v>
      </x:c>
      <x:c r="F73" s="27" t="n">
        <x:f>ROUND(D73*INDEX('Assumptions'!$C$8:$N$8,1,MONTH(C73))*(1-'Products'!E6*E73),0)</x:f>
        <x:v>187</x:v>
      </x:c>
      <x:c r="G73" s="27" t="n">
        <x:f>F73*SUMIFS('Inventory'!$L$5:$L$100,'Inventory'!$A$5:$A$100,A73,'Inventory'!$B$5:$B$100,C73)</x:f>
        <x:v>187</x:v>
      </x:c>
      <x:c r="H73" s="27" t="n">
        <x:f>'Assumptions'!E71*(1+E73)</x:f>
        <x:v>185.4</x:v>
      </x:c>
      <x:c r="I73" s="27" t="n">
        <x:f>G73*H73</x:f>
        <x:v>34669.8</x:v>
      </x:c>
      <x:c r="J73" s="27" t="n">
        <x:f>'Products'!D6*INDEX('Assumptions'!$C$16:$N$16,1,MONTH(C73))</x:f>
        <x:v>110.16</x:v>
      </x:c>
      <x:c r="K73" s="27" t="n">
        <x:f>G73*J73</x:f>
        <x:v>20599.92</x:v>
      </x:c>
      <x:c r="L73" s="27" t="n">
        <x:f>I73-K73</x:f>
        <x:v>14069.880000000005</x:v>
      </x:c>
    </x:row>
    <x:row r="74" ht="23" customHeight="1">
      <x:c r="A74" s="34" t="str">
        <x:v>0002</x:v>
      </x:c>
      <x:c r="B74" s="7" t="str">
        <x:v>East</x:v>
      </x:c>
      <x:c r="C74" s="14" t="d">
        <x:v>2026-10-01T00:00:00.000Z</x:v>
      </x:c>
      <x:c r="D74" s="27" t="n">
        <x:f>'Assumptions'!D72</x:f>
        <x:v>206</x:v>
      </x:c>
      <x:c r="E74" s="28" t="n">
        <x:f>INDEX('Assumptions'!$C$12:$N$12,1,MONTH(C74))</x:f>
        <x:v>0.03</x:v>
      </x:c>
      <x:c r="F74" s="27" t="n">
        <x:f>ROUND(D74*INDEX('Assumptions'!$C$8:$N$8,1,MONTH(C74))*(1-'Products'!E6*E74),0)</x:f>
        <x:v>202</x:v>
      </x:c>
      <x:c r="G74" s="27" t="n">
        <x:f>F74*SUMIFS('Inventory'!$L$5:$L$100,'Inventory'!$A$5:$A$100,A74,'Inventory'!$B$5:$B$100,C74)</x:f>
        <x:v>116.43561973525873</x:v>
      </x:c>
      <x:c r="H74" s="27" t="n">
        <x:f>'Assumptions'!E72*(1+E74)</x:f>
        <x:v>185.4</x:v>
      </x:c>
      <x:c r="I74" s="27" t="n">
        <x:f>G74*H74</x:f>
        <x:v>21587.16389891697</x:v>
      </x:c>
      <x:c r="J74" s="27" t="n">
        <x:f>'Products'!D6*INDEX('Assumptions'!$C$16:$N$16,1,MONTH(C74))</x:f>
        <x:v>110.16</x:v>
      </x:c>
      <x:c r="K74" s="27" t="n">
        <x:f>G74*J74</x:f>
        <x:v>12826.5478700361</x:v>
      </x:c>
      <x:c r="L74" s="27" t="n">
        <x:f>I74-K74</x:f>
        <x:v>8760.61602888087</x:v>
      </x:c>
    </x:row>
    <x:row r="75" ht="23" customHeight="1">
      <x:c r="A75" s="34" t="str">
        <x:v>0002</x:v>
      </x:c>
      <x:c r="B75" s="7" t="str">
        <x:v>East</x:v>
      </x:c>
      <x:c r="C75" s="14" t="d">
        <x:v>2026-11-01T00:00:00.000Z</x:v>
      </x:c>
      <x:c r="D75" s="27" t="n">
        <x:f>'Assumptions'!D73</x:f>
        <x:v>221</x:v>
      </x:c>
      <x:c r="E75" s="28" t="n">
        <x:f>INDEX('Assumptions'!$C$12:$N$12,1,MONTH(C75))</x:f>
        <x:v>0.03</x:v>
      </x:c>
      <x:c r="F75" s="27" t="n">
        <x:f>ROUND(D75*INDEX('Assumptions'!$C$8:$N$8,1,MONTH(C75))*(1-'Products'!E6*E75),0)</x:f>
        <x:v>217</x:v>
      </x:c>
      <x:c r="G75" s="27" t="n">
        <x:f>F75*SUMIFS('Inventory'!$L$5:$L$100,'Inventory'!$A$5:$A$100,A75,'Inventory'!$B$5:$B$100,C75)</x:f>
        <x:v>99.47865168539326</x:v>
      </x:c>
      <x:c r="H75" s="27" t="n">
        <x:f>'Assumptions'!E73*(1+E75)</x:f>
        <x:v>185.4</x:v>
      </x:c>
      <x:c r="I75" s="27" t="n">
        <x:f>G75*H75</x:f>
        <x:v>18443.342022471912</x:v>
      </x:c>
      <x:c r="J75" s="27" t="n">
        <x:f>'Products'!D6*INDEX('Assumptions'!$C$16:$N$16,1,MONTH(C75))</x:f>
        <x:v>110.16</x:v>
      </x:c>
      <x:c r="K75" s="27" t="n">
        <x:f>G75*J75</x:f>
        <x:v>10958.568269662921</x:v>
      </x:c>
      <x:c r="L75" s="27" t="n">
        <x:f>I75-K75</x:f>
        <x:v>7484.773752808991</x:v>
      </x:c>
    </x:row>
    <x:row r="76" ht="23" customHeight="1">
      <x:c r="A76" s="34" t="str">
        <x:v>0002</x:v>
      </x:c>
      <x:c r="B76" s="7" t="str">
        <x:v>East</x:v>
      </x:c>
      <x:c r="C76" s="14" t="d">
        <x:v>2026-12-01T00:00:00.000Z</x:v>
      </x:c>
      <x:c r="D76" s="27" t="n">
        <x:f>'Assumptions'!D74</x:f>
        <x:v>236</x:v>
      </x:c>
      <x:c r="E76" s="28" t="n">
        <x:f>INDEX('Assumptions'!$C$12:$N$12,1,MONTH(C76))</x:f>
        <x:v>0.03</x:v>
      </x:c>
      <x:c r="F76" s="27" t="n">
        <x:f>ROUND(D76*INDEX('Assumptions'!$C$8:$N$8,1,MONTH(C76))*(1-'Products'!E6*E76),0)</x:f>
        <x:v>231</x:v>
      </x:c>
      <x:c r="G76" s="27" t="n">
        <x:f>F76*SUMIFS('Inventory'!$L$5:$L$100,'Inventory'!$A$5:$A$100,A76,'Inventory'!$B$5:$B$100,C76)</x:f>
        <x:v>99.41772151898735</x:v>
      </x:c>
      <x:c r="H76" s="27" t="n">
        <x:f>'Assumptions'!E74*(1+E76)</x:f>
        <x:v>185.4</x:v>
      </x:c>
      <x:c r="I76" s="27" t="n">
        <x:f>G76*H76</x:f>
        <x:v>18432.045569620255</x:v>
      </x:c>
      <x:c r="J76" s="27" t="n">
        <x:f>'Products'!D6*INDEX('Assumptions'!$C$16:$N$16,1,MONTH(C76))</x:f>
        <x:v>110.16</x:v>
      </x:c>
      <x:c r="K76" s="27" t="n">
        <x:f>G76*J76</x:f>
        <x:v>10951.856202531646</x:v>
      </x:c>
      <x:c r="L76" s="27" t="n">
        <x:f>I76-K76</x:f>
        <x:v>7480.189367088609</x:v>
      </x:c>
    </x:row>
    <x:row r="77" ht="23" customHeight="1">
      <x:c r="A77" s="34" t="str">
        <x:v>0002</x:v>
      </x:c>
      <x:c r="B77" s="7" t="str">
        <x:v>West</x:v>
      </x:c>
      <x:c r="C77" s="14" t="d">
        <x:v>2026-01-01T00:00:00.000Z</x:v>
      </x:c>
      <x:c r="D77" s="27" t="n">
        <x:f>SUMIFS('Orders'!$F$5:$F$3004,'Orders'!$D$5:$D$3004,A77,'Orders'!$E$5:$E$3004,B77,'Orders'!$C$5:$C$3004,C77)</x:f>
        <x:v>59</x:v>
      </x:c>
      <x:c r="E77" s="28" t="n">
        <x:f>0</x:f>
        <x:v>0</x:v>
      </x:c>
      <x:c r="F77" s="27" t="n">
        <x:f>D77</x:f>
        <x:v>59</x:v>
      </x:c>
      <x:c r="G77" s="27" t="n">
        <x:f>F77</x:f>
        <x:v>59</x:v>
      </x:c>
      <x:c r="H77" s="27" t="n">
        <x:f>IF(F77=0,0,I77/F77)</x:f>
        <x:v>171</x:v>
      </x:c>
      <x:c r="I77" s="27" t="n">
        <x:f>SUMIFS('Orders'!$I$5:$I$3004,'Orders'!$D$5:$D$3004,A77,'Orders'!$E$5:$E$3004,B77,'Orders'!$C$5:$C$3004,C77)</x:f>
        <x:v>10089</x:v>
      </x:c>
      <x:c r="J77" s="27" t="n">
        <x:f>'Products'!D6*INDEX('Assumptions'!$C$16:$N$16,1,MONTH(C77))</x:f>
        <x:v>108</x:v>
      </x:c>
      <x:c r="K77" s="27" t="n">
        <x:f>G77*J77</x:f>
        <x:v>6372</x:v>
      </x:c>
      <x:c r="L77" s="27" t="n">
        <x:f>I77-K77</x:f>
        <x:v>3717</x:v>
      </x:c>
    </x:row>
    <x:row r="78" ht="23" customHeight="1">
      <x:c r="A78" s="34" t="str">
        <x:v>0002</x:v>
      </x:c>
      <x:c r="B78" s="7" t="str">
        <x:v>West</x:v>
      </x:c>
      <x:c r="C78" s="14" t="d">
        <x:v>2026-02-01T00:00:00.000Z</x:v>
      </x:c>
      <x:c r="D78" s="27" t="n">
        <x:f>SUMIFS('Orders'!$F$5:$F$3004,'Orders'!$D$5:$D$3004,A78,'Orders'!$E$5:$E$3004,B78,'Orders'!$C$5:$C$3004,C78)</x:f>
        <x:v>73</x:v>
      </x:c>
      <x:c r="E78" s="28" t="n">
        <x:f>0</x:f>
        <x:v>0</x:v>
      </x:c>
      <x:c r="F78" s="27" t="n">
        <x:f>D78</x:f>
        <x:v>73</x:v>
      </x:c>
      <x:c r="G78" s="27" t="n">
        <x:f>F78</x:f>
        <x:v>73</x:v>
      </x:c>
      <x:c r="H78" s="27" t="n">
        <x:f>IF(F78=0,0,I78/F78)</x:f>
        <x:v>176.4</x:v>
      </x:c>
      <x:c r="I78" s="27" t="n">
        <x:f>SUMIFS('Orders'!$I$5:$I$3004,'Orders'!$D$5:$D$3004,A78,'Orders'!$E$5:$E$3004,B78,'Orders'!$C$5:$C$3004,C78)</x:f>
        <x:v>12877.2</x:v>
      </x:c>
      <x:c r="J78" s="27" t="n">
        <x:f>'Products'!D6*INDEX('Assumptions'!$C$16:$N$16,1,MONTH(C78))</x:f>
        <x:v>108</x:v>
      </x:c>
      <x:c r="K78" s="27" t="n">
        <x:f>G78*J78</x:f>
        <x:v>7884</x:v>
      </x:c>
      <x:c r="L78" s="27" t="n">
        <x:f>I78-K78</x:f>
        <x:v>4993.200000000001</x:v>
      </x:c>
    </x:row>
    <x:row r="79" ht="23" customHeight="1">
      <x:c r="A79" s="34" t="str">
        <x:v>0002</x:v>
      </x:c>
      <x:c r="B79" s="7" t="str">
        <x:v>West</x:v>
      </x:c>
      <x:c r="C79" s="14" t="d">
        <x:v>2026-03-01T00:00:00.000Z</x:v>
      </x:c>
      <x:c r="D79" s="27" t="n">
        <x:f>SUMIFS('Orders'!$F$5:$F$3004,'Orders'!$D$5:$D$3004,A79,'Orders'!$E$5:$E$3004,B79,'Orders'!$C$5:$C$3004,C79)</x:f>
        <x:v>60</x:v>
      </x:c>
      <x:c r="E79" s="28" t="n">
        <x:f>0</x:f>
        <x:v>0</x:v>
      </x:c>
      <x:c r="F79" s="27" t="n">
        <x:f>D79</x:f>
        <x:v>60</x:v>
      </x:c>
      <x:c r="G79" s="27" t="n">
        <x:f>F79</x:f>
        <x:v>60</x:v>
      </x:c>
      <x:c r="H79" s="27" t="n">
        <x:f>IF(F79=0,0,I79/F79)</x:f>
        <x:v>180</x:v>
      </x:c>
      <x:c r="I79" s="27" t="n">
        <x:f>SUMIFS('Orders'!$I$5:$I$3004,'Orders'!$D$5:$D$3004,A79,'Orders'!$E$5:$E$3004,B79,'Orders'!$C$5:$C$3004,C79)</x:f>
        <x:v>10800</x:v>
      </x:c>
      <x:c r="J79" s="27" t="n">
        <x:f>'Products'!D6*INDEX('Assumptions'!$C$16:$N$16,1,MONTH(C79))</x:f>
        <x:v>108</x:v>
      </x:c>
      <x:c r="K79" s="27" t="n">
        <x:f>G79*J79</x:f>
        <x:v>6480</x:v>
      </x:c>
      <x:c r="L79" s="27" t="n">
        <x:f>I79-K79</x:f>
        <x:v>4320</x:v>
      </x:c>
    </x:row>
    <x:row r="80" ht="23" customHeight="1">
      <x:c r="A80" s="34" t="str">
        <x:v>0002</x:v>
      </x:c>
      <x:c r="B80" s="7" t="str">
        <x:v>West</x:v>
      </x:c>
      <x:c r="C80" s="14" t="d">
        <x:v>2026-04-01T00:00:00.000Z</x:v>
      </x:c>
      <x:c r="D80" s="27" t="n">
        <x:f>SUMIFS('Orders'!$F$5:$F$3004,'Orders'!$D$5:$D$3004,A80,'Orders'!$E$5:$E$3004,B80,'Orders'!$C$5:$C$3004,C80)</x:f>
        <x:v>52</x:v>
      </x:c>
      <x:c r="E80" s="28" t="n">
        <x:f>0</x:f>
        <x:v>0</x:v>
      </x:c>
      <x:c r="F80" s="27" t="n">
        <x:f>D80</x:f>
        <x:v>52</x:v>
      </x:c>
      <x:c r="G80" s="27" t="n">
        <x:f>F80</x:f>
        <x:v>52</x:v>
      </x:c>
      <x:c r="H80" s="27" t="n">
        <x:f>IF(F80=0,0,I80/F80)</x:f>
        <x:v>171</x:v>
      </x:c>
      <x:c r="I80" s="27" t="n">
        <x:f>SUMIFS('Orders'!$I$5:$I$3004,'Orders'!$D$5:$D$3004,A80,'Orders'!$E$5:$E$3004,B80,'Orders'!$C$5:$C$3004,C80)</x:f>
        <x:v>8892</x:v>
      </x:c>
      <x:c r="J80" s="27" t="n">
        <x:f>'Products'!D6*INDEX('Assumptions'!$C$16:$N$16,1,MONTH(C80))</x:f>
        <x:v>108</x:v>
      </x:c>
      <x:c r="K80" s="27" t="n">
        <x:f>G80*J80</x:f>
        <x:v>5616</x:v>
      </x:c>
      <x:c r="L80" s="27" t="n">
        <x:f>I80-K80</x:f>
        <x:v>3276</x:v>
      </x:c>
    </x:row>
    <x:row r="81" ht="23" customHeight="1">
      <x:c r="A81" s="34" t="str">
        <x:v>0002</x:v>
      </x:c>
      <x:c r="B81" s="7" t="str">
        <x:v>West</x:v>
      </x:c>
      <x:c r="C81" s="14" t="d">
        <x:v>2026-05-01T00:00:00.000Z</x:v>
      </x:c>
      <x:c r="D81" s="27" t="n">
        <x:f>SUMIFS('Orders'!$F$5:$F$3004,'Orders'!$D$5:$D$3004,A81,'Orders'!$E$5:$E$3004,B81,'Orders'!$C$5:$C$3004,C81)</x:f>
        <x:v>38</x:v>
      </x:c>
      <x:c r="E81" s="28" t="n">
        <x:f>0</x:f>
        <x:v>0</x:v>
      </x:c>
      <x:c r="F81" s="27" t="n">
        <x:f>D81</x:f>
        <x:v>38</x:v>
      </x:c>
      <x:c r="G81" s="27" t="n">
        <x:f>F81</x:f>
        <x:v>38</x:v>
      </x:c>
      <x:c r="H81" s="27" t="n">
        <x:f>IF(F81=0,0,I81/F81)</x:f>
        <x:v>176.40000000000003</x:v>
      </x:c>
      <x:c r="I81" s="27" t="n">
        <x:f>SUMIFS('Orders'!$I$5:$I$3004,'Orders'!$D$5:$D$3004,A81,'Orders'!$E$5:$E$3004,B81,'Orders'!$C$5:$C$3004,C81)</x:f>
        <x:v>6703.200000000002</x:v>
      </x:c>
      <x:c r="J81" s="27" t="n">
        <x:f>'Products'!D6*INDEX('Assumptions'!$C$16:$N$16,1,MONTH(C81))</x:f>
        <x:v>108</x:v>
      </x:c>
      <x:c r="K81" s="27" t="n">
        <x:f>G81*J81</x:f>
        <x:v>4104</x:v>
      </x:c>
      <x:c r="L81" s="27" t="n">
        <x:f>I81-K81</x:f>
        <x:v>2599.2000000000016</x:v>
      </x:c>
    </x:row>
    <x:row r="82" ht="23" customHeight="1">
      <x:c r="A82" s="34" t="str">
        <x:v>0002</x:v>
      </x:c>
      <x:c r="B82" s="7" t="str">
        <x:v>West</x:v>
      </x:c>
      <x:c r="C82" s="14" t="d">
        <x:v>2026-06-01T00:00:00.000Z</x:v>
      </x:c>
      <x:c r="D82" s="27" t="n">
        <x:f>SUMIFS('Orders'!$F$5:$F$3004,'Orders'!$D$5:$D$3004,A82,'Orders'!$E$5:$E$3004,B82,'Orders'!$C$5:$C$3004,C82)</x:f>
        <x:v>50</x:v>
      </x:c>
      <x:c r="E82" s="28" t="n">
        <x:f>0</x:f>
        <x:v>0</x:v>
      </x:c>
      <x:c r="F82" s="27" t="n">
        <x:f>D82</x:f>
        <x:v>50</x:v>
      </x:c>
      <x:c r="G82" s="27" t="n">
        <x:f>F82</x:f>
        <x:v>50</x:v>
      </x:c>
      <x:c r="H82" s="27" t="n">
        <x:f>IF(F82=0,0,I82/F82)</x:f>
        <x:v>180</x:v>
      </x:c>
      <x:c r="I82" s="27" t="n">
        <x:f>SUMIFS('Orders'!$I$5:$I$3004,'Orders'!$D$5:$D$3004,A82,'Orders'!$E$5:$E$3004,B82,'Orders'!$C$5:$C$3004,C82)</x:f>
        <x:v>9000</x:v>
      </x:c>
      <x:c r="J82" s="27" t="n">
        <x:f>'Products'!D6*INDEX('Assumptions'!$C$16:$N$16,1,MONTH(C82))</x:f>
        <x:v>108</x:v>
      </x:c>
      <x:c r="K82" s="27" t="n">
        <x:f>G82*J82</x:f>
        <x:v>5400</x:v>
      </x:c>
      <x:c r="L82" s="27" t="n">
        <x:f>I82-K82</x:f>
        <x:v>3600</x:v>
      </x:c>
    </x:row>
    <x:row r="83" ht="23" customHeight="1">
      <x:c r="A83" s="34" t="str">
        <x:v>0002</x:v>
      </x:c>
      <x:c r="B83" s="7" t="str">
        <x:v>West</x:v>
      </x:c>
      <x:c r="C83" s="14" t="d">
        <x:v>2026-07-01T00:00:00.000Z</x:v>
      </x:c>
      <x:c r="D83" s="27" t="n">
        <x:f>'Assumptions'!D75</x:f>
        <x:v>173</x:v>
      </x:c>
      <x:c r="E83" s="28" t="n">
        <x:f>INDEX('Assumptions'!$C$12:$N$12,1,MONTH(C83))</x:f>
        <x:v>0.03</x:v>
      </x:c>
      <x:c r="F83" s="27" t="n">
        <x:f>ROUND(D83*INDEX('Assumptions'!$C$8:$N$8,1,MONTH(C83))*(1-'Products'!E6*E83),0)</x:f>
        <x:v>170</x:v>
      </x:c>
      <x:c r="G83" s="27" t="n">
        <x:f>F83*SUMIFS('Inventory'!$L$5:$L$100,'Inventory'!$A$5:$A$100,A83,'Inventory'!$B$5:$B$100,C83)</x:f>
        <x:v>170</x:v>
      </x:c>
      <x:c r="H83" s="27" t="n">
        <x:f>'Assumptions'!E75*(1+E83)</x:f>
        <x:v>185.4</x:v>
      </x:c>
      <x:c r="I83" s="27" t="n">
        <x:f>G83*H83</x:f>
        <x:v>31518</x:v>
      </x:c>
      <x:c r="J83" s="27" t="n">
        <x:f>'Products'!D6*INDEX('Assumptions'!$C$16:$N$16,1,MONTH(C83))</x:f>
        <x:v>110.16</x:v>
      </x:c>
      <x:c r="K83" s="27" t="n">
        <x:f>G83*J83</x:f>
        <x:v>18727.2</x:v>
      </x:c>
      <x:c r="L83" s="27" t="n">
        <x:f>I83-K83</x:f>
        <x:v>12790.8</x:v>
      </x:c>
    </x:row>
    <x:row r="84" ht="23" customHeight="1">
      <x:c r="A84" s="34" t="str">
        <x:v>0002</x:v>
      </x:c>
      <x:c r="B84" s="7" t="str">
        <x:v>West</x:v>
      </x:c>
      <x:c r="C84" s="14" t="d">
        <x:v>2026-08-01T00:00:00.000Z</x:v>
      </x:c>
      <x:c r="D84" s="27" t="n">
        <x:f>'Assumptions'!D76</x:f>
        <x:v>188</x:v>
      </x:c>
      <x:c r="E84" s="28" t="n">
        <x:f>INDEX('Assumptions'!$C$12:$N$12,1,MONTH(C84))</x:f>
        <x:v>0.03</x:v>
      </x:c>
      <x:c r="F84" s="27" t="n">
        <x:f>ROUND(D84*INDEX('Assumptions'!$C$8:$N$8,1,MONTH(C84))*(1-'Products'!E6*E84),0)</x:f>
        <x:v>184</x:v>
      </x:c>
      <x:c r="G84" s="27" t="n">
        <x:f>F84*SUMIFS('Inventory'!$L$5:$L$100,'Inventory'!$A$5:$A$100,A84,'Inventory'!$B$5:$B$100,C84)</x:f>
        <x:v>184</x:v>
      </x:c>
      <x:c r="H84" s="27" t="n">
        <x:f>'Assumptions'!E76*(1+E84)</x:f>
        <x:v>185.4</x:v>
      </x:c>
      <x:c r="I84" s="27" t="n">
        <x:f>G84*H84</x:f>
        <x:v>34113.6</x:v>
      </x:c>
      <x:c r="J84" s="27" t="n">
        <x:f>'Products'!D6*INDEX('Assumptions'!$C$16:$N$16,1,MONTH(C84))</x:f>
        <x:v>110.16</x:v>
      </x:c>
      <x:c r="K84" s="27" t="n">
        <x:f>G84*J84</x:f>
        <x:v>20269.44</x:v>
      </x:c>
      <x:c r="L84" s="27" t="n">
        <x:f>I84-K84</x:f>
        <x:v>13844.16</x:v>
      </x:c>
    </x:row>
    <x:row r="85" ht="23" customHeight="1">
      <x:c r="A85" s="34" t="str">
        <x:v>0002</x:v>
      </x:c>
      <x:c r="B85" s="7" t="str">
        <x:v>West</x:v>
      </x:c>
      <x:c r="C85" s="14" t="d">
        <x:v>2026-09-01T00:00:00.000Z</x:v>
      </x:c>
      <x:c r="D85" s="27" t="n">
        <x:f>'Assumptions'!D77</x:f>
        <x:v>203</x:v>
      </x:c>
      <x:c r="E85" s="28" t="n">
        <x:f>INDEX('Assumptions'!$C$12:$N$12,1,MONTH(C85))</x:f>
        <x:v>0.03</x:v>
      </x:c>
      <x:c r="F85" s="27" t="n">
        <x:f>ROUND(D85*INDEX('Assumptions'!$C$8:$N$8,1,MONTH(C85))*(1-'Products'!E6*E85),0)</x:f>
        <x:v>199</x:v>
      </x:c>
      <x:c r="G85" s="27" t="n">
        <x:f>F85*SUMIFS('Inventory'!$L$5:$L$100,'Inventory'!$A$5:$A$100,A85,'Inventory'!$B$5:$B$100,C85)</x:f>
        <x:v>199</x:v>
      </x:c>
      <x:c r="H85" s="27" t="n">
        <x:f>'Assumptions'!E77*(1+E85)</x:f>
        <x:v>185.4</x:v>
      </x:c>
      <x:c r="I85" s="27" t="n">
        <x:f>G85*H85</x:f>
        <x:v>36894.6</x:v>
      </x:c>
      <x:c r="J85" s="27" t="n">
        <x:f>'Products'!D6*INDEX('Assumptions'!$C$16:$N$16,1,MONTH(C85))</x:f>
        <x:v>110.16</x:v>
      </x:c>
      <x:c r="K85" s="27" t="n">
        <x:f>G85*J85</x:f>
        <x:v>21921.84</x:v>
      </x:c>
      <x:c r="L85" s="27" t="n">
        <x:f>I85-K85</x:f>
        <x:v>14972.759999999998</x:v>
      </x:c>
    </x:row>
    <x:row r="86" ht="23" customHeight="1">
      <x:c r="A86" s="34" t="str">
        <x:v>0002</x:v>
      </x:c>
      <x:c r="B86" s="7" t="str">
        <x:v>West</x:v>
      </x:c>
      <x:c r="C86" s="14" t="d">
        <x:v>2026-10-01T00:00:00.000Z</x:v>
      </x:c>
      <x:c r="D86" s="27" t="n">
        <x:f>'Assumptions'!D78</x:f>
        <x:v>218</x:v>
      </x:c>
      <x:c r="E86" s="28" t="n">
        <x:f>INDEX('Assumptions'!$C$12:$N$12,1,MONTH(C86))</x:f>
        <x:v>0.03</x:v>
      </x:c>
      <x:c r="F86" s="27" t="n">
        <x:f>ROUND(D86*INDEX('Assumptions'!$C$8:$N$8,1,MONTH(C86))*(1-'Products'!E6*E86),0)</x:f>
        <x:v>214</x:v>
      </x:c>
      <x:c r="G86" s="27" t="n">
        <x:f>F86*SUMIFS('Inventory'!$L$5:$L$100,'Inventory'!$A$5:$A$100,A86,'Inventory'!$B$5:$B$100,C86)</x:f>
        <x:v>123.352587244284</x:v>
      </x:c>
      <x:c r="H86" s="27" t="n">
        <x:f>'Assumptions'!E78*(1+E86)</x:f>
        <x:v>185.4</x:v>
      </x:c>
      <x:c r="I86" s="27" t="n">
        <x:f>G86*H86</x:f>
        <x:v>22869.569675090253</x:v>
      </x:c>
      <x:c r="J86" s="27" t="n">
        <x:f>'Products'!D6*INDEX('Assumptions'!$C$16:$N$16,1,MONTH(C86))</x:f>
        <x:v>110.16</x:v>
      </x:c>
      <x:c r="K86" s="27" t="n">
        <x:f>G86*J86</x:f>
        <x:v>13588.521010830325</x:v>
      </x:c>
      <x:c r="L86" s="27" t="n">
        <x:f>I86-K86</x:f>
        <x:v>9281.048664259928</x:v>
      </x:c>
    </x:row>
    <x:row r="87" ht="23" customHeight="1">
      <x:c r="A87" s="34" t="str">
        <x:v>0002</x:v>
      </x:c>
      <x:c r="B87" s="7" t="str">
        <x:v>West</x:v>
      </x:c>
      <x:c r="C87" s="14" t="d">
        <x:v>2026-11-01T00:00:00.000Z</x:v>
      </x:c>
      <x:c r="D87" s="27" t="n">
        <x:f>'Assumptions'!D79</x:f>
        <x:v>233</x:v>
      </x:c>
      <x:c r="E87" s="28" t="n">
        <x:f>INDEX('Assumptions'!$C$12:$N$12,1,MONTH(C87))</x:f>
        <x:v>0.03</x:v>
      </x:c>
      <x:c r="F87" s="27" t="n">
        <x:f>ROUND(D87*INDEX('Assumptions'!$C$8:$N$8,1,MONTH(C87))*(1-'Products'!E6*E87),0)</x:f>
        <x:v>228</x:v>
      </x:c>
      <x:c r="G87" s="27" t="n">
        <x:f>F87*SUMIFS('Inventory'!$L$5:$L$100,'Inventory'!$A$5:$A$100,A87,'Inventory'!$B$5:$B$100,C87)</x:f>
        <x:v>104.52134831460674</x:v>
      </x:c>
      <x:c r="H87" s="27" t="n">
        <x:f>'Assumptions'!E79*(1+E87)</x:f>
        <x:v>185.4</x:v>
      </x:c>
      <x:c r="I87" s="27" t="n">
        <x:f>G87*H87</x:f>
        <x:v>19378.25797752809</x:v>
      </x:c>
      <x:c r="J87" s="27" t="n">
        <x:f>'Products'!D6*INDEX('Assumptions'!$C$16:$N$16,1,MONTH(C87))</x:f>
        <x:v>110.16</x:v>
      </x:c>
      <x:c r="K87" s="27" t="n">
        <x:f>G87*J87</x:f>
        <x:v>11514.071730337078</x:v>
      </x:c>
      <x:c r="L87" s="27" t="n">
        <x:f>I87-K87</x:f>
        <x:v>7864.186247191012</x:v>
      </x:c>
    </x:row>
    <x:row r="88" ht="23" customHeight="1">
      <x:c r="A88" s="34" t="str">
        <x:v>0002</x:v>
      </x:c>
      <x:c r="B88" s="7" t="str">
        <x:v>West</x:v>
      </x:c>
      <x:c r="C88" s="14" t="d">
        <x:v>2026-12-01T00:00:00.000Z</x:v>
      </x:c>
      <x:c r="D88" s="27" t="n">
        <x:f>'Assumptions'!D80</x:f>
        <x:v>248</x:v>
      </x:c>
      <x:c r="E88" s="28" t="n">
        <x:f>INDEX('Assumptions'!$C$12:$N$12,1,MONTH(C88))</x:f>
        <x:v>0.03</x:v>
      </x:c>
      <x:c r="F88" s="27" t="n">
        <x:f>ROUND(D88*INDEX('Assumptions'!$C$8:$N$8,1,MONTH(C88))*(1-'Products'!E6*E88),0)</x:f>
        <x:v>243</x:v>
      </x:c>
      <x:c r="G88" s="27" t="n">
        <x:f>F88*SUMIFS('Inventory'!$L$5:$L$100,'Inventory'!$A$5:$A$100,A88,'Inventory'!$B$5:$B$100,C88)</x:f>
        <x:v>104.58227848101266</x:v>
      </x:c>
      <x:c r="H88" s="27" t="n">
        <x:f>'Assumptions'!E80*(1+E88)</x:f>
        <x:v>185.4</x:v>
      </x:c>
      <x:c r="I88" s="27" t="n">
        <x:f>G88*H88</x:f>
        <x:v>19389.554430379747</x:v>
      </x:c>
      <x:c r="J88" s="27" t="n">
        <x:f>'Products'!D6*INDEX('Assumptions'!$C$16:$N$16,1,MONTH(C88))</x:f>
        <x:v>110.16</x:v>
      </x:c>
      <x:c r="K88" s="27" t="n">
        <x:f>G88*J88</x:f>
        <x:v>11520.783797468355</x:v>
      </x:c>
      <x:c r="L88" s="27" t="n">
        <x:f>I88-K88</x:f>
        <x:v>7868.770632911392</x:v>
      </x:c>
    </x:row>
    <x:row r="89" ht="23" customHeight="1">
      <x:c r="A89" s="34" t="str">
        <x:v>0002</x:v>
      </x:c>
      <x:c r="B89" s="7" t="str">
        <x:v>North</x:v>
      </x:c>
      <x:c r="C89" s="14" t="d">
        <x:v>2026-01-01T00:00:00.000Z</x:v>
      </x:c>
      <x:c r="D89" s="27" t="n">
        <x:f>SUMIFS('Orders'!$F$5:$F$3004,'Orders'!$D$5:$D$3004,A89,'Orders'!$E$5:$E$3004,B89,'Orders'!$C$5:$C$3004,C89)</x:f>
        <x:v>69</x:v>
      </x:c>
      <x:c r="E89" s="28" t="n">
        <x:f>0</x:f>
        <x:v>0</x:v>
      </x:c>
      <x:c r="F89" s="27" t="n">
        <x:f>D89</x:f>
        <x:v>69</x:v>
      </x:c>
      <x:c r="G89" s="27" t="n">
        <x:f>F89</x:f>
        <x:v>69</x:v>
      </x:c>
      <x:c r="H89" s="27" t="n">
        <x:f>IF(F89=0,0,I89/F89)</x:f>
        <x:v>176.4</x:v>
      </x:c>
      <x:c r="I89" s="27" t="n">
        <x:f>SUMIFS('Orders'!$I$5:$I$3004,'Orders'!$D$5:$D$3004,A89,'Orders'!$E$5:$E$3004,B89,'Orders'!$C$5:$C$3004,C89)</x:f>
        <x:v>12171.6</x:v>
      </x:c>
      <x:c r="J89" s="27" t="n">
        <x:f>'Products'!D6*INDEX('Assumptions'!$C$16:$N$16,1,MONTH(C89))</x:f>
        <x:v>108</x:v>
      </x:c>
      <x:c r="K89" s="27" t="n">
        <x:f>G89*J89</x:f>
        <x:v>7452</x:v>
      </x:c>
      <x:c r="L89" s="27" t="n">
        <x:f>I89-K89</x:f>
        <x:v>4719.6</x:v>
      </x:c>
    </x:row>
    <x:row r="90" ht="23" customHeight="1">
      <x:c r="A90" s="34" t="str">
        <x:v>0002</x:v>
      </x:c>
      <x:c r="B90" s="7" t="str">
        <x:v>North</x:v>
      </x:c>
      <x:c r="C90" s="14" t="d">
        <x:v>2026-02-01T00:00:00.000Z</x:v>
      </x:c>
      <x:c r="D90" s="27" t="n">
        <x:f>SUMIFS('Orders'!$F$5:$F$3004,'Orders'!$D$5:$D$3004,A90,'Orders'!$E$5:$E$3004,B90,'Orders'!$C$5:$C$3004,C90)</x:f>
        <x:v>52</x:v>
      </x:c>
      <x:c r="E90" s="28" t="n">
        <x:f>0</x:f>
        <x:v>0</x:v>
      </x:c>
      <x:c r="F90" s="27" t="n">
        <x:f>D90</x:f>
        <x:v>52</x:v>
      </x:c>
      <x:c r="G90" s="27" t="n">
        <x:f>F90</x:f>
        <x:v>52</x:v>
      </x:c>
      <x:c r="H90" s="27" t="n">
        <x:f>IF(F90=0,0,I90/F90)</x:f>
        <x:v>180</x:v>
      </x:c>
      <x:c r="I90" s="27" t="n">
        <x:f>SUMIFS('Orders'!$I$5:$I$3004,'Orders'!$D$5:$D$3004,A90,'Orders'!$E$5:$E$3004,B90,'Orders'!$C$5:$C$3004,C90)</x:f>
        <x:v>9360</x:v>
      </x:c>
      <x:c r="J90" s="27" t="n">
        <x:f>'Products'!D6*INDEX('Assumptions'!$C$16:$N$16,1,MONTH(C90))</x:f>
        <x:v>108</x:v>
      </x:c>
      <x:c r="K90" s="27" t="n">
        <x:f>G90*J90</x:f>
        <x:v>5616</x:v>
      </x:c>
      <x:c r="L90" s="27" t="n">
        <x:f>I90-K90</x:f>
        <x:v>3744</x:v>
      </x:c>
    </x:row>
    <x:row r="91" ht="23" customHeight="1">
      <x:c r="A91" s="34" t="str">
        <x:v>0002</x:v>
      </x:c>
      <x:c r="B91" s="7" t="str">
        <x:v>North</x:v>
      </x:c>
      <x:c r="C91" s="14" t="d">
        <x:v>2026-03-01T00:00:00.000Z</x:v>
      </x:c>
      <x:c r="D91" s="27" t="n">
        <x:f>SUMIFS('Orders'!$F$5:$F$3004,'Orders'!$D$5:$D$3004,A91,'Orders'!$E$5:$E$3004,B91,'Orders'!$C$5:$C$3004,C91)</x:f>
        <x:v>62</x:v>
      </x:c>
      <x:c r="E91" s="28" t="n">
        <x:f>0</x:f>
        <x:v>0</x:v>
      </x:c>
      <x:c r="F91" s="27" t="n">
        <x:f>D91</x:f>
        <x:v>62</x:v>
      </x:c>
      <x:c r="G91" s="27" t="n">
        <x:f>F91</x:f>
        <x:v>62</x:v>
      </x:c>
      <x:c r="H91" s="27" t="n">
        <x:f>IF(F91=0,0,I91/F91)</x:f>
        <x:v>171</x:v>
      </x:c>
      <x:c r="I91" s="27" t="n">
        <x:f>SUMIFS('Orders'!$I$5:$I$3004,'Orders'!$D$5:$D$3004,A91,'Orders'!$E$5:$E$3004,B91,'Orders'!$C$5:$C$3004,C91)</x:f>
        <x:v>10602</x:v>
      </x:c>
      <x:c r="J91" s="27" t="n">
        <x:f>'Products'!D6*INDEX('Assumptions'!$C$16:$N$16,1,MONTH(C91))</x:f>
        <x:v>108</x:v>
      </x:c>
      <x:c r="K91" s="27" t="n">
        <x:f>G91*J91</x:f>
        <x:v>6696</x:v>
      </x:c>
      <x:c r="L91" s="27" t="n">
        <x:f>I91-K91</x:f>
        <x:v>3906</x:v>
      </x:c>
    </x:row>
    <x:row r="92" ht="23" customHeight="1">
      <x:c r="A92" s="34" t="str">
        <x:v>0002</x:v>
      </x:c>
      <x:c r="B92" s="7" t="str">
        <x:v>North</x:v>
      </x:c>
      <x:c r="C92" s="14" t="d">
        <x:v>2026-04-01T00:00:00.000Z</x:v>
      </x:c>
      <x:c r="D92" s="27" t="n">
        <x:f>SUMIFS('Orders'!$F$5:$F$3004,'Orders'!$D$5:$D$3004,A92,'Orders'!$E$5:$E$3004,B92,'Orders'!$C$5:$C$3004,C92)</x:f>
        <x:v>52</x:v>
      </x:c>
      <x:c r="E92" s="28" t="n">
        <x:f>0</x:f>
        <x:v>0</x:v>
      </x:c>
      <x:c r="F92" s="27" t="n">
        <x:f>D92</x:f>
        <x:v>52</x:v>
      </x:c>
      <x:c r="G92" s="27" t="n">
        <x:f>F92</x:f>
        <x:v>52</x:v>
      </x:c>
      <x:c r="H92" s="27" t="n">
        <x:f>IF(F92=0,0,I92/F92)</x:f>
        <x:v>176.40000000000003</x:v>
      </x:c>
      <x:c r="I92" s="27" t="n">
        <x:f>SUMIFS('Orders'!$I$5:$I$3004,'Orders'!$D$5:$D$3004,A92,'Orders'!$E$5:$E$3004,B92,'Orders'!$C$5:$C$3004,C92)</x:f>
        <x:v>9172.800000000001</x:v>
      </x:c>
      <x:c r="J92" s="27" t="n">
        <x:f>'Products'!D6*INDEX('Assumptions'!$C$16:$N$16,1,MONTH(C92))</x:f>
        <x:v>108</x:v>
      </x:c>
      <x:c r="K92" s="27" t="n">
        <x:f>G92*J92</x:f>
        <x:v>5616</x:v>
      </x:c>
      <x:c r="L92" s="27" t="n">
        <x:f>I92-K92</x:f>
        <x:v>3556.800000000001</x:v>
      </x:c>
    </x:row>
    <x:row r="93" ht="23" customHeight="1">
      <x:c r="A93" s="34" t="str">
        <x:v>0002</x:v>
      </x:c>
      <x:c r="B93" s="7" t="str">
        <x:v>North</x:v>
      </x:c>
      <x:c r="C93" s="14" t="d">
        <x:v>2026-05-01T00:00:00.000Z</x:v>
      </x:c>
      <x:c r="D93" s="27" t="n">
        <x:f>SUMIFS('Orders'!$F$5:$F$3004,'Orders'!$D$5:$D$3004,A93,'Orders'!$E$5:$E$3004,B93,'Orders'!$C$5:$C$3004,C93)</x:f>
        <x:v>58</x:v>
      </x:c>
      <x:c r="E93" s="28" t="n">
        <x:f>0</x:f>
        <x:v>0</x:v>
      </x:c>
      <x:c r="F93" s="27" t="n">
        <x:f>D93</x:f>
        <x:v>58</x:v>
      </x:c>
      <x:c r="G93" s="27" t="n">
        <x:f>F93</x:f>
        <x:v>58</x:v>
      </x:c>
      <x:c r="H93" s="27" t="n">
        <x:f>IF(F93=0,0,I93/F93)</x:f>
        <x:v>180</x:v>
      </x:c>
      <x:c r="I93" s="27" t="n">
        <x:f>SUMIFS('Orders'!$I$5:$I$3004,'Orders'!$D$5:$D$3004,A93,'Orders'!$E$5:$E$3004,B93,'Orders'!$C$5:$C$3004,C93)</x:f>
        <x:v>10440</x:v>
      </x:c>
      <x:c r="J93" s="27" t="n">
        <x:f>'Products'!D6*INDEX('Assumptions'!$C$16:$N$16,1,MONTH(C93))</x:f>
        <x:v>108</x:v>
      </x:c>
      <x:c r="K93" s="27" t="n">
        <x:f>G93*J93</x:f>
        <x:v>6264</x:v>
      </x:c>
      <x:c r="L93" s="27" t="n">
        <x:f>I93-K93</x:f>
        <x:v>4176</x:v>
      </x:c>
    </x:row>
    <x:row r="94" ht="23" customHeight="1">
      <x:c r="A94" s="34" t="str">
        <x:v>0002</x:v>
      </x:c>
      <x:c r="B94" s="7" t="str">
        <x:v>North</x:v>
      </x:c>
      <x:c r="C94" s="14" t="d">
        <x:v>2026-06-01T00:00:00.000Z</x:v>
      </x:c>
      <x:c r="D94" s="27" t="n">
        <x:f>SUMIFS('Orders'!$F$5:$F$3004,'Orders'!$D$5:$D$3004,A94,'Orders'!$E$5:$E$3004,B94,'Orders'!$C$5:$C$3004,C94)</x:f>
        <x:v>47</x:v>
      </x:c>
      <x:c r="E94" s="28" t="n">
        <x:f>0</x:f>
        <x:v>0</x:v>
      </x:c>
      <x:c r="F94" s="27" t="n">
        <x:f>D94</x:f>
        <x:v>47</x:v>
      </x:c>
      <x:c r="G94" s="27" t="n">
        <x:f>F94</x:f>
        <x:v>47</x:v>
      </x:c>
      <x:c r="H94" s="27" t="n">
        <x:f>IF(F94=0,0,I94/F94)</x:f>
        <x:v>171</x:v>
      </x:c>
      <x:c r="I94" s="27" t="n">
        <x:f>SUMIFS('Orders'!$I$5:$I$3004,'Orders'!$D$5:$D$3004,A94,'Orders'!$E$5:$E$3004,B94,'Orders'!$C$5:$C$3004,C94)</x:f>
        <x:v>8037</x:v>
      </x:c>
      <x:c r="J94" s="27" t="n">
        <x:f>'Products'!D6*INDEX('Assumptions'!$C$16:$N$16,1,MONTH(C94))</x:f>
        <x:v>108</x:v>
      </x:c>
      <x:c r="K94" s="27" t="n">
        <x:f>G94*J94</x:f>
        <x:v>5076</x:v>
      </x:c>
      <x:c r="L94" s="27" t="n">
        <x:f>I94-K94</x:f>
        <x:v>2961</x:v>
      </x:c>
    </x:row>
    <x:row r="95" ht="23" customHeight="1">
      <x:c r="A95" s="34" t="str">
        <x:v>0002</x:v>
      </x:c>
      <x:c r="B95" s="7" t="str">
        <x:v>North</x:v>
      </x:c>
      <x:c r="C95" s="14" t="d">
        <x:v>2026-07-01T00:00:00.000Z</x:v>
      </x:c>
      <x:c r="D95" s="27" t="n">
        <x:f>'Assumptions'!D81</x:f>
        <x:v>185</x:v>
      </x:c>
      <x:c r="E95" s="28" t="n">
        <x:f>INDEX('Assumptions'!$C$12:$N$12,1,MONTH(C95))</x:f>
        <x:v>0.03</x:v>
      </x:c>
      <x:c r="F95" s="27" t="n">
        <x:f>ROUND(D95*INDEX('Assumptions'!$C$8:$N$8,1,MONTH(C95))*(1-'Products'!E6*E95),0)</x:f>
        <x:v>181</x:v>
      </x:c>
      <x:c r="G95" s="27" t="n">
        <x:f>F95*SUMIFS('Inventory'!$L$5:$L$100,'Inventory'!$A$5:$A$100,A95,'Inventory'!$B$5:$B$100,C95)</x:f>
        <x:v>181</x:v>
      </x:c>
      <x:c r="H95" s="27" t="n">
        <x:f>'Assumptions'!E81*(1+E95)</x:f>
        <x:v>185.4</x:v>
      </x:c>
      <x:c r="I95" s="27" t="n">
        <x:f>G95*H95</x:f>
        <x:v>33557.4</x:v>
      </x:c>
      <x:c r="J95" s="27" t="n">
        <x:f>'Products'!D6*INDEX('Assumptions'!$C$16:$N$16,1,MONTH(C95))</x:f>
        <x:v>110.16</x:v>
      </x:c>
      <x:c r="K95" s="27" t="n">
        <x:f>G95*J95</x:f>
        <x:v>19938.96</x:v>
      </x:c>
      <x:c r="L95" s="27" t="n">
        <x:f>I95-K95</x:f>
        <x:v>13618.440000000002</x:v>
      </x:c>
    </x:row>
    <x:row r="96" ht="23" customHeight="1">
      <x:c r="A96" s="34" t="str">
        <x:v>0002</x:v>
      </x:c>
      <x:c r="B96" s="7" t="str">
        <x:v>North</x:v>
      </x:c>
      <x:c r="C96" s="14" t="d">
        <x:v>2026-08-01T00:00:00.000Z</x:v>
      </x:c>
      <x:c r="D96" s="27" t="n">
        <x:f>'Assumptions'!D82</x:f>
        <x:v>200</x:v>
      </x:c>
      <x:c r="E96" s="28" t="n">
        <x:f>INDEX('Assumptions'!$C$12:$N$12,1,MONTH(C96))</x:f>
        <x:v>0.03</x:v>
      </x:c>
      <x:c r="F96" s="27" t="n">
        <x:f>ROUND(D96*INDEX('Assumptions'!$C$8:$N$8,1,MONTH(C96))*(1-'Products'!E6*E96),0)</x:f>
        <x:v>196</x:v>
      </x:c>
      <x:c r="G96" s="27" t="n">
        <x:f>F96*SUMIFS('Inventory'!$L$5:$L$100,'Inventory'!$A$5:$A$100,A96,'Inventory'!$B$5:$B$100,C96)</x:f>
        <x:v>196</x:v>
      </x:c>
      <x:c r="H96" s="27" t="n">
        <x:f>'Assumptions'!E82*(1+E96)</x:f>
        <x:v>185.4</x:v>
      </x:c>
      <x:c r="I96" s="27" t="n">
        <x:f>G96*H96</x:f>
        <x:v>36338.4</x:v>
      </x:c>
      <x:c r="J96" s="27" t="n">
        <x:f>'Products'!D6*INDEX('Assumptions'!$C$16:$N$16,1,MONTH(C96))</x:f>
        <x:v>110.16</x:v>
      </x:c>
      <x:c r="K96" s="27" t="n">
        <x:f>G96*J96</x:f>
        <x:v>21591.36</x:v>
      </x:c>
      <x:c r="L96" s="27" t="n">
        <x:f>I96-K96</x:f>
        <x:v>14747.04</x:v>
      </x:c>
    </x:row>
    <x:row r="97" ht="23" customHeight="1">
      <x:c r="A97" s="34" t="str">
        <x:v>0002</x:v>
      </x:c>
      <x:c r="B97" s="7" t="str">
        <x:v>North</x:v>
      </x:c>
      <x:c r="C97" s="14" t="d">
        <x:v>2026-09-01T00:00:00.000Z</x:v>
      </x:c>
      <x:c r="D97" s="27" t="n">
        <x:f>'Assumptions'!D83</x:f>
        <x:v>215</x:v>
      </x:c>
      <x:c r="E97" s="28" t="n">
        <x:f>INDEX('Assumptions'!$C$12:$N$12,1,MONTH(C97))</x:f>
        <x:v>0.03</x:v>
      </x:c>
      <x:c r="F97" s="27" t="n">
        <x:f>ROUND(D97*INDEX('Assumptions'!$C$8:$N$8,1,MONTH(C97))*(1-'Products'!E6*E97),0)</x:f>
        <x:v>211</x:v>
      </x:c>
      <x:c r="G97" s="27" t="n">
        <x:f>F97*SUMIFS('Inventory'!$L$5:$L$100,'Inventory'!$A$5:$A$100,A97,'Inventory'!$B$5:$B$100,C97)</x:f>
        <x:v>211</x:v>
      </x:c>
      <x:c r="H97" s="27" t="n">
        <x:f>'Assumptions'!E83*(1+E97)</x:f>
        <x:v>185.4</x:v>
      </x:c>
      <x:c r="I97" s="27" t="n">
        <x:f>G97*H97</x:f>
        <x:v>39119.4</x:v>
      </x:c>
      <x:c r="J97" s="27" t="n">
        <x:f>'Products'!D6*INDEX('Assumptions'!$C$16:$N$16,1,MONTH(C97))</x:f>
        <x:v>110.16</x:v>
      </x:c>
      <x:c r="K97" s="27" t="n">
        <x:f>G97*J97</x:f>
        <x:v>23243.76</x:v>
      </x:c>
      <x:c r="L97" s="27" t="n">
        <x:f>I97-K97</x:f>
        <x:v>15875.640000000003</x:v>
      </x:c>
    </x:row>
    <x:row r="98" ht="23" customHeight="1">
      <x:c r="A98" s="34" t="str">
        <x:v>0002</x:v>
      </x:c>
      <x:c r="B98" s="7" t="str">
        <x:v>North</x:v>
      </x:c>
      <x:c r="C98" s="14" t="d">
        <x:v>2026-10-01T00:00:00.000Z</x:v>
      </x:c>
      <x:c r="D98" s="27" t="n">
        <x:f>'Assumptions'!D84</x:f>
        <x:v>230</x:v>
      </x:c>
      <x:c r="E98" s="28" t="n">
        <x:f>INDEX('Assumptions'!$C$12:$N$12,1,MONTH(C98))</x:f>
        <x:v>0.03</x:v>
      </x:c>
      <x:c r="F98" s="27" t="n">
        <x:f>ROUND(D98*INDEX('Assumptions'!$C$8:$N$8,1,MONTH(C98))*(1-'Products'!E6*E98),0)</x:f>
        <x:v>225</x:v>
      </x:c>
      <x:c r="G98" s="27" t="n">
        <x:f>F98*SUMIFS('Inventory'!$L$5:$L$100,'Inventory'!$A$5:$A$100,A98,'Inventory'!$B$5:$B$100,C98)</x:f>
        <x:v>129.69314079422384</x:v>
      </x:c>
      <x:c r="H98" s="27" t="n">
        <x:f>'Assumptions'!E84*(1+E98)</x:f>
        <x:v>185.4</x:v>
      </x:c>
      <x:c r="I98" s="27" t="n">
        <x:f>G98*H98</x:f>
        <x:v>24045.1083032491</x:v>
      </x:c>
      <x:c r="J98" s="27" t="n">
        <x:f>'Products'!D6*INDEX('Assumptions'!$C$16:$N$16,1,MONTH(C98))</x:f>
        <x:v>110.16</x:v>
      </x:c>
      <x:c r="K98" s="27" t="n">
        <x:f>G98*J98</x:f>
        <x:v>14286.996389891698</x:v>
      </x:c>
      <x:c r="L98" s="27" t="n">
        <x:f>I98-K98</x:f>
        <x:v>9758.111913357403</x:v>
      </x:c>
    </x:row>
    <x:row r="99" ht="23" customHeight="1">
      <x:c r="A99" s="34" t="str">
        <x:v>0002</x:v>
      </x:c>
      <x:c r="B99" s="7" t="str">
        <x:v>North</x:v>
      </x:c>
      <x:c r="C99" s="14" t="d">
        <x:v>2026-11-01T00:00:00.000Z</x:v>
      </x:c>
      <x:c r="D99" s="27" t="n">
        <x:f>'Assumptions'!D85</x:f>
        <x:v>245</x:v>
      </x:c>
      <x:c r="E99" s="28" t="n">
        <x:f>INDEX('Assumptions'!$C$12:$N$12,1,MONTH(C99))</x:f>
        <x:v>0.03</x:v>
      </x:c>
      <x:c r="F99" s="27" t="n">
        <x:f>ROUND(D99*INDEX('Assumptions'!$C$8:$N$8,1,MONTH(C99))*(1-'Products'!E6*E99),0)</x:f>
        <x:v>240</x:v>
      </x:c>
      <x:c r="G99" s="27" t="n">
        <x:f>F99*SUMIFS('Inventory'!$L$5:$L$100,'Inventory'!$A$5:$A$100,A99,'Inventory'!$B$5:$B$100,C99)</x:f>
        <x:v>110.02247191011236</x:v>
      </x:c>
      <x:c r="H99" s="27" t="n">
        <x:f>'Assumptions'!E85*(1+E99)</x:f>
        <x:v>185.4</x:v>
      </x:c>
      <x:c r="I99" s="27" t="n">
        <x:f>G99*H99</x:f>
        <x:v>20398.166292134832</x:v>
      </x:c>
      <x:c r="J99" s="27" t="n">
        <x:f>'Products'!D6*INDEX('Assumptions'!$C$16:$N$16,1,MONTH(C99))</x:f>
        <x:v>110.16</x:v>
      </x:c>
      <x:c r="K99" s="27" t="n">
        <x:f>G99*J99</x:f>
        <x:v>12120.075505617977</x:v>
      </x:c>
      <x:c r="L99" s="27" t="n">
        <x:f>I99-K99</x:f>
        <x:v>8278.090786516856</x:v>
      </x:c>
    </x:row>
    <x:row r="100" ht="23" customHeight="1">
      <x:c r="A100" s="34" t="str">
        <x:v>0002</x:v>
      </x:c>
      <x:c r="B100" s="7" t="str">
        <x:v>North</x:v>
      </x:c>
      <x:c r="C100" s="14" t="d">
        <x:v>2026-12-01T00:00:00.000Z</x:v>
      </x:c>
      <x:c r="D100" s="27" t="n">
        <x:f>'Assumptions'!D86</x:f>
        <x:v>260</x:v>
      </x:c>
      <x:c r="E100" s="28" t="n">
        <x:f>INDEX('Assumptions'!$C$12:$N$12,1,MONTH(C100))</x:f>
        <x:v>0.03</x:v>
      </x:c>
      <x:c r="F100" s="27" t="n">
        <x:f>ROUND(D100*INDEX('Assumptions'!$C$8:$N$8,1,MONTH(C100))*(1-'Products'!E6*E100),0)</x:f>
        <x:v>255</x:v>
      </x:c>
      <x:c r="G100" s="27" t="n">
        <x:f>F100*SUMIFS('Inventory'!$L$5:$L$100,'Inventory'!$A$5:$A$100,A100,'Inventory'!$B$5:$B$100,C100)</x:f>
        <x:v>109.74683544303798</x:v>
      </x:c>
      <x:c r="H100" s="27" t="n">
        <x:f>'Assumptions'!E86*(1+E100)</x:f>
        <x:v>185.4</x:v>
      </x:c>
      <x:c r="I100" s="27" t="n">
        <x:f>G100*H100</x:f>
        <x:v>20347.063291139242</x:v>
      </x:c>
      <x:c r="J100" s="27" t="n">
        <x:f>'Products'!D6*INDEX('Assumptions'!$C$16:$N$16,1,MONTH(C100))</x:f>
        <x:v>110.16</x:v>
      </x:c>
      <x:c r="K100" s="27" t="n">
        <x:f>G100*J100</x:f>
        <x:v>12089.711392405063</x:v>
      </x:c>
      <x:c r="L100" s="27" t="n">
        <x:f>I100-K100</x:f>
        <x:v>8257.35189873418</x:v>
      </x:c>
    </x:row>
    <x:row r="101" ht="23" customHeight="1">
      <x:c r="A101" s="34" t="str">
        <x:v>0003</x:v>
      </x:c>
      <x:c r="B101" s="7" t="str">
        <x:v>Central</x:v>
      </x:c>
      <x:c r="C101" s="14" t="d">
        <x:v>2026-01-01T00:00:00.000Z</x:v>
      </x:c>
      <x:c r="D101" s="27" t="n">
        <x:f>SUMIFS('Orders'!$F$5:$F$3004,'Orders'!$D$5:$D$3004,A101,'Orders'!$E$5:$E$3004,B101,'Orders'!$C$5:$C$3004,C101)</x:f>
        <x:v>57</x:v>
      </x:c>
      <x:c r="E101" s="28" t="n">
        <x:f>0</x:f>
        <x:v>0</x:v>
      </x:c>
      <x:c r="F101" s="27" t="n">
        <x:f>D101</x:f>
        <x:v>57</x:v>
      </x:c>
      <x:c r="G101" s="27" t="n">
        <x:f>F101</x:f>
        <x:v>57</x:v>
      </x:c>
      <x:c r="H101" s="27" t="n">
        <x:f>IF(F101=0,0,I101/F101)</x:f>
        <x:v>190</x:v>
      </x:c>
      <x:c r="I101" s="27" t="n">
        <x:f>SUMIFS('Orders'!$I$5:$I$3004,'Orders'!$D$5:$D$3004,A101,'Orders'!$E$5:$E$3004,B101,'Orders'!$C$5:$C$3004,C101)</x:f>
        <x:v>10830</x:v>
      </x:c>
      <x:c r="J101" s="27" t="n">
        <x:f>'Products'!D7*INDEX('Assumptions'!$C$16:$N$16,1,MONTH(C101))</x:f>
        <x:v>121</x:v>
      </x:c>
      <x:c r="K101" s="27" t="n">
        <x:f>G101*J101</x:f>
        <x:v>6897</x:v>
      </x:c>
      <x:c r="L101" s="27" t="n">
        <x:f>I101-K101</x:f>
        <x:v>3933</x:v>
      </x:c>
    </x:row>
    <x:row r="102" ht="23" customHeight="1">
      <x:c r="A102" s="34" t="str">
        <x:v>0003</x:v>
      </x:c>
      <x:c r="B102" s="7" t="str">
        <x:v>Central</x:v>
      </x:c>
      <x:c r="C102" s="14" t="d">
        <x:v>2026-02-01T00:00:00.000Z</x:v>
      </x:c>
      <x:c r="D102" s="27" t="n">
        <x:f>SUMIFS('Orders'!$F$5:$F$3004,'Orders'!$D$5:$D$3004,A102,'Orders'!$E$5:$E$3004,B102,'Orders'!$C$5:$C$3004,C102)</x:f>
        <x:v>71</x:v>
      </x:c>
      <x:c r="E102" s="28" t="n">
        <x:f>0</x:f>
        <x:v>0</x:v>
      </x:c>
      <x:c r="F102" s="27" t="n">
        <x:f>D102</x:f>
        <x:v>71</x:v>
      </x:c>
      <x:c r="G102" s="27" t="n">
        <x:f>F102</x:f>
        <x:v>71</x:v>
      </x:c>
      <x:c r="H102" s="27" t="n">
        <x:f>IF(F102=0,0,I102/F102)</x:f>
        <x:v>196</x:v>
      </x:c>
      <x:c r="I102" s="27" t="n">
        <x:f>SUMIFS('Orders'!$I$5:$I$3004,'Orders'!$D$5:$D$3004,A102,'Orders'!$E$5:$E$3004,B102,'Orders'!$C$5:$C$3004,C102)</x:f>
        <x:v>13916</x:v>
      </x:c>
      <x:c r="J102" s="27" t="n">
        <x:f>'Products'!D7*INDEX('Assumptions'!$C$16:$N$16,1,MONTH(C102))</x:f>
        <x:v>121</x:v>
      </x:c>
      <x:c r="K102" s="27" t="n">
        <x:f>G102*J102</x:f>
        <x:v>8591</x:v>
      </x:c>
      <x:c r="L102" s="27" t="n">
        <x:f>I102-K102</x:f>
        <x:v>5325</x:v>
      </x:c>
    </x:row>
    <x:row r="103" ht="23" customHeight="1">
      <x:c r="A103" s="34" t="str">
        <x:v>0003</x:v>
      </x:c>
      <x:c r="B103" s="7" t="str">
        <x:v>Central</x:v>
      </x:c>
      <x:c r="C103" s="14" t="d">
        <x:v>2026-03-01T00:00:00.000Z</x:v>
      </x:c>
      <x:c r="D103" s="27" t="n">
        <x:f>SUMIFS('Orders'!$F$5:$F$3004,'Orders'!$D$5:$D$3004,A103,'Orders'!$E$5:$E$3004,B103,'Orders'!$C$5:$C$3004,C103)</x:f>
        <x:v>57</x:v>
      </x:c>
      <x:c r="E103" s="28" t="n">
        <x:f>0</x:f>
        <x:v>0</x:v>
      </x:c>
      <x:c r="F103" s="27" t="n">
        <x:f>D103</x:f>
        <x:v>57</x:v>
      </x:c>
      <x:c r="G103" s="27" t="n">
        <x:f>F103</x:f>
        <x:v>57</x:v>
      </x:c>
      <x:c r="H103" s="27" t="n">
        <x:f>IF(F103=0,0,I103/F103)</x:f>
        <x:v>200</x:v>
      </x:c>
      <x:c r="I103" s="27" t="n">
        <x:f>SUMIFS('Orders'!$I$5:$I$3004,'Orders'!$D$5:$D$3004,A103,'Orders'!$E$5:$E$3004,B103,'Orders'!$C$5:$C$3004,C103)</x:f>
        <x:v>11400</x:v>
      </x:c>
      <x:c r="J103" s="27" t="n">
        <x:f>'Products'!D7*INDEX('Assumptions'!$C$16:$N$16,1,MONTH(C103))</x:f>
        <x:v>121</x:v>
      </x:c>
      <x:c r="K103" s="27" t="n">
        <x:f>G103*J103</x:f>
        <x:v>6897</x:v>
      </x:c>
      <x:c r="L103" s="27" t="n">
        <x:f>I103-K103</x:f>
        <x:v>4503</x:v>
      </x:c>
    </x:row>
    <x:row r="104" ht="23" customHeight="1">
      <x:c r="A104" s="34" t="str">
        <x:v>0003</x:v>
      </x:c>
      <x:c r="B104" s="7" t="str">
        <x:v>Central</x:v>
      </x:c>
      <x:c r="C104" s="14" t="d">
        <x:v>2026-04-01T00:00:00.000Z</x:v>
      </x:c>
      <x:c r="D104" s="27" t="n">
        <x:f>SUMIFS('Orders'!$F$5:$F$3004,'Orders'!$D$5:$D$3004,A104,'Orders'!$E$5:$E$3004,B104,'Orders'!$C$5:$C$3004,C104)</x:f>
        <x:v>63</x:v>
      </x:c>
      <x:c r="E104" s="28" t="n">
        <x:f>0</x:f>
        <x:v>0</x:v>
      </x:c>
      <x:c r="F104" s="27" t="n">
        <x:f>D104</x:f>
        <x:v>63</x:v>
      </x:c>
      <x:c r="G104" s="27" t="n">
        <x:f>F104</x:f>
        <x:v>63</x:v>
      </x:c>
      <x:c r="H104" s="27" t="n">
        <x:f>IF(F104=0,0,I104/F104)</x:f>
        <x:v>190</x:v>
      </x:c>
      <x:c r="I104" s="27" t="n">
        <x:f>SUMIFS('Orders'!$I$5:$I$3004,'Orders'!$D$5:$D$3004,A104,'Orders'!$E$5:$E$3004,B104,'Orders'!$C$5:$C$3004,C104)</x:f>
        <x:v>11970</x:v>
      </x:c>
      <x:c r="J104" s="27" t="n">
        <x:f>'Products'!D7*INDEX('Assumptions'!$C$16:$N$16,1,MONTH(C104))</x:f>
        <x:v>121</x:v>
      </x:c>
      <x:c r="K104" s="27" t="n">
        <x:f>G104*J104</x:f>
        <x:v>7623</x:v>
      </x:c>
      <x:c r="L104" s="27" t="n">
        <x:f>I104-K104</x:f>
        <x:v>4347</x:v>
      </x:c>
    </x:row>
    <x:row r="105" ht="23" customHeight="1">
      <x:c r="A105" s="34" t="str">
        <x:v>0003</x:v>
      </x:c>
      <x:c r="B105" s="7" t="str">
        <x:v>Central</x:v>
      </x:c>
      <x:c r="C105" s="14" t="d">
        <x:v>2026-05-01T00:00:00.000Z</x:v>
      </x:c>
      <x:c r="D105" s="27" t="n">
        <x:f>SUMIFS('Orders'!$F$5:$F$3004,'Orders'!$D$5:$D$3004,A105,'Orders'!$E$5:$E$3004,B105,'Orders'!$C$5:$C$3004,C105)</x:f>
        <x:v>47</x:v>
      </x:c>
      <x:c r="E105" s="28" t="n">
        <x:f>0</x:f>
        <x:v>0</x:v>
      </x:c>
      <x:c r="F105" s="27" t="n">
        <x:f>D105</x:f>
        <x:v>47</x:v>
      </x:c>
      <x:c r="G105" s="27" t="n">
        <x:f>F105</x:f>
        <x:v>47</x:v>
      </x:c>
      <x:c r="H105" s="27" t="n">
        <x:f>IF(F105=0,0,I105/F105)</x:f>
        <x:v>196</x:v>
      </x:c>
      <x:c r="I105" s="27" t="n">
        <x:f>SUMIFS('Orders'!$I$5:$I$3004,'Orders'!$D$5:$D$3004,A105,'Orders'!$E$5:$E$3004,B105,'Orders'!$C$5:$C$3004,C105)</x:f>
        <x:v>9212</x:v>
      </x:c>
      <x:c r="J105" s="27" t="n">
        <x:f>'Products'!D7*INDEX('Assumptions'!$C$16:$N$16,1,MONTH(C105))</x:f>
        <x:v>121</x:v>
      </x:c>
      <x:c r="K105" s="27" t="n">
        <x:f>G105*J105</x:f>
        <x:v>5687</x:v>
      </x:c>
      <x:c r="L105" s="27" t="n">
        <x:f>I105-K105</x:f>
        <x:v>3525</x:v>
      </x:c>
    </x:row>
    <x:row r="106" ht="23" customHeight="1">
      <x:c r="A106" s="34" t="str">
        <x:v>0003</x:v>
      </x:c>
      <x:c r="B106" s="7" t="str">
        <x:v>Central</x:v>
      </x:c>
      <x:c r="C106" s="14" t="d">
        <x:v>2026-06-01T00:00:00.000Z</x:v>
      </x:c>
      <x:c r="D106" s="27" t="n">
        <x:f>SUMIFS('Orders'!$F$5:$F$3004,'Orders'!$D$5:$D$3004,A106,'Orders'!$E$5:$E$3004,B106,'Orders'!$C$5:$C$3004,C106)</x:f>
        <x:v>50</x:v>
      </x:c>
      <x:c r="E106" s="28" t="n">
        <x:f>0</x:f>
        <x:v>0</x:v>
      </x:c>
      <x:c r="F106" s="27" t="n">
        <x:f>D106</x:f>
        <x:v>50</x:v>
      </x:c>
      <x:c r="G106" s="27" t="n">
        <x:f>F106</x:f>
        <x:v>50</x:v>
      </x:c>
      <x:c r="H106" s="27" t="n">
        <x:f>IF(F106=0,0,I106/F106)</x:f>
        <x:v>200</x:v>
      </x:c>
      <x:c r="I106" s="27" t="n">
        <x:f>SUMIFS('Orders'!$I$5:$I$3004,'Orders'!$D$5:$D$3004,A106,'Orders'!$E$5:$E$3004,B106,'Orders'!$C$5:$C$3004,C106)</x:f>
        <x:v>10000</x:v>
      </x:c>
      <x:c r="J106" s="27" t="n">
        <x:f>'Products'!D7*INDEX('Assumptions'!$C$16:$N$16,1,MONTH(C106))</x:f>
        <x:v>121</x:v>
      </x:c>
      <x:c r="K106" s="27" t="n">
        <x:f>G106*J106</x:f>
        <x:v>6050</x:v>
      </x:c>
      <x:c r="L106" s="27" t="n">
        <x:f>I106-K106</x:f>
        <x:v>3950</x:v>
      </x:c>
    </x:row>
    <x:row r="107" ht="23" customHeight="1">
      <x:c r="A107" s="34" t="str">
        <x:v>0003</x:v>
      </x:c>
      <x:c r="B107" s="7" t="str">
        <x:v>Central</x:v>
      </x:c>
      <x:c r="C107" s="14" t="d">
        <x:v>2026-07-01T00:00:00.000Z</x:v>
      </x:c>
      <x:c r="D107" s="27" t="n">
        <x:f>'Assumptions'!D87</x:f>
        <x:v>158</x:v>
      </x:c>
      <x:c r="E107" s="28" t="n">
        <x:f>INDEX('Assumptions'!$C$12:$N$12,1,MONTH(C107))</x:f>
        <x:v>0.03</x:v>
      </x:c>
      <x:c r="F107" s="27" t="n">
        <x:f>ROUND(D107*INDEX('Assumptions'!$C$8:$N$8,1,MONTH(C107))*(1-'Products'!E7*E107),0)</x:f>
        <x:v>154</x:v>
      </x:c>
      <x:c r="G107" s="27" t="n">
        <x:f>F107*SUMIFS('Inventory'!$L$5:$L$100,'Inventory'!$A$5:$A$100,A107,'Inventory'!$B$5:$B$100,C107)</x:f>
        <x:v>154</x:v>
      </x:c>
      <x:c r="H107" s="27" t="n">
        <x:f>'Assumptions'!E87*(1+E107)</x:f>
        <x:v>206</x:v>
      </x:c>
      <x:c r="I107" s="27" t="n">
        <x:f>G107*H107</x:f>
        <x:v>31724</x:v>
      </x:c>
      <x:c r="J107" s="27" t="n">
        <x:f>'Products'!D7*INDEX('Assumptions'!$C$16:$N$16,1,MONTH(C107))</x:f>
        <x:v>123.42</x:v>
      </x:c>
      <x:c r="K107" s="27" t="n">
        <x:f>G107*J107</x:f>
        <x:v>19006.68</x:v>
      </x:c>
      <x:c r="L107" s="27" t="n">
        <x:f>I107-K107</x:f>
        <x:v>12717.32</x:v>
      </x:c>
    </x:row>
    <x:row r="108" ht="23" customHeight="1">
      <x:c r="A108" s="34" t="str">
        <x:v>0003</x:v>
      </x:c>
      <x:c r="B108" s="7" t="str">
        <x:v>Central</x:v>
      </x:c>
      <x:c r="C108" s="14" t="d">
        <x:v>2026-08-01T00:00:00.000Z</x:v>
      </x:c>
      <x:c r="D108" s="27" t="n">
        <x:f>'Assumptions'!D88</x:f>
        <x:v>173</x:v>
      </x:c>
      <x:c r="E108" s="28" t="n">
        <x:f>INDEX('Assumptions'!$C$12:$N$12,1,MONTH(C108))</x:f>
        <x:v>0.03</x:v>
      </x:c>
      <x:c r="F108" s="27" t="n">
        <x:f>ROUND(D108*INDEX('Assumptions'!$C$8:$N$8,1,MONTH(C108))*(1-'Products'!E7*E108),0)</x:f>
        <x:v>169</x:v>
      </x:c>
      <x:c r="G108" s="27" t="n">
        <x:f>F108*SUMIFS('Inventory'!$L$5:$L$100,'Inventory'!$A$5:$A$100,A108,'Inventory'!$B$5:$B$100,C108)</x:f>
        <x:v>169</x:v>
      </x:c>
      <x:c r="H108" s="27" t="n">
        <x:f>'Assumptions'!E88*(1+E108)</x:f>
        <x:v>206</x:v>
      </x:c>
      <x:c r="I108" s="27" t="n">
        <x:f>G108*H108</x:f>
        <x:v>34814</x:v>
      </x:c>
      <x:c r="J108" s="27" t="n">
        <x:f>'Products'!D7*INDEX('Assumptions'!$C$16:$N$16,1,MONTH(C108))</x:f>
        <x:v>123.42</x:v>
      </x:c>
      <x:c r="K108" s="27" t="n">
        <x:f>G108*J108</x:f>
        <x:v>20857.98</x:v>
      </x:c>
      <x:c r="L108" s="27" t="n">
        <x:f>I108-K108</x:f>
        <x:v>13956.02</x:v>
      </x:c>
    </x:row>
    <x:row r="109" ht="23" customHeight="1">
      <x:c r="A109" s="34" t="str">
        <x:v>0003</x:v>
      </x:c>
      <x:c r="B109" s="7" t="str">
        <x:v>Central</x:v>
      </x:c>
      <x:c r="C109" s="14" t="d">
        <x:v>2026-09-01T00:00:00.000Z</x:v>
      </x:c>
      <x:c r="D109" s="27" t="n">
        <x:f>'Assumptions'!D89</x:f>
        <x:v>188</x:v>
      </x:c>
      <x:c r="E109" s="28" t="n">
        <x:f>INDEX('Assumptions'!$C$12:$N$12,1,MONTH(C109))</x:f>
        <x:v>0.03</x:v>
      </x:c>
      <x:c r="F109" s="27" t="n">
        <x:f>ROUND(D109*INDEX('Assumptions'!$C$8:$N$8,1,MONTH(C109))*(1-'Products'!E7*E109),0)</x:f>
        <x:v>184</x:v>
      </x:c>
      <x:c r="G109" s="27" t="n">
        <x:f>F109*SUMIFS('Inventory'!$L$5:$L$100,'Inventory'!$A$5:$A$100,A109,'Inventory'!$B$5:$B$100,C109)</x:f>
        <x:v>184</x:v>
      </x:c>
      <x:c r="H109" s="27" t="n">
        <x:f>'Assumptions'!E89*(1+E109)</x:f>
        <x:v>206</x:v>
      </x:c>
      <x:c r="I109" s="27" t="n">
        <x:f>G109*H109</x:f>
        <x:v>37904</x:v>
      </x:c>
      <x:c r="J109" s="27" t="n">
        <x:f>'Products'!D7*INDEX('Assumptions'!$C$16:$N$16,1,MONTH(C109))</x:f>
        <x:v>123.42</x:v>
      </x:c>
      <x:c r="K109" s="27" t="n">
        <x:f>G109*J109</x:f>
        <x:v>22709.28</x:v>
      </x:c>
      <x:c r="L109" s="27" t="n">
        <x:f>I109-K109</x:f>
        <x:v>15194.720000000001</x:v>
      </x:c>
    </x:row>
    <x:row r="110" ht="23" customHeight="1">
      <x:c r="A110" s="34" t="str">
        <x:v>0003</x:v>
      </x:c>
      <x:c r="B110" s="7" t="str">
        <x:v>Central</x:v>
      </x:c>
      <x:c r="C110" s="14" t="d">
        <x:v>2026-10-01T00:00:00.000Z</x:v>
      </x:c>
      <x:c r="D110" s="27" t="n">
        <x:f>'Assumptions'!D90</x:f>
        <x:v>203</x:v>
      </x:c>
      <x:c r="E110" s="28" t="n">
        <x:f>INDEX('Assumptions'!$C$12:$N$12,1,MONTH(C110))</x:f>
        <x:v>0.03</x:v>
      </x:c>
      <x:c r="F110" s="27" t="n">
        <x:f>ROUND(D110*INDEX('Assumptions'!$C$8:$N$8,1,MONTH(C110))*(1-'Products'!E7*E110),0)</x:f>
        <x:v>198</x:v>
      </x:c>
      <x:c r="G110" s="27" t="n">
        <x:f>F110*SUMIFS('Inventory'!$L$5:$L$100,'Inventory'!$A$5:$A$100,A110,'Inventory'!$B$5:$B$100,C110)</x:f>
        <x:v>115.04166666666666</x:v>
      </x:c>
      <x:c r="H110" s="27" t="n">
        <x:f>'Assumptions'!E90*(1+E110)</x:f>
        <x:v>206</x:v>
      </x:c>
      <x:c r="I110" s="27" t="n">
        <x:f>G110*H110</x:f>
        <x:v>23698.583333333332</x:v>
      </x:c>
      <x:c r="J110" s="27" t="n">
        <x:f>'Products'!D7*INDEX('Assumptions'!$C$16:$N$16,1,MONTH(C110))</x:f>
        <x:v>123.42</x:v>
      </x:c>
      <x:c r="K110" s="27" t="n">
        <x:f>G110*J110</x:f>
        <x:v>14198.4425</x:v>
      </x:c>
      <x:c r="L110" s="27" t="n">
        <x:f>I110-K110</x:f>
        <x:v>9500.140833333333</x:v>
      </x:c>
    </x:row>
    <x:row r="111" ht="23" customHeight="1">
      <x:c r="A111" s="34" t="str">
        <x:v>0003</x:v>
      </x:c>
      <x:c r="B111" s="7" t="str">
        <x:v>Central</x:v>
      </x:c>
      <x:c r="C111" s="14" t="d">
        <x:v>2026-11-01T00:00:00.000Z</x:v>
      </x:c>
      <x:c r="D111" s="27" t="n">
        <x:f>'Assumptions'!D91</x:f>
        <x:v>218</x:v>
      </x:c>
      <x:c r="E111" s="28" t="n">
        <x:f>INDEX('Assumptions'!$C$12:$N$12,1,MONTH(C111))</x:f>
        <x:v>0.03</x:v>
      </x:c>
      <x:c r="F111" s="27" t="n">
        <x:f>ROUND(D111*INDEX('Assumptions'!$C$8:$N$8,1,MONTH(C111))*(1-'Products'!E7*E111),0)</x:f>
        <x:v>213</x:v>
      </x:c>
      <x:c r="G111" s="27" t="n">
        <x:f>F111*SUMIFS('Inventory'!$L$5:$L$100,'Inventory'!$A$5:$A$100,A111,'Inventory'!$B$5:$B$100,C111)</x:f>
        <x:v>98.3076923076923</x:v>
      </x:c>
      <x:c r="H111" s="27" t="n">
        <x:f>'Assumptions'!E91*(1+E111)</x:f>
        <x:v>206</x:v>
      </x:c>
      <x:c r="I111" s="27" t="n">
        <x:f>G111*H111</x:f>
        <x:v>20251.384615384613</x:v>
      </x:c>
      <x:c r="J111" s="27" t="n">
        <x:f>'Products'!D7*INDEX('Assumptions'!$C$16:$N$16,1,MONTH(C111))</x:f>
        <x:v>123.42</x:v>
      </x:c>
      <x:c r="K111" s="27" t="n">
        <x:f>G111*J111</x:f>
        <x:v>12133.135384615385</x:v>
      </x:c>
      <x:c r="L111" s="27" t="n">
        <x:f>I111-K111</x:f>
        <x:v>8118.249230769228</x:v>
      </x:c>
    </x:row>
    <x:row r="112" ht="23" customHeight="1">
      <x:c r="A112" s="34" t="str">
        <x:v>0003</x:v>
      </x:c>
      <x:c r="B112" s="7" t="str">
        <x:v>Central</x:v>
      </x:c>
      <x:c r="C112" s="14" t="d">
        <x:v>2026-12-01T00:00:00.000Z</x:v>
      </x:c>
      <x:c r="D112" s="27" t="n">
        <x:f>'Assumptions'!D92</x:f>
        <x:v>233</x:v>
      </x:c>
      <x:c r="E112" s="28" t="n">
        <x:f>INDEX('Assumptions'!$C$12:$N$12,1,MONTH(C112))</x:f>
        <x:v>0.03</x:v>
      </x:c>
      <x:c r="F112" s="27" t="n">
        <x:f>ROUND(D112*INDEX('Assumptions'!$C$8:$N$8,1,MONTH(C112))*(1-'Products'!E7*E112),0)</x:f>
        <x:v>228</x:v>
      </x:c>
      <x:c r="G112" s="27" t="n">
        <x:f>F112*SUMIFS('Inventory'!$L$5:$L$100,'Inventory'!$A$5:$A$100,A112,'Inventory'!$B$5:$B$100,C112)</x:f>
        <x:v>98.90835030549898</x:v>
      </x:c>
      <x:c r="H112" s="27" t="n">
        <x:f>'Assumptions'!E92*(1+E112)</x:f>
        <x:v>206</x:v>
      </x:c>
      <x:c r="I112" s="27" t="n">
        <x:f>G112*H112</x:f>
        <x:v>20375.12016293279</x:v>
      </x:c>
      <x:c r="J112" s="27" t="n">
        <x:f>'Products'!D7*INDEX('Assumptions'!$C$16:$N$16,1,MONTH(C112))</x:f>
        <x:v>123.42</x:v>
      </x:c>
      <x:c r="K112" s="27" t="n">
        <x:f>G112*J112</x:f>
        <x:v>12207.268594704685</x:v>
      </x:c>
      <x:c r="L112" s="27" t="n">
        <x:f>I112-K112</x:f>
        <x:v>8167.851568228107</x:v>
      </x:c>
    </x:row>
    <x:row r="113" ht="23" customHeight="1">
      <x:c r="A113" s="34" t="str">
        <x:v>0003</x:v>
      </x:c>
      <x:c r="B113" s="7" t="str">
        <x:v>East</x:v>
      </x:c>
      <x:c r="C113" s="14" t="d">
        <x:v>2026-01-01T00:00:00.000Z</x:v>
      </x:c>
      <x:c r="D113" s="27" t="n">
        <x:f>SUMIFS('Orders'!$F$5:$F$3004,'Orders'!$D$5:$D$3004,A113,'Orders'!$E$5:$E$3004,B113,'Orders'!$C$5:$C$3004,C113)</x:f>
        <x:v>59</x:v>
      </x:c>
      <x:c r="E113" s="28" t="n">
        <x:f>0</x:f>
        <x:v>0</x:v>
      </x:c>
      <x:c r="F113" s="27" t="n">
        <x:f>D113</x:f>
        <x:v>59</x:v>
      </x:c>
      <x:c r="G113" s="27" t="n">
        <x:f>F113</x:f>
        <x:v>59</x:v>
      </x:c>
      <x:c r="H113" s="27" t="n">
        <x:f>IF(F113=0,0,I113/F113)</x:f>
        <x:v>196</x:v>
      </x:c>
      <x:c r="I113" s="27" t="n">
        <x:f>SUMIFS('Orders'!$I$5:$I$3004,'Orders'!$D$5:$D$3004,A113,'Orders'!$E$5:$E$3004,B113,'Orders'!$C$5:$C$3004,C113)</x:f>
        <x:v>11564</x:v>
      </x:c>
      <x:c r="J113" s="27" t="n">
        <x:f>'Products'!D7*INDEX('Assumptions'!$C$16:$N$16,1,MONTH(C113))</x:f>
        <x:v>121</x:v>
      </x:c>
      <x:c r="K113" s="27" t="n">
        <x:f>G113*J113</x:f>
        <x:v>7139</x:v>
      </x:c>
      <x:c r="L113" s="27" t="n">
        <x:f>I113-K113</x:f>
        <x:v>4425</x:v>
      </x:c>
    </x:row>
    <x:row r="114" ht="23" customHeight="1">
      <x:c r="A114" s="34" t="str">
        <x:v>0003</x:v>
      </x:c>
      <x:c r="B114" s="7" t="str">
        <x:v>East</x:v>
      </x:c>
      <x:c r="C114" s="14" t="d">
        <x:v>2026-02-01T00:00:00.000Z</x:v>
      </x:c>
      <x:c r="D114" s="27" t="n">
        <x:f>SUMIFS('Orders'!$F$5:$F$3004,'Orders'!$D$5:$D$3004,A114,'Orders'!$E$5:$E$3004,B114,'Orders'!$C$5:$C$3004,C114)</x:f>
        <x:v>48</x:v>
      </x:c>
      <x:c r="E114" s="28" t="n">
        <x:f>0</x:f>
        <x:v>0</x:v>
      </x:c>
      <x:c r="F114" s="27" t="n">
        <x:f>D114</x:f>
        <x:v>48</x:v>
      </x:c>
      <x:c r="G114" s="27" t="n">
        <x:f>F114</x:f>
        <x:v>48</x:v>
      </x:c>
      <x:c r="H114" s="27" t="n">
        <x:f>IF(F114=0,0,I114/F114)</x:f>
        <x:v>200</x:v>
      </x:c>
      <x:c r="I114" s="27" t="n">
        <x:f>SUMIFS('Orders'!$I$5:$I$3004,'Orders'!$D$5:$D$3004,A114,'Orders'!$E$5:$E$3004,B114,'Orders'!$C$5:$C$3004,C114)</x:f>
        <x:v>9600</x:v>
      </x:c>
      <x:c r="J114" s="27" t="n">
        <x:f>'Products'!D7*INDEX('Assumptions'!$C$16:$N$16,1,MONTH(C114))</x:f>
        <x:v>121</x:v>
      </x:c>
      <x:c r="K114" s="27" t="n">
        <x:f>G114*J114</x:f>
        <x:v>5808</x:v>
      </x:c>
      <x:c r="L114" s="27" t="n">
        <x:f>I114-K114</x:f>
        <x:v>3792</x:v>
      </x:c>
    </x:row>
    <x:row r="115" ht="23" customHeight="1">
      <x:c r="A115" s="34" t="str">
        <x:v>0003</x:v>
      </x:c>
      <x:c r="B115" s="7" t="str">
        <x:v>East</x:v>
      </x:c>
      <x:c r="C115" s="14" t="d">
        <x:v>2026-03-01T00:00:00.000Z</x:v>
      </x:c>
      <x:c r="D115" s="27" t="n">
        <x:f>SUMIFS('Orders'!$F$5:$F$3004,'Orders'!$D$5:$D$3004,A115,'Orders'!$E$5:$E$3004,B115,'Orders'!$C$5:$C$3004,C115)</x:f>
        <x:v>53</x:v>
      </x:c>
      <x:c r="E115" s="28" t="n">
        <x:f>0</x:f>
        <x:v>0</x:v>
      </x:c>
      <x:c r="F115" s="27" t="n">
        <x:f>D115</x:f>
        <x:v>53</x:v>
      </x:c>
      <x:c r="G115" s="27" t="n">
        <x:f>F115</x:f>
        <x:v>53</x:v>
      </x:c>
      <x:c r="H115" s="27" t="n">
        <x:f>IF(F115=0,0,I115/F115)</x:f>
        <x:v>190</x:v>
      </x:c>
      <x:c r="I115" s="27" t="n">
        <x:f>SUMIFS('Orders'!$I$5:$I$3004,'Orders'!$D$5:$D$3004,A115,'Orders'!$E$5:$E$3004,B115,'Orders'!$C$5:$C$3004,C115)</x:f>
        <x:v>10070</x:v>
      </x:c>
      <x:c r="J115" s="27" t="n">
        <x:f>'Products'!D7*INDEX('Assumptions'!$C$16:$N$16,1,MONTH(C115))</x:f>
        <x:v>121</x:v>
      </x:c>
      <x:c r="K115" s="27" t="n">
        <x:f>G115*J115</x:f>
        <x:v>6413</x:v>
      </x:c>
      <x:c r="L115" s="27" t="n">
        <x:f>I115-K115</x:f>
        <x:v>3657</x:v>
      </x:c>
    </x:row>
    <x:row r="116" ht="23" customHeight="1">
      <x:c r="A116" s="34" t="str">
        <x:v>0003</x:v>
      </x:c>
      <x:c r="B116" s="7" t="str">
        <x:v>East</x:v>
      </x:c>
      <x:c r="C116" s="14" t="d">
        <x:v>2026-04-01T00:00:00.000Z</x:v>
      </x:c>
      <x:c r="D116" s="27" t="n">
        <x:f>SUMIFS('Orders'!$F$5:$F$3004,'Orders'!$D$5:$D$3004,A116,'Orders'!$E$5:$E$3004,B116,'Orders'!$C$5:$C$3004,C116)</x:f>
        <x:v>68</x:v>
      </x:c>
      <x:c r="E116" s="28" t="n">
        <x:f>0</x:f>
        <x:v>0</x:v>
      </x:c>
      <x:c r="F116" s="27" t="n">
        <x:f>D116</x:f>
        <x:v>68</x:v>
      </x:c>
      <x:c r="G116" s="27" t="n">
        <x:f>F116</x:f>
        <x:v>68</x:v>
      </x:c>
      <x:c r="H116" s="27" t="n">
        <x:f>IF(F116=0,0,I116/F116)</x:f>
        <x:v>196</x:v>
      </x:c>
      <x:c r="I116" s="27" t="n">
        <x:f>SUMIFS('Orders'!$I$5:$I$3004,'Orders'!$D$5:$D$3004,A116,'Orders'!$E$5:$E$3004,B116,'Orders'!$C$5:$C$3004,C116)</x:f>
        <x:v>13328</x:v>
      </x:c>
      <x:c r="J116" s="27" t="n">
        <x:f>'Products'!D7*INDEX('Assumptions'!$C$16:$N$16,1,MONTH(C116))</x:f>
        <x:v>121</x:v>
      </x:c>
      <x:c r="K116" s="27" t="n">
        <x:f>G116*J116</x:f>
        <x:v>8228</x:v>
      </x:c>
      <x:c r="L116" s="27" t="n">
        <x:f>I116-K116</x:f>
        <x:v>5100</x:v>
      </x:c>
    </x:row>
    <x:row r="117" ht="23" customHeight="1">
      <x:c r="A117" s="34" t="str">
        <x:v>0003</x:v>
      </x:c>
      <x:c r="B117" s="7" t="str">
        <x:v>East</x:v>
      </x:c>
      <x:c r="C117" s="14" t="d">
        <x:v>2026-05-01T00:00:00.000Z</x:v>
      </x:c>
      <x:c r="D117" s="27" t="n">
        <x:f>SUMIFS('Orders'!$F$5:$F$3004,'Orders'!$D$5:$D$3004,A117,'Orders'!$E$5:$E$3004,B117,'Orders'!$C$5:$C$3004,C117)</x:f>
        <x:v>66</x:v>
      </x:c>
      <x:c r="E117" s="28" t="n">
        <x:f>0</x:f>
        <x:v>0</x:v>
      </x:c>
      <x:c r="F117" s="27" t="n">
        <x:f>D117</x:f>
        <x:v>66</x:v>
      </x:c>
      <x:c r="G117" s="27" t="n">
        <x:f>F117</x:f>
        <x:v>66</x:v>
      </x:c>
      <x:c r="H117" s="27" t="n">
        <x:f>IF(F117=0,0,I117/F117)</x:f>
        <x:v>200</x:v>
      </x:c>
      <x:c r="I117" s="27" t="n">
        <x:f>SUMIFS('Orders'!$I$5:$I$3004,'Orders'!$D$5:$D$3004,A117,'Orders'!$E$5:$E$3004,B117,'Orders'!$C$5:$C$3004,C117)</x:f>
        <x:v>13200</x:v>
      </x:c>
      <x:c r="J117" s="27" t="n">
        <x:f>'Products'!D7*INDEX('Assumptions'!$C$16:$N$16,1,MONTH(C117))</x:f>
        <x:v>121</x:v>
      </x:c>
      <x:c r="K117" s="27" t="n">
        <x:f>G117*J117</x:f>
        <x:v>7986</x:v>
      </x:c>
      <x:c r="L117" s="27" t="n">
        <x:f>I117-K117</x:f>
        <x:v>5214</x:v>
      </x:c>
    </x:row>
    <x:row r="118" ht="23" customHeight="1">
      <x:c r="A118" s="34" t="str">
        <x:v>0003</x:v>
      </x:c>
      <x:c r="B118" s="7" t="str">
        <x:v>East</x:v>
      </x:c>
      <x:c r="C118" s="14" t="d">
        <x:v>2026-06-01T00:00:00.000Z</x:v>
      </x:c>
      <x:c r="D118" s="27" t="n">
        <x:f>SUMIFS('Orders'!$F$5:$F$3004,'Orders'!$D$5:$D$3004,A118,'Orders'!$E$5:$E$3004,B118,'Orders'!$C$5:$C$3004,C118)</x:f>
        <x:v>69</x:v>
      </x:c>
      <x:c r="E118" s="28" t="n">
        <x:f>0</x:f>
        <x:v>0</x:v>
      </x:c>
      <x:c r="F118" s="27" t="n">
        <x:f>D118</x:f>
        <x:v>69</x:v>
      </x:c>
      <x:c r="G118" s="27" t="n">
        <x:f>F118</x:f>
        <x:v>69</x:v>
      </x:c>
      <x:c r="H118" s="27" t="n">
        <x:f>IF(F118=0,0,I118/F118)</x:f>
        <x:v>190</x:v>
      </x:c>
      <x:c r="I118" s="27" t="n">
        <x:f>SUMIFS('Orders'!$I$5:$I$3004,'Orders'!$D$5:$D$3004,A118,'Orders'!$E$5:$E$3004,B118,'Orders'!$C$5:$C$3004,C118)</x:f>
        <x:v>13110</x:v>
      </x:c>
      <x:c r="J118" s="27" t="n">
        <x:f>'Products'!D7*INDEX('Assumptions'!$C$16:$N$16,1,MONTH(C118))</x:f>
        <x:v>121</x:v>
      </x:c>
      <x:c r="K118" s="27" t="n">
        <x:f>G118*J118</x:f>
        <x:v>8349</x:v>
      </x:c>
      <x:c r="L118" s="27" t="n">
        <x:f>I118-K118</x:f>
        <x:v>4761</x:v>
      </x:c>
    </x:row>
    <x:row r="119" ht="23" customHeight="1">
      <x:c r="A119" s="34" t="str">
        <x:v>0003</x:v>
      </x:c>
      <x:c r="B119" s="7" t="str">
        <x:v>East</x:v>
      </x:c>
      <x:c r="C119" s="14" t="d">
        <x:v>2026-07-01T00:00:00.000Z</x:v>
      </x:c>
      <x:c r="D119" s="27" t="n">
        <x:f>'Assumptions'!D93</x:f>
        <x:v>170</x:v>
      </x:c>
      <x:c r="E119" s="28" t="n">
        <x:f>INDEX('Assumptions'!$C$12:$N$12,1,MONTH(C119))</x:f>
        <x:v>0.03</x:v>
      </x:c>
      <x:c r="F119" s="27" t="n">
        <x:f>ROUND(D119*INDEX('Assumptions'!$C$8:$N$8,1,MONTH(C119))*(1-'Products'!E7*E119),0)</x:f>
        <x:v>166</x:v>
      </x:c>
      <x:c r="G119" s="27" t="n">
        <x:f>F119*SUMIFS('Inventory'!$L$5:$L$100,'Inventory'!$A$5:$A$100,A119,'Inventory'!$B$5:$B$100,C119)</x:f>
        <x:v>166</x:v>
      </x:c>
      <x:c r="H119" s="27" t="n">
        <x:f>'Assumptions'!E93*(1+E119)</x:f>
        <x:v>206</x:v>
      </x:c>
      <x:c r="I119" s="27" t="n">
        <x:f>G119*H119</x:f>
        <x:v>34196</x:v>
      </x:c>
      <x:c r="J119" s="27" t="n">
        <x:f>'Products'!D7*INDEX('Assumptions'!$C$16:$N$16,1,MONTH(C119))</x:f>
        <x:v>123.42</x:v>
      </x:c>
      <x:c r="K119" s="27" t="n">
        <x:f>G119*J119</x:f>
        <x:v>20487.72</x:v>
      </x:c>
      <x:c r="L119" s="27" t="n">
        <x:f>I119-K119</x:f>
        <x:v>13708.279999999999</x:v>
      </x:c>
    </x:row>
    <x:row r="120" ht="23" customHeight="1">
      <x:c r="A120" s="34" t="str">
        <x:v>0003</x:v>
      </x:c>
      <x:c r="B120" s="7" t="str">
        <x:v>East</x:v>
      </x:c>
      <x:c r="C120" s="14" t="d">
        <x:v>2026-08-01T00:00:00.000Z</x:v>
      </x:c>
      <x:c r="D120" s="27" t="n">
        <x:f>'Assumptions'!D94</x:f>
        <x:v>185</x:v>
      </x:c>
      <x:c r="E120" s="28" t="n">
        <x:f>INDEX('Assumptions'!$C$12:$N$12,1,MONTH(C120))</x:f>
        <x:v>0.03</x:v>
      </x:c>
      <x:c r="F120" s="27" t="n">
        <x:f>ROUND(D120*INDEX('Assumptions'!$C$8:$N$8,1,MONTH(C120))*(1-'Products'!E7*E120),0)</x:f>
        <x:v>181</x:v>
      </x:c>
      <x:c r="G120" s="27" t="n">
        <x:f>F120*SUMIFS('Inventory'!$L$5:$L$100,'Inventory'!$A$5:$A$100,A120,'Inventory'!$B$5:$B$100,C120)</x:f>
        <x:v>181</x:v>
      </x:c>
      <x:c r="H120" s="27" t="n">
        <x:f>'Assumptions'!E94*(1+E120)</x:f>
        <x:v>206</x:v>
      </x:c>
      <x:c r="I120" s="27" t="n">
        <x:f>G120*H120</x:f>
        <x:v>37286</x:v>
      </x:c>
      <x:c r="J120" s="27" t="n">
        <x:f>'Products'!D7*INDEX('Assumptions'!$C$16:$N$16,1,MONTH(C120))</x:f>
        <x:v>123.42</x:v>
      </x:c>
      <x:c r="K120" s="27" t="n">
        <x:f>G120*J120</x:f>
        <x:v>22339.02</x:v>
      </x:c>
      <x:c r="L120" s="27" t="n">
        <x:f>I120-K120</x:f>
        <x:v>14946.98</x:v>
      </x:c>
    </x:row>
    <x:row r="121" ht="23" customHeight="1">
      <x:c r="A121" s="34" t="str">
        <x:v>0003</x:v>
      </x:c>
      <x:c r="B121" s="7" t="str">
        <x:v>East</x:v>
      </x:c>
      <x:c r="C121" s="14" t="d">
        <x:v>2026-09-01T00:00:00.000Z</x:v>
      </x:c>
      <x:c r="D121" s="27" t="n">
        <x:f>'Assumptions'!D95</x:f>
        <x:v>200</x:v>
      </x:c>
      <x:c r="E121" s="28" t="n">
        <x:f>INDEX('Assumptions'!$C$12:$N$12,1,MONTH(C121))</x:f>
        <x:v>0.03</x:v>
      </x:c>
      <x:c r="F121" s="27" t="n">
        <x:f>ROUND(D121*INDEX('Assumptions'!$C$8:$N$8,1,MONTH(C121))*(1-'Products'!E7*E121),0)</x:f>
        <x:v>196</x:v>
      </x:c>
      <x:c r="G121" s="27" t="n">
        <x:f>F121*SUMIFS('Inventory'!$L$5:$L$100,'Inventory'!$A$5:$A$100,A121,'Inventory'!$B$5:$B$100,C121)</x:f>
        <x:v>196</x:v>
      </x:c>
      <x:c r="H121" s="27" t="n">
        <x:f>'Assumptions'!E95*(1+E121)</x:f>
        <x:v>206</x:v>
      </x:c>
      <x:c r="I121" s="27" t="n">
        <x:f>G121*H121</x:f>
        <x:v>40376</x:v>
      </x:c>
      <x:c r="J121" s="27" t="n">
        <x:f>'Products'!D7*INDEX('Assumptions'!$C$16:$N$16,1,MONTH(C121))</x:f>
        <x:v>123.42</x:v>
      </x:c>
      <x:c r="K121" s="27" t="n">
        <x:f>G121*J121</x:f>
        <x:v>24190.32</x:v>
      </x:c>
      <x:c r="L121" s="27" t="n">
        <x:f>I121-K121</x:f>
        <x:v>16185.68</x:v>
      </x:c>
    </x:row>
    <x:row r="122" ht="23" customHeight="1">
      <x:c r="A122" s="34" t="str">
        <x:v>0003</x:v>
      </x:c>
      <x:c r="B122" s="7" t="str">
        <x:v>East</x:v>
      </x:c>
      <x:c r="C122" s="14" t="d">
        <x:v>2026-10-01T00:00:00.000Z</x:v>
      </x:c>
      <x:c r="D122" s="27" t="n">
        <x:f>'Assumptions'!D96</x:f>
        <x:v>215</x:v>
      </x:c>
      <x:c r="E122" s="28" t="n">
        <x:f>INDEX('Assumptions'!$C$12:$N$12,1,MONTH(C122))</x:f>
        <x:v>0.03</x:v>
      </x:c>
      <x:c r="F122" s="27" t="n">
        <x:f>ROUND(D122*INDEX('Assumptions'!$C$8:$N$8,1,MONTH(C122))*(1-'Products'!E7*E122),0)</x:f>
        <x:v>210</x:v>
      </x:c>
      <x:c r="G122" s="27" t="n">
        <x:f>F122*SUMIFS('Inventory'!$L$5:$L$100,'Inventory'!$A$5:$A$100,A122,'Inventory'!$B$5:$B$100,C122)</x:f>
        <x:v>122.01388888888889</x:v>
      </x:c>
      <x:c r="H122" s="27" t="n">
        <x:f>'Assumptions'!E96*(1+E122)</x:f>
        <x:v>206</x:v>
      </x:c>
      <x:c r="I122" s="27" t="n">
        <x:f>G122*H122</x:f>
        <x:v>25134.86111111111</x:v>
      </x:c>
      <x:c r="J122" s="27" t="n">
        <x:f>'Products'!D7*INDEX('Assumptions'!$C$16:$N$16,1,MONTH(C122))</x:f>
        <x:v>123.42</x:v>
      </x:c>
      <x:c r="K122" s="27" t="n">
        <x:f>G122*J122</x:f>
        <x:v>15058.954166666666</x:v>
      </x:c>
      <x:c r="L122" s="27" t="n">
        <x:f>I122-K122</x:f>
        <x:v>10075.906944444443</x:v>
      </x:c>
    </x:row>
    <x:row r="123" ht="23" customHeight="1">
      <x:c r="A123" s="34" t="str">
        <x:v>0003</x:v>
      </x:c>
      <x:c r="B123" s="7" t="str">
        <x:v>East</x:v>
      </x:c>
      <x:c r="C123" s="14" t="d">
        <x:v>2026-11-01T00:00:00.000Z</x:v>
      </x:c>
      <x:c r="D123" s="27" t="n">
        <x:f>'Assumptions'!D97</x:f>
        <x:v>230</x:v>
      </x:c>
      <x:c r="E123" s="28" t="n">
        <x:f>INDEX('Assumptions'!$C$12:$N$12,1,MONTH(C123))</x:f>
        <x:v>0.03</x:v>
      </x:c>
      <x:c r="F123" s="27" t="n">
        <x:f>ROUND(D123*INDEX('Assumptions'!$C$8:$N$8,1,MONTH(C123))*(1-'Products'!E7*E123),0)</x:f>
        <x:v>225</x:v>
      </x:c>
      <x:c r="G123" s="27" t="n">
        <x:f>F123*SUMIFS('Inventory'!$L$5:$L$100,'Inventory'!$A$5:$A$100,A123,'Inventory'!$B$5:$B$100,C123)</x:f>
        <x:v>103.84615384615385</x:v>
      </x:c>
      <x:c r="H123" s="27" t="n">
        <x:f>'Assumptions'!E97*(1+E123)</x:f>
        <x:v>206</x:v>
      </x:c>
      <x:c r="I123" s="27" t="n">
        <x:f>G123*H123</x:f>
        <x:v>21392.307692307695</x:v>
      </x:c>
      <x:c r="J123" s="27" t="n">
        <x:f>'Products'!D7*INDEX('Assumptions'!$C$16:$N$16,1,MONTH(C123))</x:f>
        <x:v>123.42</x:v>
      </x:c>
      <x:c r="K123" s="27" t="n">
        <x:f>G123*J123</x:f>
        <x:v>12816.692307692309</x:v>
      </x:c>
      <x:c r="L123" s="27" t="n">
        <x:f>I123-K123</x:f>
        <x:v>8575.615384615387</x:v>
      </x:c>
    </x:row>
    <x:row r="124" ht="23" customHeight="1">
      <x:c r="A124" s="34" t="str">
        <x:v>0003</x:v>
      </x:c>
      <x:c r="B124" s="7" t="str">
        <x:v>East</x:v>
      </x:c>
      <x:c r="C124" s="14" t="d">
        <x:v>2026-12-01T00:00:00.000Z</x:v>
      </x:c>
      <x:c r="D124" s="27" t="n">
        <x:f>'Assumptions'!D98</x:f>
        <x:v>245</x:v>
      </x:c>
      <x:c r="E124" s="28" t="n">
        <x:f>INDEX('Assumptions'!$C$12:$N$12,1,MONTH(C124))</x:f>
        <x:v>0.03</x:v>
      </x:c>
      <x:c r="F124" s="27" t="n">
        <x:f>ROUND(D124*INDEX('Assumptions'!$C$8:$N$8,1,MONTH(C124))*(1-'Products'!E7*E124),0)</x:f>
        <x:v>240</x:v>
      </x:c>
      <x:c r="G124" s="27" t="n">
        <x:f>F124*SUMIFS('Inventory'!$L$5:$L$100,'Inventory'!$A$5:$A$100,A124,'Inventory'!$B$5:$B$100,C124)</x:f>
        <x:v>104.11405295315683</x:v>
      </x:c>
      <x:c r="H124" s="27" t="n">
        <x:f>'Assumptions'!E98*(1+E124)</x:f>
        <x:v>206</x:v>
      </x:c>
      <x:c r="I124" s="27" t="n">
        <x:f>G124*H124</x:f>
        <x:v>21447.494908350305</x:v>
      </x:c>
      <x:c r="J124" s="27" t="n">
        <x:f>'Products'!D7*INDEX('Assumptions'!$C$16:$N$16,1,MONTH(C124))</x:f>
        <x:v>123.42</x:v>
      </x:c>
      <x:c r="K124" s="27" t="n">
        <x:f>G124*J124</x:f>
        <x:v>12849.756415478616</x:v>
      </x:c>
      <x:c r="L124" s="27" t="n">
        <x:f>I124-K124</x:f>
        <x:v>8597.73849287169</x:v>
      </x:c>
    </x:row>
    <x:row r="125" ht="23" customHeight="1">
      <x:c r="A125" s="34" t="str">
        <x:v>0003</x:v>
      </x:c>
      <x:c r="B125" s="7" t="str">
        <x:v>West</x:v>
      </x:c>
      <x:c r="C125" s="14" t="d">
        <x:v>2026-01-01T00:00:00.000Z</x:v>
      </x:c>
      <x:c r="D125" s="27" t="n">
        <x:f>SUMIFS('Orders'!$F$5:$F$3004,'Orders'!$D$5:$D$3004,A125,'Orders'!$E$5:$E$3004,B125,'Orders'!$C$5:$C$3004,C125)</x:f>
        <x:v>67</x:v>
      </x:c>
      <x:c r="E125" s="28" t="n">
        <x:f>0</x:f>
        <x:v>0</x:v>
      </x:c>
      <x:c r="F125" s="27" t="n">
        <x:f>D125</x:f>
        <x:v>67</x:v>
      </x:c>
      <x:c r="G125" s="27" t="n">
        <x:f>F125</x:f>
        <x:v>67</x:v>
      </x:c>
      <x:c r="H125" s="27" t="n">
        <x:f>IF(F125=0,0,I125/F125)</x:f>
        <x:v>200</x:v>
      </x:c>
      <x:c r="I125" s="27" t="n">
        <x:f>SUMIFS('Orders'!$I$5:$I$3004,'Orders'!$D$5:$D$3004,A125,'Orders'!$E$5:$E$3004,B125,'Orders'!$C$5:$C$3004,C125)</x:f>
        <x:v>13400</x:v>
      </x:c>
      <x:c r="J125" s="27" t="n">
        <x:f>'Products'!D7*INDEX('Assumptions'!$C$16:$N$16,1,MONTH(C125))</x:f>
        <x:v>121</x:v>
      </x:c>
      <x:c r="K125" s="27" t="n">
        <x:f>G125*J125</x:f>
        <x:v>8107</x:v>
      </x:c>
      <x:c r="L125" s="27" t="n">
        <x:f>I125-K125</x:f>
        <x:v>5293</x:v>
      </x:c>
    </x:row>
    <x:row r="126" ht="23" customHeight="1">
      <x:c r="A126" s="34" t="str">
        <x:v>0003</x:v>
      </x:c>
      <x:c r="B126" s="7" t="str">
        <x:v>West</x:v>
      </x:c>
      <x:c r="C126" s="14" t="d">
        <x:v>2026-02-01T00:00:00.000Z</x:v>
      </x:c>
      <x:c r="D126" s="27" t="n">
        <x:f>SUMIFS('Orders'!$F$5:$F$3004,'Orders'!$D$5:$D$3004,A126,'Orders'!$E$5:$E$3004,B126,'Orders'!$C$5:$C$3004,C126)</x:f>
        <x:v>75</x:v>
      </x:c>
      <x:c r="E126" s="28" t="n">
        <x:f>0</x:f>
        <x:v>0</x:v>
      </x:c>
      <x:c r="F126" s="27" t="n">
        <x:f>D126</x:f>
        <x:v>75</x:v>
      </x:c>
      <x:c r="G126" s="27" t="n">
        <x:f>F126</x:f>
        <x:v>75</x:v>
      </x:c>
      <x:c r="H126" s="27" t="n">
        <x:f>IF(F126=0,0,I126/F126)</x:f>
        <x:v>190</x:v>
      </x:c>
      <x:c r="I126" s="27" t="n">
        <x:f>SUMIFS('Orders'!$I$5:$I$3004,'Orders'!$D$5:$D$3004,A126,'Orders'!$E$5:$E$3004,B126,'Orders'!$C$5:$C$3004,C126)</x:f>
        <x:v>14250</x:v>
      </x:c>
      <x:c r="J126" s="27" t="n">
        <x:f>'Products'!D7*INDEX('Assumptions'!$C$16:$N$16,1,MONTH(C126))</x:f>
        <x:v>121</x:v>
      </x:c>
      <x:c r="K126" s="27" t="n">
        <x:f>G126*J126</x:f>
        <x:v>9075</x:v>
      </x:c>
      <x:c r="L126" s="27" t="n">
        <x:f>I126-K126</x:f>
        <x:v>5175</x:v>
      </x:c>
    </x:row>
    <x:row r="127" ht="23" customHeight="1">
      <x:c r="A127" s="34" t="str">
        <x:v>0003</x:v>
      </x:c>
      <x:c r="B127" s="7" t="str">
        <x:v>West</x:v>
      </x:c>
      <x:c r="C127" s="14" t="d">
        <x:v>2026-03-01T00:00:00.000Z</x:v>
      </x:c>
      <x:c r="D127" s="27" t="n">
        <x:f>SUMIFS('Orders'!$F$5:$F$3004,'Orders'!$D$5:$D$3004,A127,'Orders'!$E$5:$E$3004,B127,'Orders'!$C$5:$C$3004,C127)</x:f>
        <x:v>59</x:v>
      </x:c>
      <x:c r="E127" s="28" t="n">
        <x:f>0</x:f>
        <x:v>0</x:v>
      </x:c>
      <x:c r="F127" s="27" t="n">
        <x:f>D127</x:f>
        <x:v>59</x:v>
      </x:c>
      <x:c r="G127" s="27" t="n">
        <x:f>F127</x:f>
        <x:v>59</x:v>
      </x:c>
      <x:c r="H127" s="27" t="n">
        <x:f>IF(F127=0,0,I127/F127)</x:f>
        <x:v>196</x:v>
      </x:c>
      <x:c r="I127" s="27" t="n">
        <x:f>SUMIFS('Orders'!$I$5:$I$3004,'Orders'!$D$5:$D$3004,A127,'Orders'!$E$5:$E$3004,B127,'Orders'!$C$5:$C$3004,C127)</x:f>
        <x:v>11564</x:v>
      </x:c>
      <x:c r="J127" s="27" t="n">
        <x:f>'Products'!D7*INDEX('Assumptions'!$C$16:$N$16,1,MONTH(C127))</x:f>
        <x:v>121</x:v>
      </x:c>
      <x:c r="K127" s="27" t="n">
        <x:f>G127*J127</x:f>
        <x:v>7139</x:v>
      </x:c>
      <x:c r="L127" s="27" t="n">
        <x:f>I127-K127</x:f>
        <x:v>4425</x:v>
      </x:c>
    </x:row>
    <x:row r="128" ht="23" customHeight="1">
      <x:c r="A128" s="34" t="str">
        <x:v>0003</x:v>
      </x:c>
      <x:c r="B128" s="7" t="str">
        <x:v>West</x:v>
      </x:c>
      <x:c r="C128" s="14" t="d">
        <x:v>2026-04-01T00:00:00.000Z</x:v>
      </x:c>
      <x:c r="D128" s="27" t="n">
        <x:f>SUMIFS('Orders'!$F$5:$F$3004,'Orders'!$D$5:$D$3004,A128,'Orders'!$E$5:$E$3004,B128,'Orders'!$C$5:$C$3004,C128)</x:f>
        <x:v>72</x:v>
      </x:c>
      <x:c r="E128" s="28" t="n">
        <x:f>0</x:f>
        <x:v>0</x:v>
      </x:c>
      <x:c r="F128" s="27" t="n">
        <x:f>D128</x:f>
        <x:v>72</x:v>
      </x:c>
      <x:c r="G128" s="27" t="n">
        <x:f>F128</x:f>
        <x:v>72</x:v>
      </x:c>
      <x:c r="H128" s="27" t="n">
        <x:f>IF(F128=0,0,I128/F128)</x:f>
        <x:v>200</x:v>
      </x:c>
      <x:c r="I128" s="27" t="n">
        <x:f>SUMIFS('Orders'!$I$5:$I$3004,'Orders'!$D$5:$D$3004,A128,'Orders'!$E$5:$E$3004,B128,'Orders'!$C$5:$C$3004,C128)</x:f>
        <x:v>14400</x:v>
      </x:c>
      <x:c r="J128" s="27" t="n">
        <x:f>'Products'!D7*INDEX('Assumptions'!$C$16:$N$16,1,MONTH(C128))</x:f>
        <x:v>121</x:v>
      </x:c>
      <x:c r="K128" s="27" t="n">
        <x:f>G128*J128</x:f>
        <x:v>8712</x:v>
      </x:c>
      <x:c r="L128" s="27" t="n">
        <x:f>I128-K128</x:f>
        <x:v>5688</x:v>
      </x:c>
    </x:row>
    <x:row r="129" ht="23" customHeight="1">
      <x:c r="A129" s="34" t="str">
        <x:v>0003</x:v>
      </x:c>
      <x:c r="B129" s="7" t="str">
        <x:v>West</x:v>
      </x:c>
      <x:c r="C129" s="14" t="d">
        <x:v>2026-05-01T00:00:00.000Z</x:v>
      </x:c>
      <x:c r="D129" s="27" t="n">
        <x:f>SUMIFS('Orders'!$F$5:$F$3004,'Orders'!$D$5:$D$3004,A129,'Orders'!$E$5:$E$3004,B129,'Orders'!$C$5:$C$3004,C129)</x:f>
        <x:v>66</x:v>
      </x:c>
      <x:c r="E129" s="28" t="n">
        <x:f>0</x:f>
        <x:v>0</x:v>
      </x:c>
      <x:c r="F129" s="27" t="n">
        <x:f>D129</x:f>
        <x:v>66</x:v>
      </x:c>
      <x:c r="G129" s="27" t="n">
        <x:f>F129</x:f>
        <x:v>66</x:v>
      </x:c>
      <x:c r="H129" s="27" t="n">
        <x:f>IF(F129=0,0,I129/F129)</x:f>
        <x:v>190</x:v>
      </x:c>
      <x:c r="I129" s="27" t="n">
        <x:f>SUMIFS('Orders'!$I$5:$I$3004,'Orders'!$D$5:$D$3004,A129,'Orders'!$E$5:$E$3004,B129,'Orders'!$C$5:$C$3004,C129)</x:f>
        <x:v>12540</x:v>
      </x:c>
      <x:c r="J129" s="27" t="n">
        <x:f>'Products'!D7*INDEX('Assumptions'!$C$16:$N$16,1,MONTH(C129))</x:f>
        <x:v>121</x:v>
      </x:c>
      <x:c r="K129" s="27" t="n">
        <x:f>G129*J129</x:f>
        <x:v>7986</x:v>
      </x:c>
      <x:c r="L129" s="27" t="n">
        <x:f>I129-K129</x:f>
        <x:v>4554</x:v>
      </x:c>
    </x:row>
    <x:row r="130" ht="23" customHeight="1">
      <x:c r="A130" s="34" t="str">
        <x:v>0003</x:v>
      </x:c>
      <x:c r="B130" s="7" t="str">
        <x:v>West</x:v>
      </x:c>
      <x:c r="C130" s="14" t="d">
        <x:v>2026-06-01T00:00:00.000Z</x:v>
      </x:c>
      <x:c r="D130" s="27" t="n">
        <x:f>SUMIFS('Orders'!$F$5:$F$3004,'Orders'!$D$5:$D$3004,A130,'Orders'!$E$5:$E$3004,B130,'Orders'!$C$5:$C$3004,C130)</x:f>
        <x:v>63</x:v>
      </x:c>
      <x:c r="E130" s="28" t="n">
        <x:f>0</x:f>
        <x:v>0</x:v>
      </x:c>
      <x:c r="F130" s="27" t="n">
        <x:f>D130</x:f>
        <x:v>63</x:v>
      </x:c>
      <x:c r="G130" s="27" t="n">
        <x:f>F130</x:f>
        <x:v>63</x:v>
      </x:c>
      <x:c r="H130" s="27" t="n">
        <x:f>IF(F130=0,0,I130/F130)</x:f>
        <x:v>196</x:v>
      </x:c>
      <x:c r="I130" s="27" t="n">
        <x:f>SUMIFS('Orders'!$I$5:$I$3004,'Orders'!$D$5:$D$3004,A130,'Orders'!$E$5:$E$3004,B130,'Orders'!$C$5:$C$3004,C130)</x:f>
        <x:v>12348</x:v>
      </x:c>
      <x:c r="J130" s="27" t="n">
        <x:f>'Products'!D7*INDEX('Assumptions'!$C$16:$N$16,1,MONTH(C130))</x:f>
        <x:v>121</x:v>
      </x:c>
      <x:c r="K130" s="27" t="n">
        <x:f>G130*J130</x:f>
        <x:v>7623</x:v>
      </x:c>
      <x:c r="L130" s="27" t="n">
        <x:f>I130-K130</x:f>
        <x:v>4725</x:v>
      </x:c>
    </x:row>
    <x:row r="131" ht="23" customHeight="1">
      <x:c r="A131" s="34" t="str">
        <x:v>0003</x:v>
      </x:c>
      <x:c r="B131" s="7" t="str">
        <x:v>West</x:v>
      </x:c>
      <x:c r="C131" s="14" t="d">
        <x:v>2026-07-01T00:00:00.000Z</x:v>
      </x:c>
      <x:c r="D131" s="27" t="n">
        <x:f>'Assumptions'!D99</x:f>
        <x:v>182</x:v>
      </x:c>
      <x:c r="E131" s="28" t="n">
        <x:f>INDEX('Assumptions'!$C$12:$N$12,1,MONTH(C131))</x:f>
        <x:v>0.03</x:v>
      </x:c>
      <x:c r="F131" s="27" t="n">
        <x:f>ROUND(D131*INDEX('Assumptions'!$C$8:$N$8,1,MONTH(C131))*(1-'Products'!E7*E131),0)</x:f>
        <x:v>178</x:v>
      </x:c>
      <x:c r="G131" s="27" t="n">
        <x:f>F131*SUMIFS('Inventory'!$L$5:$L$100,'Inventory'!$A$5:$A$100,A131,'Inventory'!$B$5:$B$100,C131)</x:f>
        <x:v>178</x:v>
      </x:c>
      <x:c r="H131" s="27" t="n">
        <x:f>'Assumptions'!E99*(1+E131)</x:f>
        <x:v>206</x:v>
      </x:c>
      <x:c r="I131" s="27" t="n">
        <x:f>G131*H131</x:f>
        <x:v>36668</x:v>
      </x:c>
      <x:c r="J131" s="27" t="n">
        <x:f>'Products'!D7*INDEX('Assumptions'!$C$16:$N$16,1,MONTH(C131))</x:f>
        <x:v>123.42</x:v>
      </x:c>
      <x:c r="K131" s="27" t="n">
        <x:f>G131*J131</x:f>
        <x:v>21968.760000000002</x:v>
      </x:c>
      <x:c r="L131" s="27" t="n">
        <x:f>I131-K131</x:f>
        <x:v>14699.239999999998</x:v>
      </x:c>
    </x:row>
    <x:row r="132" ht="23" customHeight="1">
      <x:c r="A132" s="34" t="str">
        <x:v>0003</x:v>
      </x:c>
      <x:c r="B132" s="7" t="str">
        <x:v>West</x:v>
      </x:c>
      <x:c r="C132" s="14" t="d">
        <x:v>2026-08-01T00:00:00.000Z</x:v>
      </x:c>
      <x:c r="D132" s="27" t="n">
        <x:f>'Assumptions'!D100</x:f>
        <x:v>197</x:v>
      </x:c>
      <x:c r="E132" s="28" t="n">
        <x:f>INDEX('Assumptions'!$C$12:$N$12,1,MONTH(C132))</x:f>
        <x:v>0.03</x:v>
      </x:c>
      <x:c r="F132" s="27" t="n">
        <x:f>ROUND(D132*INDEX('Assumptions'!$C$8:$N$8,1,MONTH(C132))*(1-'Products'!E7*E132),0)</x:f>
        <x:v>193</x:v>
      </x:c>
      <x:c r="G132" s="27" t="n">
        <x:f>F132*SUMIFS('Inventory'!$L$5:$L$100,'Inventory'!$A$5:$A$100,A132,'Inventory'!$B$5:$B$100,C132)</x:f>
        <x:v>193</x:v>
      </x:c>
      <x:c r="H132" s="27" t="n">
        <x:f>'Assumptions'!E100*(1+E132)</x:f>
        <x:v>206</x:v>
      </x:c>
      <x:c r="I132" s="27" t="n">
        <x:f>G132*H132</x:f>
        <x:v>39758</x:v>
      </x:c>
      <x:c r="J132" s="27" t="n">
        <x:f>'Products'!D7*INDEX('Assumptions'!$C$16:$N$16,1,MONTH(C132))</x:f>
        <x:v>123.42</x:v>
      </x:c>
      <x:c r="K132" s="27" t="n">
        <x:f>G132*J132</x:f>
        <x:v>23820.06</x:v>
      </x:c>
      <x:c r="L132" s="27" t="n">
        <x:f>I132-K132</x:f>
        <x:v>15937.939999999999</x:v>
      </x:c>
    </x:row>
    <x:row r="133" ht="23" customHeight="1">
      <x:c r="A133" s="34" t="str">
        <x:v>0003</x:v>
      </x:c>
      <x:c r="B133" s="7" t="str">
        <x:v>West</x:v>
      </x:c>
      <x:c r="C133" s="14" t="d">
        <x:v>2026-09-01T00:00:00.000Z</x:v>
      </x:c>
      <x:c r="D133" s="27" t="n">
        <x:f>'Assumptions'!D101</x:f>
        <x:v>212</x:v>
      </x:c>
      <x:c r="E133" s="28" t="n">
        <x:f>INDEX('Assumptions'!$C$12:$N$12,1,MONTH(C133))</x:f>
        <x:v>0.03</x:v>
      </x:c>
      <x:c r="F133" s="27" t="n">
        <x:f>ROUND(D133*INDEX('Assumptions'!$C$8:$N$8,1,MONTH(C133))*(1-'Products'!E7*E133),0)</x:f>
        <x:v>207</x:v>
      </x:c>
      <x:c r="G133" s="27" t="n">
        <x:f>F133*SUMIFS('Inventory'!$L$5:$L$100,'Inventory'!$A$5:$A$100,A133,'Inventory'!$B$5:$B$100,C133)</x:f>
        <x:v>207</x:v>
      </x:c>
      <x:c r="H133" s="27" t="n">
        <x:f>'Assumptions'!E101*(1+E133)</x:f>
        <x:v>206</x:v>
      </x:c>
      <x:c r="I133" s="27" t="n">
        <x:f>G133*H133</x:f>
        <x:v>42642</x:v>
      </x:c>
      <x:c r="J133" s="27" t="n">
        <x:f>'Products'!D7*INDEX('Assumptions'!$C$16:$N$16,1,MONTH(C133))</x:f>
        <x:v>123.42</x:v>
      </x:c>
      <x:c r="K133" s="27" t="n">
        <x:f>G133*J133</x:f>
        <x:v>25547.94</x:v>
      </x:c>
      <x:c r="L133" s="27" t="n">
        <x:f>I133-K133</x:f>
        <x:v>17094.06</x:v>
      </x:c>
    </x:row>
    <x:row r="134" ht="23" customHeight="1">
      <x:c r="A134" s="34" t="str">
        <x:v>0003</x:v>
      </x:c>
      <x:c r="B134" s="7" t="str">
        <x:v>West</x:v>
      </x:c>
      <x:c r="C134" s="14" t="d">
        <x:v>2026-10-01T00:00:00.000Z</x:v>
      </x:c>
      <x:c r="D134" s="27" t="n">
        <x:f>'Assumptions'!D102</x:f>
        <x:v>227</x:v>
      </x:c>
      <x:c r="E134" s="28" t="n">
        <x:f>INDEX('Assumptions'!$C$12:$N$12,1,MONTH(C134))</x:f>
        <x:v>0.03</x:v>
      </x:c>
      <x:c r="F134" s="27" t="n">
        <x:f>ROUND(D134*INDEX('Assumptions'!$C$8:$N$8,1,MONTH(C134))*(1-'Products'!E7*E134),0)</x:f>
        <x:v>222</x:v>
      </x:c>
      <x:c r="G134" s="27" t="n">
        <x:f>F134*SUMIFS('Inventory'!$L$5:$L$100,'Inventory'!$A$5:$A$100,A134,'Inventory'!$B$5:$B$100,C134)</x:f>
        <x:v>128.98611111111111</x:v>
      </x:c>
      <x:c r="H134" s="27" t="n">
        <x:f>'Assumptions'!E102*(1+E134)</x:f>
        <x:v>206</x:v>
      </x:c>
      <x:c r="I134" s="27" t="n">
        <x:f>G134*H134</x:f>
        <x:v>26571.13888888889</x:v>
      </x:c>
      <x:c r="J134" s="27" t="n">
        <x:f>'Products'!D7*INDEX('Assumptions'!$C$16:$N$16,1,MONTH(C134))</x:f>
        <x:v>123.42</x:v>
      </x:c>
      <x:c r="K134" s="27" t="n">
        <x:f>G134*J134</x:f>
        <x:v>15919.465833333334</x:v>
      </x:c>
      <x:c r="L134" s="27" t="n">
        <x:f>I134-K134</x:f>
        <x:v>10651.673055555557</x:v>
      </x:c>
    </x:row>
    <x:row r="135" ht="23" customHeight="1">
      <x:c r="A135" s="34" t="str">
        <x:v>0003</x:v>
      </x:c>
      <x:c r="B135" s="7" t="str">
        <x:v>West</x:v>
      </x:c>
      <x:c r="C135" s="14" t="d">
        <x:v>2026-11-01T00:00:00.000Z</x:v>
      </x:c>
      <x:c r="D135" s="27" t="n">
        <x:f>'Assumptions'!D103</x:f>
        <x:v>242</x:v>
      </x:c>
      <x:c r="E135" s="28" t="n">
        <x:f>INDEX('Assumptions'!$C$12:$N$12,1,MONTH(C135))</x:f>
        <x:v>0.03</x:v>
      </x:c>
      <x:c r="F135" s="27" t="n">
        <x:f>ROUND(D135*INDEX('Assumptions'!$C$8:$N$8,1,MONTH(C135))*(1-'Products'!E7*E135),0)</x:f>
        <x:v>237</x:v>
      </x:c>
      <x:c r="G135" s="27" t="n">
        <x:f>F135*SUMIFS('Inventory'!$L$5:$L$100,'Inventory'!$A$5:$A$100,A135,'Inventory'!$B$5:$B$100,C135)</x:f>
        <x:v>109.38461538461539</x:v>
      </x:c>
      <x:c r="H135" s="27" t="n">
        <x:f>'Assumptions'!E103*(1+E135)</x:f>
        <x:v>206</x:v>
      </x:c>
      <x:c r="I135" s="27" t="n">
        <x:f>G135*H135</x:f>
        <x:v>22533.23076923077</x:v>
      </x:c>
      <x:c r="J135" s="27" t="n">
        <x:f>'Products'!D7*INDEX('Assumptions'!$C$16:$N$16,1,MONTH(C135))</x:f>
        <x:v>123.42</x:v>
      </x:c>
      <x:c r="K135" s="27" t="n">
        <x:f>G135*J135</x:f>
        <x:v>13500.249230769232</x:v>
      </x:c>
      <x:c r="L135" s="27" t="n">
        <x:f>I135-K135</x:f>
        <x:v>9032.981538461538</x:v>
      </x:c>
    </x:row>
    <x:row r="136" ht="23" customHeight="1">
      <x:c r="A136" s="34" t="str">
        <x:v>0003</x:v>
      </x:c>
      <x:c r="B136" s="7" t="str">
        <x:v>West</x:v>
      </x:c>
      <x:c r="C136" s="14" t="d">
        <x:v>2026-12-01T00:00:00.000Z</x:v>
      </x:c>
      <x:c r="D136" s="27" t="n">
        <x:f>'Assumptions'!D104</x:f>
        <x:v>257</x:v>
      </x:c>
      <x:c r="E136" s="28" t="n">
        <x:f>INDEX('Assumptions'!$C$12:$N$12,1,MONTH(C136))</x:f>
        <x:v>0.03</x:v>
      </x:c>
      <x:c r="F136" s="27" t="n">
        <x:f>ROUND(D136*INDEX('Assumptions'!$C$8:$N$8,1,MONTH(C136))*(1-'Products'!E7*E136),0)</x:f>
        <x:v>251</x:v>
      </x:c>
      <x:c r="G136" s="27" t="n">
        <x:f>F136*SUMIFS('Inventory'!$L$5:$L$100,'Inventory'!$A$5:$A$100,A136,'Inventory'!$B$5:$B$100,C136)</x:f>
        <x:v>108.88594704684319</x:v>
      </x:c>
      <x:c r="H136" s="27" t="n">
        <x:f>'Assumptions'!E104*(1+E136)</x:f>
        <x:v>206</x:v>
      </x:c>
      <x:c r="I136" s="27" t="n">
        <x:f>G136*H136</x:f>
        <x:v>22430.505091649695</x:v>
      </x:c>
      <x:c r="J136" s="27" t="n">
        <x:f>'Products'!D7*INDEX('Assumptions'!$C$16:$N$16,1,MONTH(C136))</x:f>
        <x:v>123.42</x:v>
      </x:c>
      <x:c r="K136" s="27" t="n">
        <x:f>G136*J136</x:f>
        <x:v>13438.703584521387</x:v>
      </x:c>
      <x:c r="L136" s="27" t="n">
        <x:f>I136-K136</x:f>
        <x:v>8991.801507128308</x:v>
      </x:c>
    </x:row>
    <x:row r="137" ht="23" customHeight="1">
      <x:c r="A137" s="34" t="str">
        <x:v>0003</x:v>
      </x:c>
      <x:c r="B137" s="7" t="str">
        <x:v>North</x:v>
      </x:c>
      <x:c r="C137" s="14" t="d">
        <x:v>2026-01-01T00:00:00.000Z</x:v>
      </x:c>
      <x:c r="D137" s="27" t="n">
        <x:f>SUMIFS('Orders'!$F$5:$F$3004,'Orders'!$D$5:$D$3004,A137,'Orders'!$E$5:$E$3004,B137,'Orders'!$C$5:$C$3004,C137)</x:f>
        <x:v>54</x:v>
      </x:c>
      <x:c r="E137" s="28" t="n">
        <x:f>0</x:f>
        <x:v>0</x:v>
      </x:c>
      <x:c r="F137" s="27" t="n">
        <x:f>D137</x:f>
        <x:v>54</x:v>
      </x:c>
      <x:c r="G137" s="27" t="n">
        <x:f>F137</x:f>
        <x:v>54</x:v>
      </x:c>
      <x:c r="H137" s="27" t="n">
        <x:f>IF(F137=0,0,I137/F137)</x:f>
        <x:v>190</x:v>
      </x:c>
      <x:c r="I137" s="27" t="n">
        <x:f>SUMIFS('Orders'!$I$5:$I$3004,'Orders'!$D$5:$D$3004,A137,'Orders'!$E$5:$E$3004,B137,'Orders'!$C$5:$C$3004,C137)</x:f>
        <x:v>10260</x:v>
      </x:c>
      <x:c r="J137" s="27" t="n">
        <x:f>'Products'!D7*INDEX('Assumptions'!$C$16:$N$16,1,MONTH(C137))</x:f>
        <x:v>121</x:v>
      </x:c>
      <x:c r="K137" s="27" t="n">
        <x:f>G137*J137</x:f>
        <x:v>6534</x:v>
      </x:c>
      <x:c r="L137" s="27" t="n">
        <x:f>I137-K137</x:f>
        <x:v>3726</x:v>
      </x:c>
    </x:row>
    <x:row r="138" ht="23" customHeight="1">
      <x:c r="A138" s="34" t="str">
        <x:v>0003</x:v>
      </x:c>
      <x:c r="B138" s="7" t="str">
        <x:v>North</x:v>
      </x:c>
      <x:c r="C138" s="14" t="d">
        <x:v>2026-02-01T00:00:00.000Z</x:v>
      </x:c>
      <x:c r="D138" s="27" t="n">
        <x:f>SUMIFS('Orders'!$F$5:$F$3004,'Orders'!$D$5:$D$3004,A138,'Orders'!$E$5:$E$3004,B138,'Orders'!$C$5:$C$3004,C138)</x:f>
        <x:v>72</x:v>
      </x:c>
      <x:c r="E138" s="28" t="n">
        <x:f>0</x:f>
        <x:v>0</x:v>
      </x:c>
      <x:c r="F138" s="27" t="n">
        <x:f>D138</x:f>
        <x:v>72</x:v>
      </x:c>
      <x:c r="G138" s="27" t="n">
        <x:f>F138</x:f>
        <x:v>72</x:v>
      </x:c>
      <x:c r="H138" s="27" t="n">
        <x:f>IF(F138=0,0,I138/F138)</x:f>
        <x:v>196</x:v>
      </x:c>
      <x:c r="I138" s="27" t="n">
        <x:f>SUMIFS('Orders'!$I$5:$I$3004,'Orders'!$D$5:$D$3004,A138,'Orders'!$E$5:$E$3004,B138,'Orders'!$C$5:$C$3004,C138)</x:f>
        <x:v>14112</x:v>
      </x:c>
      <x:c r="J138" s="27" t="n">
        <x:f>'Products'!D7*INDEX('Assumptions'!$C$16:$N$16,1,MONTH(C138))</x:f>
        <x:v>121</x:v>
      </x:c>
      <x:c r="K138" s="27" t="n">
        <x:f>G138*J138</x:f>
        <x:v>8712</x:v>
      </x:c>
      <x:c r="L138" s="27" t="n">
        <x:f>I138-K138</x:f>
        <x:v>5400</x:v>
      </x:c>
    </x:row>
    <x:row r="139" ht="23" customHeight="1">
      <x:c r="A139" s="34" t="str">
        <x:v>0003</x:v>
      </x:c>
      <x:c r="B139" s="7" t="str">
        <x:v>North</x:v>
      </x:c>
      <x:c r="C139" s="14" t="d">
        <x:v>2026-03-01T00:00:00.000Z</x:v>
      </x:c>
      <x:c r="D139" s="27" t="n">
        <x:f>SUMIFS('Orders'!$F$5:$F$3004,'Orders'!$D$5:$D$3004,A139,'Orders'!$E$5:$E$3004,B139,'Orders'!$C$5:$C$3004,C139)</x:f>
        <x:v>61</x:v>
      </x:c>
      <x:c r="E139" s="28" t="n">
        <x:f>0</x:f>
        <x:v>0</x:v>
      </x:c>
      <x:c r="F139" s="27" t="n">
        <x:f>D139</x:f>
        <x:v>61</x:v>
      </x:c>
      <x:c r="G139" s="27" t="n">
        <x:f>F139</x:f>
        <x:v>61</x:v>
      </x:c>
      <x:c r="H139" s="27" t="n">
        <x:f>IF(F139=0,0,I139/F139)</x:f>
        <x:v>200</x:v>
      </x:c>
      <x:c r="I139" s="27" t="n">
        <x:f>SUMIFS('Orders'!$I$5:$I$3004,'Orders'!$D$5:$D$3004,A139,'Orders'!$E$5:$E$3004,B139,'Orders'!$C$5:$C$3004,C139)</x:f>
        <x:v>12200</x:v>
      </x:c>
      <x:c r="J139" s="27" t="n">
        <x:f>'Products'!D7*INDEX('Assumptions'!$C$16:$N$16,1,MONTH(C139))</x:f>
        <x:v>121</x:v>
      </x:c>
      <x:c r="K139" s="27" t="n">
        <x:f>G139*J139</x:f>
        <x:v>7381</x:v>
      </x:c>
      <x:c r="L139" s="27" t="n">
        <x:f>I139-K139</x:f>
        <x:v>4819</x:v>
      </x:c>
    </x:row>
    <x:row r="140" ht="23" customHeight="1">
      <x:c r="A140" s="34" t="str">
        <x:v>0003</x:v>
      </x:c>
      <x:c r="B140" s="7" t="str">
        <x:v>North</x:v>
      </x:c>
      <x:c r="C140" s="14" t="d">
        <x:v>2026-04-01T00:00:00.000Z</x:v>
      </x:c>
      <x:c r="D140" s="27" t="n">
        <x:f>SUMIFS('Orders'!$F$5:$F$3004,'Orders'!$D$5:$D$3004,A140,'Orders'!$E$5:$E$3004,B140,'Orders'!$C$5:$C$3004,C140)</x:f>
        <x:v>76</x:v>
      </x:c>
      <x:c r="E140" s="28" t="n">
        <x:f>0</x:f>
        <x:v>0</x:v>
      </x:c>
      <x:c r="F140" s="27" t="n">
        <x:f>D140</x:f>
        <x:v>76</x:v>
      </x:c>
      <x:c r="G140" s="27" t="n">
        <x:f>F140</x:f>
        <x:v>76</x:v>
      </x:c>
      <x:c r="H140" s="27" t="n">
        <x:f>IF(F140=0,0,I140/F140)</x:f>
        <x:v>190</x:v>
      </x:c>
      <x:c r="I140" s="27" t="n">
        <x:f>SUMIFS('Orders'!$I$5:$I$3004,'Orders'!$D$5:$D$3004,A140,'Orders'!$E$5:$E$3004,B140,'Orders'!$C$5:$C$3004,C140)</x:f>
        <x:v>14440</x:v>
      </x:c>
      <x:c r="J140" s="27" t="n">
        <x:f>'Products'!D7*INDEX('Assumptions'!$C$16:$N$16,1,MONTH(C140))</x:f>
        <x:v>121</x:v>
      </x:c>
      <x:c r="K140" s="27" t="n">
        <x:f>G140*J140</x:f>
        <x:v>9196</x:v>
      </x:c>
      <x:c r="L140" s="27" t="n">
        <x:f>I140-K140</x:f>
        <x:v>5244</x:v>
      </x:c>
    </x:row>
    <x:row r="141" ht="23" customHeight="1">
      <x:c r="A141" s="34" t="str">
        <x:v>0003</x:v>
      </x:c>
      <x:c r="B141" s="7" t="str">
        <x:v>North</x:v>
      </x:c>
      <x:c r="C141" s="14" t="d">
        <x:v>2026-05-01T00:00:00.000Z</x:v>
      </x:c>
      <x:c r="D141" s="27" t="n">
        <x:f>SUMIFS('Orders'!$F$5:$F$3004,'Orders'!$D$5:$D$3004,A141,'Orders'!$E$5:$E$3004,B141,'Orders'!$C$5:$C$3004,C141)</x:f>
        <x:v>70</x:v>
      </x:c>
      <x:c r="E141" s="28" t="n">
        <x:f>0</x:f>
        <x:v>0</x:v>
      </x:c>
      <x:c r="F141" s="27" t="n">
        <x:f>D141</x:f>
        <x:v>70</x:v>
      </x:c>
      <x:c r="G141" s="27" t="n">
        <x:f>F141</x:f>
        <x:v>70</x:v>
      </x:c>
      <x:c r="H141" s="27" t="n">
        <x:f>IF(F141=0,0,I141/F141)</x:f>
        <x:v>196</x:v>
      </x:c>
      <x:c r="I141" s="27" t="n">
        <x:f>SUMIFS('Orders'!$I$5:$I$3004,'Orders'!$D$5:$D$3004,A141,'Orders'!$E$5:$E$3004,B141,'Orders'!$C$5:$C$3004,C141)</x:f>
        <x:v>13720</x:v>
      </x:c>
      <x:c r="J141" s="27" t="n">
        <x:f>'Products'!D7*INDEX('Assumptions'!$C$16:$N$16,1,MONTH(C141))</x:f>
        <x:v>121</x:v>
      </x:c>
      <x:c r="K141" s="27" t="n">
        <x:f>G141*J141</x:f>
        <x:v>8470</x:v>
      </x:c>
      <x:c r="L141" s="27" t="n">
        <x:f>I141-K141</x:f>
        <x:v>5250</x:v>
      </x:c>
    </x:row>
    <x:row r="142" ht="23" customHeight="1">
      <x:c r="A142" s="34" t="str">
        <x:v>0003</x:v>
      </x:c>
      <x:c r="B142" s="7" t="str">
        <x:v>North</x:v>
      </x:c>
      <x:c r="C142" s="14" t="d">
        <x:v>2026-06-01T00:00:00.000Z</x:v>
      </x:c>
      <x:c r="D142" s="27" t="n">
        <x:f>SUMIFS('Orders'!$F$5:$F$3004,'Orders'!$D$5:$D$3004,A142,'Orders'!$E$5:$E$3004,B142,'Orders'!$C$5:$C$3004,C142)</x:f>
        <x:v>48</x:v>
      </x:c>
      <x:c r="E142" s="28" t="n">
        <x:f>0</x:f>
        <x:v>0</x:v>
      </x:c>
      <x:c r="F142" s="27" t="n">
        <x:f>D142</x:f>
        <x:v>48</x:v>
      </x:c>
      <x:c r="G142" s="27" t="n">
        <x:f>F142</x:f>
        <x:v>48</x:v>
      </x:c>
      <x:c r="H142" s="27" t="n">
        <x:f>IF(F142=0,0,I142/F142)</x:f>
        <x:v>200</x:v>
      </x:c>
      <x:c r="I142" s="27" t="n">
        <x:f>SUMIFS('Orders'!$I$5:$I$3004,'Orders'!$D$5:$D$3004,A142,'Orders'!$E$5:$E$3004,B142,'Orders'!$C$5:$C$3004,C142)</x:f>
        <x:v>9600</x:v>
      </x:c>
      <x:c r="J142" s="27" t="n">
        <x:f>'Products'!D7*INDEX('Assumptions'!$C$16:$N$16,1,MONTH(C142))</x:f>
        <x:v>121</x:v>
      </x:c>
      <x:c r="K142" s="27" t="n">
        <x:f>G142*J142</x:f>
        <x:v>5808</x:v>
      </x:c>
      <x:c r="L142" s="27" t="n">
        <x:f>I142-K142</x:f>
        <x:v>3792</x:v>
      </x:c>
    </x:row>
    <x:row r="143" ht="23" customHeight="1">
      <x:c r="A143" s="34" t="str">
        <x:v>0003</x:v>
      </x:c>
      <x:c r="B143" s="7" t="str">
        <x:v>North</x:v>
      </x:c>
      <x:c r="C143" s="14" t="d">
        <x:v>2026-07-01T00:00:00.000Z</x:v>
      </x:c>
      <x:c r="D143" s="27" t="n">
        <x:f>'Assumptions'!D105</x:f>
        <x:v>194</x:v>
      </x:c>
      <x:c r="E143" s="28" t="n">
        <x:f>INDEX('Assumptions'!$C$12:$N$12,1,MONTH(C143))</x:f>
        <x:v>0.03</x:v>
      </x:c>
      <x:c r="F143" s="27" t="n">
        <x:f>ROUND(D143*INDEX('Assumptions'!$C$8:$N$8,1,MONTH(C143))*(1-'Products'!E7*E143),0)</x:f>
        <x:v>190</x:v>
      </x:c>
      <x:c r="G143" s="27" t="n">
        <x:f>F143*SUMIFS('Inventory'!$L$5:$L$100,'Inventory'!$A$5:$A$100,A143,'Inventory'!$B$5:$B$100,C143)</x:f>
        <x:v>190</x:v>
      </x:c>
      <x:c r="H143" s="27" t="n">
        <x:f>'Assumptions'!E105*(1+E143)</x:f>
        <x:v>206</x:v>
      </x:c>
      <x:c r="I143" s="27" t="n">
        <x:f>G143*H143</x:f>
        <x:v>39140</x:v>
      </x:c>
      <x:c r="J143" s="27" t="n">
        <x:f>'Products'!D7*INDEX('Assumptions'!$C$16:$N$16,1,MONTH(C143))</x:f>
        <x:v>123.42</x:v>
      </x:c>
      <x:c r="K143" s="27" t="n">
        <x:f>G143*J143</x:f>
        <x:v>23449.8</x:v>
      </x:c>
      <x:c r="L143" s="27" t="n">
        <x:f>I143-K143</x:f>
        <x:v>15690.2</x:v>
      </x:c>
    </x:row>
    <x:row r="144" ht="23" customHeight="1">
      <x:c r="A144" s="34" t="str">
        <x:v>0003</x:v>
      </x:c>
      <x:c r="B144" s="7" t="str">
        <x:v>North</x:v>
      </x:c>
      <x:c r="C144" s="14" t="d">
        <x:v>2026-08-01T00:00:00.000Z</x:v>
      </x:c>
      <x:c r="D144" s="27" t="n">
        <x:f>'Assumptions'!D106</x:f>
        <x:v>209</x:v>
      </x:c>
      <x:c r="E144" s="28" t="n">
        <x:f>INDEX('Assumptions'!$C$12:$N$12,1,MONTH(C144))</x:f>
        <x:v>0.03</x:v>
      </x:c>
      <x:c r="F144" s="27" t="n">
        <x:f>ROUND(D144*INDEX('Assumptions'!$C$8:$N$8,1,MONTH(C144))*(1-'Products'!E7*E144),0)</x:f>
        <x:v>204</x:v>
      </x:c>
      <x:c r="G144" s="27" t="n">
        <x:f>F144*SUMIFS('Inventory'!$L$5:$L$100,'Inventory'!$A$5:$A$100,A144,'Inventory'!$B$5:$B$100,C144)</x:f>
        <x:v>204</x:v>
      </x:c>
      <x:c r="H144" s="27" t="n">
        <x:f>'Assumptions'!E106*(1+E144)</x:f>
        <x:v>206</x:v>
      </x:c>
      <x:c r="I144" s="27" t="n">
        <x:f>G144*H144</x:f>
        <x:v>42024</x:v>
      </x:c>
      <x:c r="J144" s="27" t="n">
        <x:f>'Products'!D7*INDEX('Assumptions'!$C$16:$N$16,1,MONTH(C144))</x:f>
        <x:v>123.42</x:v>
      </x:c>
      <x:c r="K144" s="27" t="n">
        <x:f>G144*J144</x:f>
        <x:v>25177.68</x:v>
      </x:c>
      <x:c r="L144" s="27" t="n">
        <x:f>I144-K144</x:f>
        <x:v>16846.32</x:v>
      </x:c>
    </x:row>
    <x:row r="145" ht="23" customHeight="1">
      <x:c r="A145" s="34" t="str">
        <x:v>0003</x:v>
      </x:c>
      <x:c r="B145" s="7" t="str">
        <x:v>North</x:v>
      </x:c>
      <x:c r="C145" s="14" t="d">
        <x:v>2026-09-01T00:00:00.000Z</x:v>
      </x:c>
      <x:c r="D145" s="27" t="n">
        <x:f>'Assumptions'!D107</x:f>
        <x:v>224</x:v>
      </x:c>
      <x:c r="E145" s="28" t="n">
        <x:f>INDEX('Assumptions'!$C$12:$N$12,1,MONTH(C145))</x:f>
        <x:v>0.03</x:v>
      </x:c>
      <x:c r="F145" s="27" t="n">
        <x:f>ROUND(D145*INDEX('Assumptions'!$C$8:$N$8,1,MONTH(C145))*(1-'Products'!E7*E145),0)</x:f>
        <x:v>219</x:v>
      </x:c>
      <x:c r="G145" s="27" t="n">
        <x:f>F145*SUMIFS('Inventory'!$L$5:$L$100,'Inventory'!$A$5:$A$100,A145,'Inventory'!$B$5:$B$100,C145)</x:f>
        <x:v>219</x:v>
      </x:c>
      <x:c r="H145" s="27" t="n">
        <x:f>'Assumptions'!E107*(1+E145)</x:f>
        <x:v>206</x:v>
      </x:c>
      <x:c r="I145" s="27" t="n">
        <x:f>G145*H145</x:f>
        <x:v>45114</x:v>
      </x:c>
      <x:c r="J145" s="27" t="n">
        <x:f>'Products'!D7*INDEX('Assumptions'!$C$16:$N$16,1,MONTH(C145))</x:f>
        <x:v>123.42</x:v>
      </x:c>
      <x:c r="K145" s="27" t="n">
        <x:f>G145*J145</x:f>
        <x:v>27028.98</x:v>
      </x:c>
      <x:c r="L145" s="27" t="n">
        <x:f>I145-K145</x:f>
        <x:v>18085.02</x:v>
      </x:c>
    </x:row>
    <x:row r="146" ht="23" customHeight="1">
      <x:c r="A146" s="34" t="str">
        <x:v>0003</x:v>
      </x:c>
      <x:c r="B146" s="7" t="str">
        <x:v>North</x:v>
      </x:c>
      <x:c r="C146" s="14" t="d">
        <x:v>2026-10-01T00:00:00.000Z</x:v>
      </x:c>
      <x:c r="D146" s="27" t="n">
        <x:f>'Assumptions'!D108</x:f>
        <x:v>239</x:v>
      </x:c>
      <x:c r="E146" s="28" t="n">
        <x:f>INDEX('Assumptions'!$C$12:$N$12,1,MONTH(C146))</x:f>
        <x:v>0.03</x:v>
      </x:c>
      <x:c r="F146" s="27" t="n">
        <x:f>ROUND(D146*INDEX('Assumptions'!$C$8:$N$8,1,MONTH(C146))*(1-'Products'!E7*E146),0)</x:f>
        <x:v>234</x:v>
      </x:c>
      <x:c r="G146" s="27" t="n">
        <x:f>F146*SUMIFS('Inventory'!$L$5:$L$100,'Inventory'!$A$5:$A$100,A146,'Inventory'!$B$5:$B$100,C146)</x:f>
        <x:v>135.95833333333331</x:v>
      </x:c>
      <x:c r="H146" s="27" t="n">
        <x:f>'Assumptions'!E108*(1+E146)</x:f>
        <x:v>206</x:v>
      </x:c>
      <x:c r="I146" s="27" t="n">
        <x:f>G146*H146</x:f>
        <x:v>28007.416666666664</x:v>
      </x:c>
      <x:c r="J146" s="27" t="n">
        <x:f>'Products'!D7*INDEX('Assumptions'!$C$16:$N$16,1,MONTH(C146))</x:f>
        <x:v>123.42</x:v>
      </x:c>
      <x:c r="K146" s="27" t="n">
        <x:f>G146*J146</x:f>
        <x:v>16779.977499999997</x:v>
      </x:c>
      <x:c r="L146" s="27" t="n">
        <x:f>I146-K146</x:f>
        <x:v>11227.439166666667</x:v>
      </x:c>
    </x:row>
    <x:row r="147" ht="23" customHeight="1">
      <x:c r="A147" s="34" t="str">
        <x:v>0003</x:v>
      </x:c>
      <x:c r="B147" s="7" t="str">
        <x:v>North</x:v>
      </x:c>
      <x:c r="C147" s="14" t="d">
        <x:v>2026-11-01T00:00:00.000Z</x:v>
      </x:c>
      <x:c r="D147" s="27" t="n">
        <x:f>'Assumptions'!D109</x:f>
        <x:v>254</x:v>
      </x:c>
      <x:c r="E147" s="28" t="n">
        <x:f>INDEX('Assumptions'!$C$12:$N$12,1,MONTH(C147))</x:f>
        <x:v>0.03</x:v>
      </x:c>
      <x:c r="F147" s="27" t="n">
        <x:f>ROUND(D147*INDEX('Assumptions'!$C$8:$N$8,1,MONTH(C147))*(1-'Products'!E7*E147),0)</x:f>
        <x:v>248</x:v>
      </x:c>
      <x:c r="G147" s="27" t="n">
        <x:f>F147*SUMIFS('Inventory'!$L$5:$L$100,'Inventory'!$A$5:$A$100,A147,'Inventory'!$B$5:$B$100,C147)</x:f>
        <x:v>114.46153846153847</x:v>
      </x:c>
      <x:c r="H147" s="27" t="n">
        <x:f>'Assumptions'!E109*(1+E147)</x:f>
        <x:v>206</x:v>
      </x:c>
      <x:c r="I147" s="27" t="n">
        <x:f>G147*H147</x:f>
        <x:v>23579.076923076926</x:v>
      </x:c>
      <x:c r="J147" s="27" t="n">
        <x:f>'Products'!D7*INDEX('Assumptions'!$C$16:$N$16,1,MONTH(C147))</x:f>
        <x:v>123.42</x:v>
      </x:c>
      <x:c r="K147" s="27" t="n">
        <x:f>G147*J147</x:f>
        <x:v>14126.843076923078</x:v>
      </x:c>
      <x:c r="L147" s="27" t="n">
        <x:f>I147-K147</x:f>
        <x:v>9452.233846153847</x:v>
      </x:c>
    </x:row>
    <x:row r="148" ht="23" customHeight="1">
      <x:c r="A148" s="34" t="str">
        <x:v>0003</x:v>
      </x:c>
      <x:c r="B148" s="7" t="str">
        <x:v>North</x:v>
      </x:c>
      <x:c r="C148" s="14" t="d">
        <x:v>2026-12-01T00:00:00.000Z</x:v>
      </x:c>
      <x:c r="D148" s="27" t="n">
        <x:f>'Assumptions'!D110</x:f>
        <x:v>269</x:v>
      </x:c>
      <x:c r="E148" s="28" t="n">
        <x:f>INDEX('Assumptions'!$C$12:$N$12,1,MONTH(C148))</x:f>
        <x:v>0.03</x:v>
      </x:c>
      <x:c r="F148" s="27" t="n">
        <x:f>ROUND(D148*INDEX('Assumptions'!$C$8:$N$8,1,MONTH(C148))*(1-'Products'!E7*E148),0)</x:f>
        <x:v>263</x:v>
      </x:c>
      <x:c r="G148" s="27" t="n">
        <x:f>F148*SUMIFS('Inventory'!$L$5:$L$100,'Inventory'!$A$5:$A$100,A148,'Inventory'!$B$5:$B$100,C148)</x:f>
        <x:v>114.09164969450102</x:v>
      </x:c>
      <x:c r="H148" s="27" t="n">
        <x:f>'Assumptions'!E110*(1+E148)</x:f>
        <x:v>206</x:v>
      </x:c>
      <x:c r="I148" s="27" t="n">
        <x:f>G148*H148</x:f>
        <x:v>23502.87983706721</x:v>
      </x:c>
      <x:c r="J148" s="27" t="n">
        <x:f>'Products'!D7*INDEX('Assumptions'!$C$16:$N$16,1,MONTH(C148))</x:f>
        <x:v>123.42</x:v>
      </x:c>
      <x:c r="K148" s="27" t="n">
        <x:f>G148*J148</x:f>
        <x:v>14081.191405295316</x:v>
      </x:c>
      <x:c r="L148" s="27" t="n">
        <x:f>I148-K148</x:f>
        <x:v>9421.688431771892</x:v>
      </x:c>
    </x:row>
    <x:row r="149" ht="23" customHeight="1">
      <x:c r="A149" s="34" t="str">
        <x:v>0004</x:v>
      </x:c>
      <x:c r="B149" s="7" t="str">
        <x:v>Central</x:v>
      </x:c>
      <x:c r="C149" s="14" t="d">
        <x:v>2026-01-01T00:00:00.000Z</x:v>
      </x:c>
      <x:c r="D149" s="27" t="n">
        <x:f>SUMIFS('Orders'!$F$5:$F$3004,'Orders'!$D$5:$D$3004,A149,'Orders'!$E$5:$E$3004,B149,'Orders'!$C$5:$C$3004,C149)</x:f>
        <x:v>68</x:v>
      </x:c>
      <x:c r="E149" s="28" t="n">
        <x:f>0</x:f>
        <x:v>0</x:v>
      </x:c>
      <x:c r="F149" s="27" t="n">
        <x:f>D149</x:f>
        <x:v>68</x:v>
      </x:c>
      <x:c r="G149" s="27" t="n">
        <x:f>F149</x:f>
        <x:v>68</x:v>
      </x:c>
      <x:c r="H149" s="27" t="n">
        <x:f>IF(F149=0,0,I149/F149)</x:f>
        <x:v>220</x:v>
      </x:c>
      <x:c r="I149" s="27" t="n">
        <x:f>SUMIFS('Orders'!$I$5:$I$3004,'Orders'!$D$5:$D$3004,A149,'Orders'!$E$5:$E$3004,B149,'Orders'!$C$5:$C$3004,C149)</x:f>
        <x:v>14960</x:v>
      </x:c>
      <x:c r="J149" s="27" t="n">
        <x:f>'Products'!D8*INDEX('Assumptions'!$C$16:$N$16,1,MONTH(C149))</x:f>
        <x:v>134</x:v>
      </x:c>
      <x:c r="K149" s="27" t="n">
        <x:f>G149*J149</x:f>
        <x:v>9112</x:v>
      </x:c>
      <x:c r="L149" s="27" t="n">
        <x:f>I149-K149</x:f>
        <x:v>5848</x:v>
      </x:c>
    </x:row>
    <x:row r="150" ht="23" customHeight="1">
      <x:c r="A150" s="34" t="str">
        <x:v>0004</x:v>
      </x:c>
      <x:c r="B150" s="7" t="str">
        <x:v>Central</x:v>
      </x:c>
      <x:c r="C150" s="14" t="d">
        <x:v>2026-02-01T00:00:00.000Z</x:v>
      </x:c>
      <x:c r="D150" s="27" t="n">
        <x:f>SUMIFS('Orders'!$F$5:$F$3004,'Orders'!$D$5:$D$3004,A150,'Orders'!$E$5:$E$3004,B150,'Orders'!$C$5:$C$3004,C150)</x:f>
        <x:v>59</x:v>
      </x:c>
      <x:c r="E150" s="28" t="n">
        <x:f>0</x:f>
        <x:v>0</x:v>
      </x:c>
      <x:c r="F150" s="27" t="n">
        <x:f>D150</x:f>
        <x:v>59</x:v>
      </x:c>
      <x:c r="G150" s="27" t="n">
        <x:f>F150</x:f>
        <x:v>59</x:v>
      </x:c>
      <x:c r="H150" s="27" t="n">
        <x:f>IF(F150=0,0,I150/F150)</x:f>
        <x:v>209</x:v>
      </x:c>
      <x:c r="I150" s="27" t="n">
        <x:f>SUMIFS('Orders'!$I$5:$I$3004,'Orders'!$D$5:$D$3004,A150,'Orders'!$E$5:$E$3004,B150,'Orders'!$C$5:$C$3004,C150)</x:f>
        <x:v>12331</x:v>
      </x:c>
      <x:c r="J150" s="27" t="n">
        <x:f>'Products'!D8*INDEX('Assumptions'!$C$16:$N$16,1,MONTH(C150))</x:f>
        <x:v>134</x:v>
      </x:c>
      <x:c r="K150" s="27" t="n">
        <x:f>G150*J150</x:f>
        <x:v>7906</x:v>
      </x:c>
      <x:c r="L150" s="27" t="n">
        <x:f>I150-K150</x:f>
        <x:v>4425</x:v>
      </x:c>
    </x:row>
    <x:row r="151" ht="23" customHeight="1">
      <x:c r="A151" s="34" t="str">
        <x:v>0004</x:v>
      </x:c>
      <x:c r="B151" s="7" t="str">
        <x:v>Central</x:v>
      </x:c>
      <x:c r="C151" s="14" t="d">
        <x:v>2026-03-01T00:00:00.000Z</x:v>
      </x:c>
      <x:c r="D151" s="27" t="n">
        <x:f>SUMIFS('Orders'!$F$5:$F$3004,'Orders'!$D$5:$D$3004,A151,'Orders'!$E$5:$E$3004,B151,'Orders'!$C$5:$C$3004,C151)</x:f>
        <x:v>55</x:v>
      </x:c>
      <x:c r="E151" s="28" t="n">
        <x:f>0</x:f>
        <x:v>0</x:v>
      </x:c>
      <x:c r="F151" s="27" t="n">
        <x:f>D151</x:f>
        <x:v>55</x:v>
      </x:c>
      <x:c r="G151" s="27" t="n">
        <x:f>F151</x:f>
        <x:v>55</x:v>
      </x:c>
      <x:c r="H151" s="27" t="n">
        <x:f>IF(F151=0,0,I151/F151)</x:f>
        <x:v>215.59999999999997</x:v>
      </x:c>
      <x:c r="I151" s="27" t="n">
        <x:f>SUMIFS('Orders'!$I$5:$I$3004,'Orders'!$D$5:$D$3004,A151,'Orders'!$E$5:$E$3004,B151,'Orders'!$C$5:$C$3004,C151)</x:f>
        <x:v>11857.999999999998</x:v>
      </x:c>
      <x:c r="J151" s="27" t="n">
        <x:f>'Products'!D8*INDEX('Assumptions'!$C$16:$N$16,1,MONTH(C151))</x:f>
        <x:v>134</x:v>
      </x:c>
      <x:c r="K151" s="27" t="n">
        <x:f>G151*J151</x:f>
        <x:v>7370</x:v>
      </x:c>
      <x:c r="L151" s="27" t="n">
        <x:f>I151-K151</x:f>
        <x:v>4487.999999999998</x:v>
      </x:c>
    </x:row>
    <x:row r="152" ht="23" customHeight="1">
      <x:c r="A152" s="34" t="str">
        <x:v>0004</x:v>
      </x:c>
      <x:c r="B152" s="7" t="str">
        <x:v>Central</x:v>
      </x:c>
      <x:c r="C152" s="14" t="d">
        <x:v>2026-04-01T00:00:00.000Z</x:v>
      </x:c>
      <x:c r="D152" s="27" t="n">
        <x:f>SUMIFS('Orders'!$F$5:$F$3004,'Orders'!$D$5:$D$3004,A152,'Orders'!$E$5:$E$3004,B152,'Orders'!$C$5:$C$3004,C152)</x:f>
        <x:v>77</x:v>
      </x:c>
      <x:c r="E152" s="28" t="n">
        <x:f>0</x:f>
        <x:v>0</x:v>
      </x:c>
      <x:c r="F152" s="27" t="n">
        <x:f>D152</x:f>
        <x:v>77</x:v>
      </x:c>
      <x:c r="G152" s="27" t="n">
        <x:f>F152</x:f>
        <x:v>77</x:v>
      </x:c>
      <x:c r="H152" s="27" t="n">
        <x:f>IF(F152=0,0,I152/F152)</x:f>
        <x:v>220</x:v>
      </x:c>
      <x:c r="I152" s="27" t="n">
        <x:f>SUMIFS('Orders'!$I$5:$I$3004,'Orders'!$D$5:$D$3004,A152,'Orders'!$E$5:$E$3004,B152,'Orders'!$C$5:$C$3004,C152)</x:f>
        <x:v>16940</x:v>
      </x:c>
      <x:c r="J152" s="27" t="n">
        <x:f>'Products'!D8*INDEX('Assumptions'!$C$16:$N$16,1,MONTH(C152))</x:f>
        <x:v>134</x:v>
      </x:c>
      <x:c r="K152" s="27" t="n">
        <x:f>G152*J152</x:f>
        <x:v>10318</x:v>
      </x:c>
      <x:c r="L152" s="27" t="n">
        <x:f>I152-K152</x:f>
        <x:v>6622</x:v>
      </x:c>
    </x:row>
    <x:row r="153" ht="23" customHeight="1">
      <x:c r="A153" s="34" t="str">
        <x:v>0004</x:v>
      </x:c>
      <x:c r="B153" s="7" t="str">
        <x:v>Central</x:v>
      </x:c>
      <x:c r="C153" s="14" t="d">
        <x:v>2026-05-01T00:00:00.000Z</x:v>
      </x:c>
      <x:c r="D153" s="27" t="n">
        <x:f>SUMIFS('Orders'!$F$5:$F$3004,'Orders'!$D$5:$D$3004,A153,'Orders'!$E$5:$E$3004,B153,'Orders'!$C$5:$C$3004,C153)</x:f>
        <x:v>54</x:v>
      </x:c>
      <x:c r="E153" s="28" t="n">
        <x:f>0</x:f>
        <x:v>0</x:v>
      </x:c>
      <x:c r="F153" s="27" t="n">
        <x:f>D153</x:f>
        <x:v>54</x:v>
      </x:c>
      <x:c r="G153" s="27" t="n">
        <x:f>F153</x:f>
        <x:v>54</x:v>
      </x:c>
      <x:c r="H153" s="27" t="n">
        <x:f>IF(F153=0,0,I153/F153)</x:f>
        <x:v>209</x:v>
      </x:c>
      <x:c r="I153" s="27" t="n">
        <x:f>SUMIFS('Orders'!$I$5:$I$3004,'Orders'!$D$5:$D$3004,A153,'Orders'!$E$5:$E$3004,B153,'Orders'!$C$5:$C$3004,C153)</x:f>
        <x:v>11286</x:v>
      </x:c>
      <x:c r="J153" s="27" t="n">
        <x:f>'Products'!D8*INDEX('Assumptions'!$C$16:$N$16,1,MONTH(C153))</x:f>
        <x:v>134</x:v>
      </x:c>
      <x:c r="K153" s="27" t="n">
        <x:f>G153*J153</x:f>
        <x:v>7236</x:v>
      </x:c>
      <x:c r="L153" s="27" t="n">
        <x:f>I153-K153</x:f>
        <x:v>4050</x:v>
      </x:c>
    </x:row>
    <x:row r="154" ht="23" customHeight="1">
      <x:c r="A154" s="34" t="str">
        <x:v>0004</x:v>
      </x:c>
      <x:c r="B154" s="7" t="str">
        <x:v>Central</x:v>
      </x:c>
      <x:c r="C154" s="14" t="d">
        <x:v>2026-06-01T00:00:00.000Z</x:v>
      </x:c>
      <x:c r="D154" s="27" t="n">
        <x:f>SUMIFS('Orders'!$F$5:$F$3004,'Orders'!$D$5:$D$3004,A154,'Orders'!$E$5:$E$3004,B154,'Orders'!$C$5:$C$3004,C154)</x:f>
        <x:v>58</x:v>
      </x:c>
      <x:c r="E154" s="28" t="n">
        <x:f>0</x:f>
        <x:v>0</x:v>
      </x:c>
      <x:c r="F154" s="27" t="n">
        <x:f>D154</x:f>
        <x:v>58</x:v>
      </x:c>
      <x:c r="G154" s="27" t="n">
        <x:f>F154</x:f>
        <x:v>58</x:v>
      </x:c>
      <x:c r="H154" s="27" t="n">
        <x:f>IF(F154=0,0,I154/F154)</x:f>
        <x:v>215.60000000000002</x:v>
      </x:c>
      <x:c r="I154" s="27" t="n">
        <x:f>SUMIFS('Orders'!$I$5:$I$3004,'Orders'!$D$5:$D$3004,A154,'Orders'!$E$5:$E$3004,B154,'Orders'!$C$5:$C$3004,C154)</x:f>
        <x:v>12504.800000000001</x:v>
      </x:c>
      <x:c r="J154" s="27" t="n">
        <x:f>'Products'!D8*INDEX('Assumptions'!$C$16:$N$16,1,MONTH(C154))</x:f>
        <x:v>134</x:v>
      </x:c>
      <x:c r="K154" s="27" t="n">
        <x:f>G154*J154</x:f>
        <x:v>7772</x:v>
      </x:c>
      <x:c r="L154" s="27" t="n">
        <x:f>I154-K154</x:f>
        <x:v>4732.800000000001</x:v>
      </x:c>
    </x:row>
    <x:row r="155" ht="23" customHeight="1">
      <x:c r="A155" s="34" t="str">
        <x:v>0004</x:v>
      </x:c>
      <x:c r="B155" s="7" t="str">
        <x:v>Central</x:v>
      </x:c>
      <x:c r="C155" s="14" t="d">
        <x:v>2026-07-01T00:00:00.000Z</x:v>
      </x:c>
      <x:c r="D155" s="27" t="n">
        <x:f>'Assumptions'!D111</x:f>
        <x:v>167</x:v>
      </x:c>
      <x:c r="E155" s="28" t="n">
        <x:f>INDEX('Assumptions'!$C$12:$N$12,1,MONTH(C155))</x:f>
        <x:v>0.03</x:v>
      </x:c>
      <x:c r="F155" s="27" t="n">
        <x:f>ROUND(D155*INDEX('Assumptions'!$C$8:$N$8,1,MONTH(C155))*(1-'Products'!E8*E155),0)</x:f>
        <x:v>163</x:v>
      </x:c>
      <x:c r="G155" s="27" t="n">
        <x:f>F155*SUMIFS('Inventory'!$L$5:$L$100,'Inventory'!$A$5:$A$100,A155,'Inventory'!$B$5:$B$100,C155)</x:f>
        <x:v>163</x:v>
      </x:c>
      <x:c r="H155" s="27" t="n">
        <x:f>'Assumptions'!E111*(1+E155)</x:f>
        <x:v>226.6</x:v>
      </x:c>
      <x:c r="I155" s="27" t="n">
        <x:f>G155*H155</x:f>
        <x:v>36935.799999999996</x:v>
      </x:c>
      <x:c r="J155" s="27" t="n">
        <x:f>'Products'!D8*INDEX('Assumptions'!$C$16:$N$16,1,MONTH(C155))</x:f>
        <x:v>136.68</x:v>
      </x:c>
      <x:c r="K155" s="27" t="n">
        <x:f>G155*J155</x:f>
        <x:v>22278.84</x:v>
      </x:c>
      <x:c r="L155" s="27" t="n">
        <x:f>I155-K155</x:f>
        <x:v>14656.959999999995</x:v>
      </x:c>
    </x:row>
    <x:row r="156" ht="23" customHeight="1">
      <x:c r="A156" s="34" t="str">
        <x:v>0004</x:v>
      </x:c>
      <x:c r="B156" s="7" t="str">
        <x:v>Central</x:v>
      </x:c>
      <x:c r="C156" s="14" t="d">
        <x:v>2026-08-01T00:00:00.000Z</x:v>
      </x:c>
      <x:c r="D156" s="27" t="n">
        <x:f>'Assumptions'!D112</x:f>
        <x:v>182</x:v>
      </x:c>
      <x:c r="E156" s="28" t="n">
        <x:f>INDEX('Assumptions'!$C$12:$N$12,1,MONTH(C156))</x:f>
        <x:v>0.03</x:v>
      </x:c>
      <x:c r="F156" s="27" t="n">
        <x:f>ROUND(D156*INDEX('Assumptions'!$C$8:$N$8,1,MONTH(C156))*(1-'Products'!E8*E156),0)</x:f>
        <x:v>178</x:v>
      </x:c>
      <x:c r="G156" s="27" t="n">
        <x:f>F156*SUMIFS('Inventory'!$L$5:$L$100,'Inventory'!$A$5:$A$100,A156,'Inventory'!$B$5:$B$100,C156)</x:f>
        <x:v>178</x:v>
      </x:c>
      <x:c r="H156" s="27" t="n">
        <x:f>'Assumptions'!E112*(1+E156)</x:f>
        <x:v>226.6</x:v>
      </x:c>
      <x:c r="I156" s="27" t="n">
        <x:f>G156*H156</x:f>
        <x:v>40334.799999999996</x:v>
      </x:c>
      <x:c r="J156" s="27" t="n">
        <x:f>'Products'!D8*INDEX('Assumptions'!$C$16:$N$16,1,MONTH(C156))</x:f>
        <x:v>136.68</x:v>
      </x:c>
      <x:c r="K156" s="27" t="n">
        <x:f>G156*J156</x:f>
        <x:v>24329.04</x:v>
      </x:c>
      <x:c r="L156" s="27" t="n">
        <x:f>I156-K156</x:f>
        <x:v>16005.759999999995</x:v>
      </x:c>
    </x:row>
    <x:row r="157" ht="23" customHeight="1">
      <x:c r="A157" s="34" t="str">
        <x:v>0004</x:v>
      </x:c>
      <x:c r="B157" s="7" t="str">
        <x:v>Central</x:v>
      </x:c>
      <x:c r="C157" s="14" t="d">
        <x:v>2026-09-01T00:00:00.000Z</x:v>
      </x:c>
      <x:c r="D157" s="27" t="n">
        <x:f>'Assumptions'!D113</x:f>
        <x:v>197</x:v>
      </x:c>
      <x:c r="E157" s="28" t="n">
        <x:f>INDEX('Assumptions'!$C$12:$N$12,1,MONTH(C157))</x:f>
        <x:v>0.03</x:v>
      </x:c>
      <x:c r="F157" s="27" t="n">
        <x:f>ROUND(D157*INDEX('Assumptions'!$C$8:$N$8,1,MONTH(C157))*(1-'Products'!E8*E157),0)</x:f>
        <x:v>192</x:v>
      </x:c>
      <x:c r="G157" s="27" t="n">
        <x:f>F157*SUMIFS('Inventory'!$L$5:$L$100,'Inventory'!$A$5:$A$100,A157,'Inventory'!$B$5:$B$100,C157)</x:f>
        <x:v>192</x:v>
      </x:c>
      <x:c r="H157" s="27" t="n">
        <x:f>'Assumptions'!E113*(1+E157)</x:f>
        <x:v>226.6</x:v>
      </x:c>
      <x:c r="I157" s="27" t="n">
        <x:f>G157*H157</x:f>
        <x:v>43507.2</x:v>
      </x:c>
      <x:c r="J157" s="27" t="n">
        <x:f>'Products'!D8*INDEX('Assumptions'!$C$16:$N$16,1,MONTH(C157))</x:f>
        <x:v>136.68</x:v>
      </x:c>
      <x:c r="K157" s="27" t="n">
        <x:f>G157*J157</x:f>
        <x:v>26242.56</x:v>
      </x:c>
      <x:c r="L157" s="27" t="n">
        <x:f>I157-K157</x:f>
        <x:v>17264.639999999996</x:v>
      </x:c>
    </x:row>
    <x:row r="158" ht="23" customHeight="1">
      <x:c r="A158" s="34" t="str">
        <x:v>0004</x:v>
      </x:c>
      <x:c r="B158" s="7" t="str">
        <x:v>Central</x:v>
      </x:c>
      <x:c r="C158" s="14" t="d">
        <x:v>2026-10-01T00:00:00.000Z</x:v>
      </x:c>
      <x:c r="D158" s="27" t="n">
        <x:f>'Assumptions'!D114</x:f>
        <x:v>212</x:v>
      </x:c>
      <x:c r="E158" s="28" t="n">
        <x:f>INDEX('Assumptions'!$C$12:$N$12,1,MONTH(C158))</x:f>
        <x:v>0.03</x:v>
      </x:c>
      <x:c r="F158" s="27" t="n">
        <x:f>ROUND(D158*INDEX('Assumptions'!$C$8:$N$8,1,MONTH(C158))*(1-'Products'!E8*E158),0)</x:f>
        <x:v>207</x:v>
      </x:c>
      <x:c r="G158" s="27" t="n">
        <x:f>F158*SUMIFS('Inventory'!$L$5:$L$100,'Inventory'!$A$5:$A$100,A158,'Inventory'!$B$5:$B$100,C158)</x:f>
        <x:v>140.61247216035636</x:v>
      </x:c>
      <x:c r="H158" s="27" t="n">
        <x:f>'Assumptions'!E114*(1+E158)</x:f>
        <x:v>226.6</x:v>
      </x:c>
      <x:c r="I158" s="27" t="n">
        <x:f>G158*H158</x:f>
        <x:v>31862.78619153675</x:v>
      </x:c>
      <x:c r="J158" s="27" t="n">
        <x:f>'Products'!D8*INDEX('Assumptions'!$C$16:$N$16,1,MONTH(C158))</x:f>
        <x:v>136.68</x:v>
      </x:c>
      <x:c r="K158" s="27" t="n">
        <x:f>G158*J158</x:f>
        <x:v>19218.91269487751</x:v>
      </x:c>
      <x:c r="L158" s="27" t="n">
        <x:f>I158-K158</x:f>
        <x:v>12643.873496659242</x:v>
      </x:c>
    </x:row>
    <x:row r="159" ht="23" customHeight="1">
      <x:c r="A159" s="34" t="str">
        <x:v>0004</x:v>
      </x:c>
      <x:c r="B159" s="7" t="str">
        <x:v>Central</x:v>
      </x:c>
      <x:c r="C159" s="14" t="d">
        <x:v>2026-11-01T00:00:00.000Z</x:v>
      </x:c>
      <x:c r="D159" s="27" t="n">
        <x:f>'Assumptions'!D115</x:f>
        <x:v>227</x:v>
      </x:c>
      <x:c r="E159" s="28" t="n">
        <x:f>INDEX('Assumptions'!$C$12:$N$12,1,MONTH(C159))</x:f>
        <x:v>0.03</x:v>
      </x:c>
      <x:c r="F159" s="27" t="n">
        <x:f>ROUND(D159*INDEX('Assumptions'!$C$8:$N$8,1,MONTH(C159))*(1-'Products'!E8*E159),0)</x:f>
        <x:v>221</x:v>
      </x:c>
      <x:c r="G159" s="27" t="n">
        <x:f>F159*SUMIFS('Inventory'!$L$5:$L$100,'Inventory'!$A$5:$A$100,A159,'Inventory'!$B$5:$B$100,C159)</x:f>
        <x:v>102.64016736401673</x:v>
      </x:c>
      <x:c r="H159" s="27" t="n">
        <x:f>'Assumptions'!E115*(1+E159)</x:f>
        <x:v>226.6</x:v>
      </x:c>
      <x:c r="I159" s="27" t="n">
        <x:f>G159*H159</x:f>
        <x:v>23258.26192468619</x:v>
      </x:c>
      <x:c r="J159" s="27" t="n">
        <x:f>'Products'!D8*INDEX('Assumptions'!$C$16:$N$16,1,MONTH(C159))</x:f>
        <x:v>136.68</x:v>
      </x:c>
      <x:c r="K159" s="27" t="n">
        <x:f>G159*J159</x:f>
        <x:v>14028.858075313809</x:v>
      </x:c>
      <x:c r="L159" s="27" t="n">
        <x:f>I159-K159</x:f>
        <x:v>9229.403849372382</x:v>
      </x:c>
    </x:row>
    <x:row r="160" ht="23" customHeight="1">
      <x:c r="A160" s="34" t="str">
        <x:v>0004</x:v>
      </x:c>
      <x:c r="B160" s="7" t="str">
        <x:v>Central</x:v>
      </x:c>
      <x:c r="C160" s="14" t="d">
        <x:v>2026-12-01T00:00:00.000Z</x:v>
      </x:c>
      <x:c r="D160" s="27" t="n">
        <x:f>'Assumptions'!D116</x:f>
        <x:v>242</x:v>
      </x:c>
      <x:c r="E160" s="28" t="n">
        <x:f>INDEX('Assumptions'!$C$12:$N$12,1,MONTH(C160))</x:f>
        <x:v>0.03</x:v>
      </x:c>
      <x:c r="F160" s="27" t="n">
        <x:f>ROUND(D160*INDEX('Assumptions'!$C$8:$N$8,1,MONTH(C160))*(1-'Products'!E8*E160),0)</x:f>
        <x:v>236</x:v>
      </x:c>
      <x:c r="G160" s="27" t="n">
        <x:f>F160*SUMIFS('Inventory'!$L$5:$L$100,'Inventory'!$A$5:$A$100,A160,'Inventory'!$B$5:$B$100,C160)</x:f>
        <x:v>103.23546798029557</x:v>
      </x:c>
      <x:c r="H160" s="27" t="n">
        <x:f>'Assumptions'!E116*(1+E160)</x:f>
        <x:v>226.6</x:v>
      </x:c>
      <x:c r="I160" s="27" t="n">
        <x:f>G160*H160</x:f>
        <x:v>23393.157044334974</x:v>
      </x:c>
      <x:c r="J160" s="27" t="n">
        <x:f>'Products'!D8*INDEX('Assumptions'!$C$16:$N$16,1,MONTH(C160))</x:f>
        <x:v>136.68</x:v>
      </x:c>
      <x:c r="K160" s="27" t="n">
        <x:f>G160*J160</x:f>
        <x:v>14110.2237635468</x:v>
      </x:c>
      <x:c r="L160" s="27" t="n">
        <x:f>I160-K160</x:f>
        <x:v>9282.933280788175</x:v>
      </x:c>
    </x:row>
    <x:row r="161" ht="23" customHeight="1">
      <x:c r="A161" s="34" t="str">
        <x:v>0004</x:v>
      </x:c>
      <x:c r="B161" s="7" t="str">
        <x:v>East</x:v>
      </x:c>
      <x:c r="C161" s="14" t="d">
        <x:v>2026-01-01T00:00:00.000Z</x:v>
      </x:c>
      <x:c r="D161" s="27" t="n">
        <x:f>SUMIFS('Orders'!$F$5:$F$3004,'Orders'!$D$5:$D$3004,A161,'Orders'!$E$5:$E$3004,B161,'Orders'!$C$5:$C$3004,C161)</x:f>
        <x:v>60</x:v>
      </x:c>
      <x:c r="E161" s="28" t="n">
        <x:f>0</x:f>
        <x:v>0</x:v>
      </x:c>
      <x:c r="F161" s="27" t="n">
        <x:f>D161</x:f>
        <x:v>60</x:v>
      </x:c>
      <x:c r="G161" s="27" t="n">
        <x:f>F161</x:f>
        <x:v>60</x:v>
      </x:c>
      <x:c r="H161" s="27" t="n">
        <x:f>IF(F161=0,0,I161/F161)</x:f>
        <x:v>209</x:v>
      </x:c>
      <x:c r="I161" s="27" t="n">
        <x:f>SUMIFS('Orders'!$I$5:$I$3004,'Orders'!$D$5:$D$3004,A161,'Orders'!$E$5:$E$3004,B161,'Orders'!$C$5:$C$3004,C161)</x:f>
        <x:v>12540</x:v>
      </x:c>
      <x:c r="J161" s="27" t="n">
        <x:f>'Products'!D8*INDEX('Assumptions'!$C$16:$N$16,1,MONTH(C161))</x:f>
        <x:v>134</x:v>
      </x:c>
      <x:c r="K161" s="27" t="n">
        <x:f>G161*J161</x:f>
        <x:v>8040</x:v>
      </x:c>
      <x:c r="L161" s="27" t="n">
        <x:f>I161-K161</x:f>
        <x:v>4500</x:v>
      </x:c>
    </x:row>
    <x:row r="162" ht="23" customHeight="1">
      <x:c r="A162" s="34" t="str">
        <x:v>0004</x:v>
      </x:c>
      <x:c r="B162" s="7" t="str">
        <x:v>East</x:v>
      </x:c>
      <x:c r="C162" s="14" t="d">
        <x:v>2026-02-01T00:00:00.000Z</x:v>
      </x:c>
      <x:c r="D162" s="27" t="n">
        <x:f>SUMIFS('Orders'!$F$5:$F$3004,'Orders'!$D$5:$D$3004,A162,'Orders'!$E$5:$E$3004,B162,'Orders'!$C$5:$C$3004,C162)</x:f>
        <x:v>73</x:v>
      </x:c>
      <x:c r="E162" s="28" t="n">
        <x:f>0</x:f>
        <x:v>0</x:v>
      </x:c>
      <x:c r="F162" s="27" t="n">
        <x:f>D162</x:f>
        <x:v>73</x:v>
      </x:c>
      <x:c r="G162" s="27" t="n">
        <x:f>F162</x:f>
        <x:v>73</x:v>
      </x:c>
      <x:c r="H162" s="27" t="n">
        <x:f>IF(F162=0,0,I162/F162)</x:f>
        <x:v>215.60000000000005</x:v>
      </x:c>
      <x:c r="I162" s="27" t="n">
        <x:f>SUMIFS('Orders'!$I$5:$I$3004,'Orders'!$D$5:$D$3004,A162,'Orders'!$E$5:$E$3004,B162,'Orders'!$C$5:$C$3004,C162)</x:f>
        <x:v>15738.800000000005</x:v>
      </x:c>
      <x:c r="J162" s="27" t="n">
        <x:f>'Products'!D8*INDEX('Assumptions'!$C$16:$N$16,1,MONTH(C162))</x:f>
        <x:v>134</x:v>
      </x:c>
      <x:c r="K162" s="27" t="n">
        <x:f>G162*J162</x:f>
        <x:v>9782</x:v>
      </x:c>
      <x:c r="L162" s="27" t="n">
        <x:f>I162-K162</x:f>
        <x:v>5956.800000000005</x:v>
      </x:c>
    </x:row>
    <x:row r="163" ht="23" customHeight="1">
      <x:c r="A163" s="34" t="str">
        <x:v>0004</x:v>
      </x:c>
      <x:c r="B163" s="7" t="str">
        <x:v>East</x:v>
      </x:c>
      <x:c r="C163" s="14" t="d">
        <x:v>2026-03-01T00:00:00.000Z</x:v>
      </x:c>
      <x:c r="D163" s="27" t="n">
        <x:f>SUMIFS('Orders'!$F$5:$F$3004,'Orders'!$D$5:$D$3004,A163,'Orders'!$E$5:$E$3004,B163,'Orders'!$C$5:$C$3004,C163)</x:f>
        <x:v>50</x:v>
      </x:c>
      <x:c r="E163" s="28" t="n">
        <x:f>0</x:f>
        <x:v>0</x:v>
      </x:c>
      <x:c r="F163" s="27" t="n">
        <x:f>D163</x:f>
        <x:v>50</x:v>
      </x:c>
      <x:c r="G163" s="27" t="n">
        <x:f>F163</x:f>
        <x:v>50</x:v>
      </x:c>
      <x:c r="H163" s="27" t="n">
        <x:f>IF(F163=0,0,I163/F163)</x:f>
        <x:v>220</x:v>
      </x:c>
      <x:c r="I163" s="27" t="n">
        <x:f>SUMIFS('Orders'!$I$5:$I$3004,'Orders'!$D$5:$D$3004,A163,'Orders'!$E$5:$E$3004,B163,'Orders'!$C$5:$C$3004,C163)</x:f>
        <x:v>11000</x:v>
      </x:c>
      <x:c r="J163" s="27" t="n">
        <x:f>'Products'!D8*INDEX('Assumptions'!$C$16:$N$16,1,MONTH(C163))</x:f>
        <x:v>134</x:v>
      </x:c>
      <x:c r="K163" s="27" t="n">
        <x:f>G163*J163</x:f>
        <x:v>6700</x:v>
      </x:c>
      <x:c r="L163" s="27" t="n">
        <x:f>I163-K163</x:f>
        <x:v>4300</x:v>
      </x:c>
    </x:row>
    <x:row r="164" ht="23" customHeight="1">
      <x:c r="A164" s="34" t="str">
        <x:v>0004</x:v>
      </x:c>
      <x:c r="B164" s="7" t="str">
        <x:v>East</x:v>
      </x:c>
      <x:c r="C164" s="14" t="d">
        <x:v>2026-04-01T00:00:00.000Z</x:v>
      </x:c>
      <x:c r="D164" s="27" t="n">
        <x:f>SUMIFS('Orders'!$F$5:$F$3004,'Orders'!$D$5:$D$3004,A164,'Orders'!$E$5:$E$3004,B164,'Orders'!$C$5:$C$3004,C164)</x:f>
        <x:v>56</x:v>
      </x:c>
      <x:c r="E164" s="28" t="n">
        <x:f>0</x:f>
        <x:v>0</x:v>
      </x:c>
      <x:c r="F164" s="27" t="n">
        <x:f>D164</x:f>
        <x:v>56</x:v>
      </x:c>
      <x:c r="G164" s="27" t="n">
        <x:f>F164</x:f>
        <x:v>56</x:v>
      </x:c>
      <x:c r="H164" s="27" t="n">
        <x:f>IF(F164=0,0,I164/F164)</x:f>
        <x:v>209</x:v>
      </x:c>
      <x:c r="I164" s="27" t="n">
        <x:f>SUMIFS('Orders'!$I$5:$I$3004,'Orders'!$D$5:$D$3004,A164,'Orders'!$E$5:$E$3004,B164,'Orders'!$C$5:$C$3004,C164)</x:f>
        <x:v>11704</x:v>
      </x:c>
      <x:c r="J164" s="27" t="n">
        <x:f>'Products'!D8*INDEX('Assumptions'!$C$16:$N$16,1,MONTH(C164))</x:f>
        <x:v>134</x:v>
      </x:c>
      <x:c r="K164" s="27" t="n">
        <x:f>G164*J164</x:f>
        <x:v>7504</x:v>
      </x:c>
      <x:c r="L164" s="27" t="n">
        <x:f>I164-K164</x:f>
        <x:v>4200</x:v>
      </x:c>
    </x:row>
    <x:row r="165" ht="23" customHeight="1">
      <x:c r="A165" s="34" t="str">
        <x:v>0004</x:v>
      </x:c>
      <x:c r="B165" s="7" t="str">
        <x:v>East</x:v>
      </x:c>
      <x:c r="C165" s="14" t="d">
        <x:v>2026-05-01T00:00:00.000Z</x:v>
      </x:c>
      <x:c r="D165" s="27" t="n">
        <x:f>SUMIFS('Orders'!$F$5:$F$3004,'Orders'!$D$5:$D$3004,A165,'Orders'!$E$5:$E$3004,B165,'Orders'!$C$5:$C$3004,C165)</x:f>
        <x:v>55</x:v>
      </x:c>
      <x:c r="E165" s="28" t="n">
        <x:f>0</x:f>
        <x:v>0</x:v>
      </x:c>
      <x:c r="F165" s="27" t="n">
        <x:f>D165</x:f>
        <x:v>55</x:v>
      </x:c>
      <x:c r="G165" s="27" t="n">
        <x:f>F165</x:f>
        <x:v>55</x:v>
      </x:c>
      <x:c r="H165" s="27" t="n">
        <x:f>IF(F165=0,0,I165/F165)</x:f>
        <x:v>215.6</x:v>
      </x:c>
      <x:c r="I165" s="27" t="n">
        <x:f>SUMIFS('Orders'!$I$5:$I$3004,'Orders'!$D$5:$D$3004,A165,'Orders'!$E$5:$E$3004,B165,'Orders'!$C$5:$C$3004,C165)</x:f>
        <x:v>11858</x:v>
      </x:c>
      <x:c r="J165" s="27" t="n">
        <x:f>'Products'!D8*INDEX('Assumptions'!$C$16:$N$16,1,MONTH(C165))</x:f>
        <x:v>134</x:v>
      </x:c>
      <x:c r="K165" s="27" t="n">
        <x:f>G165*J165</x:f>
        <x:v>7370</x:v>
      </x:c>
      <x:c r="L165" s="27" t="n">
        <x:f>I165-K165</x:f>
        <x:v>4488</x:v>
      </x:c>
    </x:row>
    <x:row r="166" ht="23" customHeight="1">
      <x:c r="A166" s="34" t="str">
        <x:v>0004</x:v>
      </x:c>
      <x:c r="B166" s="7" t="str">
        <x:v>East</x:v>
      </x:c>
      <x:c r="C166" s="14" t="d">
        <x:v>2026-06-01T00:00:00.000Z</x:v>
      </x:c>
      <x:c r="D166" s="27" t="n">
        <x:f>SUMIFS('Orders'!$F$5:$F$3004,'Orders'!$D$5:$D$3004,A166,'Orders'!$E$5:$E$3004,B166,'Orders'!$C$5:$C$3004,C166)</x:f>
        <x:v>54</x:v>
      </x:c>
      <x:c r="E166" s="28" t="n">
        <x:f>0</x:f>
        <x:v>0</x:v>
      </x:c>
      <x:c r="F166" s="27" t="n">
        <x:f>D166</x:f>
        <x:v>54</x:v>
      </x:c>
      <x:c r="G166" s="27" t="n">
        <x:f>F166</x:f>
        <x:v>54</x:v>
      </x:c>
      <x:c r="H166" s="27" t="n">
        <x:f>IF(F166=0,0,I166/F166)</x:f>
        <x:v>220</x:v>
      </x:c>
      <x:c r="I166" s="27" t="n">
        <x:f>SUMIFS('Orders'!$I$5:$I$3004,'Orders'!$D$5:$D$3004,A166,'Orders'!$E$5:$E$3004,B166,'Orders'!$C$5:$C$3004,C166)</x:f>
        <x:v>11880</x:v>
      </x:c>
      <x:c r="J166" s="27" t="n">
        <x:f>'Products'!D8*INDEX('Assumptions'!$C$16:$N$16,1,MONTH(C166))</x:f>
        <x:v>134</x:v>
      </x:c>
      <x:c r="K166" s="27" t="n">
        <x:f>G166*J166</x:f>
        <x:v>7236</x:v>
      </x:c>
      <x:c r="L166" s="27" t="n">
        <x:f>I166-K166</x:f>
        <x:v>4644</x:v>
      </x:c>
    </x:row>
    <x:row r="167" ht="23" customHeight="1">
      <x:c r="A167" s="34" t="str">
        <x:v>0004</x:v>
      </x:c>
      <x:c r="B167" s="7" t="str">
        <x:v>East</x:v>
      </x:c>
      <x:c r="C167" s="14" t="d">
        <x:v>2026-07-01T00:00:00.000Z</x:v>
      </x:c>
      <x:c r="D167" s="27" t="n">
        <x:f>'Assumptions'!D117</x:f>
        <x:v>179</x:v>
      </x:c>
      <x:c r="E167" s="28" t="n">
        <x:f>INDEX('Assumptions'!$C$12:$N$12,1,MONTH(C167))</x:f>
        <x:v>0.03</x:v>
      </x:c>
      <x:c r="F167" s="27" t="n">
        <x:f>ROUND(D167*INDEX('Assumptions'!$C$8:$N$8,1,MONTH(C167))*(1-'Products'!E8*E167),0)</x:f>
        <x:v>175</x:v>
      </x:c>
      <x:c r="G167" s="27" t="n">
        <x:f>F167*SUMIFS('Inventory'!$L$5:$L$100,'Inventory'!$A$5:$A$100,A167,'Inventory'!$B$5:$B$100,C167)</x:f>
        <x:v>175</x:v>
      </x:c>
      <x:c r="H167" s="27" t="n">
        <x:f>'Assumptions'!E117*(1+E167)</x:f>
        <x:v>226.6</x:v>
      </x:c>
      <x:c r="I167" s="27" t="n">
        <x:f>G167*H167</x:f>
        <x:v>39655</x:v>
      </x:c>
      <x:c r="J167" s="27" t="n">
        <x:f>'Products'!D8*INDEX('Assumptions'!$C$16:$N$16,1,MONTH(C167))</x:f>
        <x:v>136.68</x:v>
      </x:c>
      <x:c r="K167" s="27" t="n">
        <x:f>G167*J167</x:f>
        <x:v>23919</x:v>
      </x:c>
      <x:c r="L167" s="27" t="n">
        <x:f>I167-K167</x:f>
        <x:v>15736</x:v>
      </x:c>
    </x:row>
    <x:row r="168" ht="23" customHeight="1">
      <x:c r="A168" s="34" t="str">
        <x:v>0004</x:v>
      </x:c>
      <x:c r="B168" s="7" t="str">
        <x:v>East</x:v>
      </x:c>
      <x:c r="C168" s="14" t="d">
        <x:v>2026-08-01T00:00:00.000Z</x:v>
      </x:c>
      <x:c r="D168" s="27" t="n">
        <x:f>'Assumptions'!D118</x:f>
        <x:v>194</x:v>
      </x:c>
      <x:c r="E168" s="28" t="n">
        <x:f>INDEX('Assumptions'!$C$12:$N$12,1,MONTH(C168))</x:f>
        <x:v>0.03</x:v>
      </x:c>
      <x:c r="F168" s="27" t="n">
        <x:f>ROUND(D168*INDEX('Assumptions'!$C$8:$N$8,1,MONTH(C168))*(1-'Products'!E8*E168),0)</x:f>
        <x:v>189</x:v>
      </x:c>
      <x:c r="G168" s="27" t="n">
        <x:f>F168*SUMIFS('Inventory'!$L$5:$L$100,'Inventory'!$A$5:$A$100,A168,'Inventory'!$B$5:$B$100,C168)</x:f>
        <x:v>189</x:v>
      </x:c>
      <x:c r="H168" s="27" t="n">
        <x:f>'Assumptions'!E118*(1+E168)</x:f>
        <x:v>226.6</x:v>
      </x:c>
      <x:c r="I168" s="27" t="n">
        <x:f>G168*H168</x:f>
        <x:v>42827.4</x:v>
      </x:c>
      <x:c r="J168" s="27" t="n">
        <x:f>'Products'!D8*INDEX('Assumptions'!$C$16:$N$16,1,MONTH(C168))</x:f>
        <x:v>136.68</x:v>
      </x:c>
      <x:c r="K168" s="27" t="n">
        <x:f>G168*J168</x:f>
        <x:v>25832.52</x:v>
      </x:c>
      <x:c r="L168" s="27" t="n">
        <x:f>I168-K168</x:f>
        <x:v>16994.88</x:v>
      </x:c>
    </x:row>
    <x:row r="169" ht="23" customHeight="1">
      <x:c r="A169" s="34" t="str">
        <x:v>0004</x:v>
      </x:c>
      <x:c r="B169" s="7" t="str">
        <x:v>East</x:v>
      </x:c>
      <x:c r="C169" s="14" t="d">
        <x:v>2026-09-01T00:00:00.000Z</x:v>
      </x:c>
      <x:c r="D169" s="27" t="n">
        <x:f>'Assumptions'!D119</x:f>
        <x:v>209</x:v>
      </x:c>
      <x:c r="E169" s="28" t="n">
        <x:f>INDEX('Assumptions'!$C$12:$N$12,1,MONTH(C169))</x:f>
        <x:v>0.03</x:v>
      </x:c>
      <x:c r="F169" s="27" t="n">
        <x:f>ROUND(D169*INDEX('Assumptions'!$C$8:$N$8,1,MONTH(C169))*(1-'Products'!E8*E169),0)</x:f>
        <x:v>204</x:v>
      </x:c>
      <x:c r="G169" s="27" t="n">
        <x:f>F169*SUMIFS('Inventory'!$L$5:$L$100,'Inventory'!$A$5:$A$100,A169,'Inventory'!$B$5:$B$100,C169)</x:f>
        <x:v>204</x:v>
      </x:c>
      <x:c r="H169" s="27" t="n">
        <x:f>'Assumptions'!E119*(1+E169)</x:f>
        <x:v>226.6</x:v>
      </x:c>
      <x:c r="I169" s="27" t="n">
        <x:f>G169*H169</x:f>
        <x:v>46226.4</x:v>
      </x:c>
      <x:c r="J169" s="27" t="n">
        <x:f>'Products'!D8*INDEX('Assumptions'!$C$16:$N$16,1,MONTH(C169))</x:f>
        <x:v>136.68</x:v>
      </x:c>
      <x:c r="K169" s="27" t="n">
        <x:f>G169*J169</x:f>
        <x:v>27882.72</x:v>
      </x:c>
      <x:c r="L169" s="27" t="n">
        <x:f>I169-K169</x:f>
        <x:v>18343.68</x:v>
      </x:c>
    </x:row>
    <x:row r="170" ht="23" customHeight="1">
      <x:c r="A170" s="34" t="str">
        <x:v>0004</x:v>
      </x:c>
      <x:c r="B170" s="7" t="str">
        <x:v>East</x:v>
      </x:c>
      <x:c r="C170" s="14" t="d">
        <x:v>2026-10-01T00:00:00.000Z</x:v>
      </x:c>
      <x:c r="D170" s="27" t="n">
        <x:f>'Assumptions'!D120</x:f>
        <x:v>224</x:v>
      </x:c>
      <x:c r="E170" s="28" t="n">
        <x:f>INDEX('Assumptions'!$C$12:$N$12,1,MONTH(C170))</x:f>
        <x:v>0.03</x:v>
      </x:c>
      <x:c r="F170" s="27" t="n">
        <x:f>ROUND(D170*INDEX('Assumptions'!$C$8:$N$8,1,MONTH(C170))*(1-'Products'!E8*E170),0)</x:f>
        <x:v>219</x:v>
      </x:c>
      <x:c r="G170" s="27" t="n">
        <x:f>F170*SUMIFS('Inventory'!$L$5:$L$100,'Inventory'!$A$5:$A$100,A170,'Inventory'!$B$5:$B$100,C170)</x:f>
        <x:v>148.76391982182628</x:v>
      </x:c>
      <x:c r="H170" s="27" t="n">
        <x:f>'Assumptions'!E120*(1+E170)</x:f>
        <x:v>226.6</x:v>
      </x:c>
      <x:c r="I170" s="27" t="n">
        <x:f>G170*H170</x:f>
        <x:v>33709.904231625835</x:v>
      </x:c>
      <x:c r="J170" s="27" t="n">
        <x:f>'Products'!D8*INDEX('Assumptions'!$C$16:$N$16,1,MONTH(C170))</x:f>
        <x:v>136.68</x:v>
      </x:c>
      <x:c r="K170" s="27" t="n">
        <x:f>G170*J170</x:f>
        <x:v>20333.052561247216</x:v>
      </x:c>
      <x:c r="L170" s="27" t="n">
        <x:f>I170-K170</x:f>
        <x:v>13376.851670378619</x:v>
      </x:c>
    </x:row>
    <x:row r="171" ht="23" customHeight="1">
      <x:c r="A171" s="34" t="str">
        <x:v>0004</x:v>
      </x:c>
      <x:c r="B171" s="7" t="str">
        <x:v>East</x:v>
      </x:c>
      <x:c r="C171" s="14" t="d">
        <x:v>2026-11-01T00:00:00.000Z</x:v>
      </x:c>
      <x:c r="D171" s="27" t="n">
        <x:f>'Assumptions'!D121</x:f>
        <x:v>239</x:v>
      </x:c>
      <x:c r="E171" s="28" t="n">
        <x:f>INDEX('Assumptions'!$C$12:$N$12,1,MONTH(C171))</x:f>
        <x:v>0.03</x:v>
      </x:c>
      <x:c r="F171" s="27" t="n">
        <x:f>ROUND(D171*INDEX('Assumptions'!$C$8:$N$8,1,MONTH(C171))*(1-'Products'!E8*E171),0)</x:f>
        <x:v>233</x:v>
      </x:c>
      <x:c r="G171" s="27" t="n">
        <x:f>F171*SUMIFS('Inventory'!$L$5:$L$100,'Inventory'!$A$5:$A$100,A171,'Inventory'!$B$5:$B$100,C171)</x:f>
        <x:v>108.2133891213389</x:v>
      </x:c>
      <x:c r="H171" s="27" t="n">
        <x:f>'Assumptions'!E121*(1+E171)</x:f>
        <x:v>226.6</x:v>
      </x:c>
      <x:c r="I171" s="27" t="n">
        <x:f>G171*H171</x:f>
        <x:v>24521.153974895395</x:v>
      </x:c>
      <x:c r="J171" s="27" t="n">
        <x:f>'Products'!D8*INDEX('Assumptions'!$C$16:$N$16,1,MONTH(C171))</x:f>
        <x:v>136.68</x:v>
      </x:c>
      <x:c r="K171" s="27" t="n">
        <x:f>G171*J171</x:f>
        <x:v>14790.606025104602</x:v>
      </x:c>
      <x:c r="L171" s="27" t="n">
        <x:f>I171-K171</x:f>
        <x:v>9730.547949790793</x:v>
      </x:c>
    </x:row>
    <x:row r="172" ht="23" customHeight="1">
      <x:c r="A172" s="34" t="str">
        <x:v>0004</x:v>
      </x:c>
      <x:c r="B172" s="7" t="str">
        <x:v>East</x:v>
      </x:c>
      <x:c r="C172" s="14" t="d">
        <x:v>2026-12-01T00:00:00.000Z</x:v>
      </x:c>
      <x:c r="D172" s="27" t="n">
        <x:f>'Assumptions'!D122</x:f>
        <x:v>254</x:v>
      </x:c>
      <x:c r="E172" s="28" t="n">
        <x:f>INDEX('Assumptions'!$C$12:$N$12,1,MONTH(C172))</x:f>
        <x:v>0.03</x:v>
      </x:c>
      <x:c r="F172" s="27" t="n">
        <x:f>ROUND(D172*INDEX('Assumptions'!$C$8:$N$8,1,MONTH(C172))*(1-'Products'!E8*E172),0)</x:f>
        <x:v>248</x:v>
      </x:c>
      <x:c r="G172" s="27" t="n">
        <x:f>F172*SUMIFS('Inventory'!$L$5:$L$100,'Inventory'!$A$5:$A$100,A172,'Inventory'!$B$5:$B$100,C172)</x:f>
        <x:v>108.48472906403941</x:v>
      </x:c>
      <x:c r="H172" s="27" t="n">
        <x:f>'Assumptions'!E122*(1+E172)</x:f>
        <x:v>226.6</x:v>
      </x:c>
      <x:c r="I172" s="27" t="n">
        <x:f>G172*H172</x:f>
        <x:v>24582.639605911332</x:v>
      </x:c>
      <x:c r="J172" s="27" t="n">
        <x:f>'Products'!D8*INDEX('Assumptions'!$C$16:$N$16,1,MONTH(C172))</x:f>
        <x:v>136.68</x:v>
      </x:c>
      <x:c r="K172" s="27" t="n">
        <x:f>G172*J172</x:f>
        <x:v>14827.692768472907</x:v>
      </x:c>
      <x:c r="L172" s="27" t="n">
        <x:f>I172-K172</x:f>
        <x:v>9754.946837438425</x:v>
      </x:c>
    </x:row>
    <x:row r="173" ht="23" customHeight="1">
      <x:c r="A173" s="34" t="str">
        <x:v>0004</x:v>
      </x:c>
      <x:c r="B173" s="7" t="str">
        <x:v>West</x:v>
      </x:c>
      <x:c r="C173" s="14" t="d">
        <x:v>2026-01-01T00:00:00.000Z</x:v>
      </x:c>
      <x:c r="D173" s="27" t="n">
        <x:f>SUMIFS('Orders'!$F$5:$F$3004,'Orders'!$D$5:$D$3004,A173,'Orders'!$E$5:$E$3004,B173,'Orders'!$C$5:$C$3004,C173)</x:f>
        <x:v>70</x:v>
      </x:c>
      <x:c r="E173" s="28" t="n">
        <x:f>0</x:f>
        <x:v>0</x:v>
      </x:c>
      <x:c r="F173" s="27" t="n">
        <x:f>D173</x:f>
        <x:v>70</x:v>
      </x:c>
      <x:c r="G173" s="27" t="n">
        <x:f>F173</x:f>
        <x:v>70</x:v>
      </x:c>
      <x:c r="H173" s="27" t="n">
        <x:f>IF(F173=0,0,I173/F173)</x:f>
        <x:v>215.60000000000002</x:v>
      </x:c>
      <x:c r="I173" s="27" t="n">
        <x:f>SUMIFS('Orders'!$I$5:$I$3004,'Orders'!$D$5:$D$3004,A173,'Orders'!$E$5:$E$3004,B173,'Orders'!$C$5:$C$3004,C173)</x:f>
        <x:v>15092.000000000002</x:v>
      </x:c>
      <x:c r="J173" s="27" t="n">
        <x:f>'Products'!D8*INDEX('Assumptions'!$C$16:$N$16,1,MONTH(C173))</x:f>
        <x:v>134</x:v>
      </x:c>
      <x:c r="K173" s="27" t="n">
        <x:f>G173*J173</x:f>
        <x:v>9380</x:v>
      </x:c>
      <x:c r="L173" s="27" t="n">
        <x:f>I173-K173</x:f>
        <x:v>5712.000000000002</x:v>
      </x:c>
    </x:row>
    <x:row r="174" ht="23" customHeight="1">
      <x:c r="A174" s="34" t="str">
        <x:v>0004</x:v>
      </x:c>
      <x:c r="B174" s="7" t="str">
        <x:v>West</x:v>
      </x:c>
      <x:c r="C174" s="14" t="d">
        <x:v>2026-02-01T00:00:00.000Z</x:v>
      </x:c>
      <x:c r="D174" s="27" t="n">
        <x:f>SUMIFS('Orders'!$F$5:$F$3004,'Orders'!$D$5:$D$3004,A174,'Orders'!$E$5:$E$3004,B174,'Orders'!$C$5:$C$3004,C174)</x:f>
        <x:v>69</x:v>
      </x:c>
      <x:c r="E174" s="28" t="n">
        <x:f>0</x:f>
        <x:v>0</x:v>
      </x:c>
      <x:c r="F174" s="27" t="n">
        <x:f>D174</x:f>
        <x:v>69</x:v>
      </x:c>
      <x:c r="G174" s="27" t="n">
        <x:f>F174</x:f>
        <x:v>69</x:v>
      </x:c>
      <x:c r="H174" s="27" t="n">
        <x:f>IF(F174=0,0,I174/F174)</x:f>
        <x:v>220</x:v>
      </x:c>
      <x:c r="I174" s="27" t="n">
        <x:f>SUMIFS('Orders'!$I$5:$I$3004,'Orders'!$D$5:$D$3004,A174,'Orders'!$E$5:$E$3004,B174,'Orders'!$C$5:$C$3004,C174)</x:f>
        <x:v>15180</x:v>
      </x:c>
      <x:c r="J174" s="27" t="n">
        <x:f>'Products'!D8*INDEX('Assumptions'!$C$16:$N$16,1,MONTH(C174))</x:f>
        <x:v>134</x:v>
      </x:c>
      <x:c r="K174" s="27" t="n">
        <x:f>G174*J174</x:f>
        <x:v>9246</x:v>
      </x:c>
      <x:c r="L174" s="27" t="n">
        <x:f>I174-K174</x:f>
        <x:v>5934</x:v>
      </x:c>
    </x:row>
    <x:row r="175" ht="23" customHeight="1">
      <x:c r="A175" s="34" t="str">
        <x:v>0004</x:v>
      </x:c>
      <x:c r="B175" s="7" t="str">
        <x:v>West</x:v>
      </x:c>
      <x:c r="C175" s="14" t="d">
        <x:v>2026-03-01T00:00:00.000Z</x:v>
      </x:c>
      <x:c r="D175" s="27" t="n">
        <x:f>SUMIFS('Orders'!$F$5:$F$3004,'Orders'!$D$5:$D$3004,A175,'Orders'!$E$5:$E$3004,B175,'Orders'!$C$5:$C$3004,C175)</x:f>
        <x:v>68</x:v>
      </x:c>
      <x:c r="E175" s="28" t="n">
        <x:f>0</x:f>
        <x:v>0</x:v>
      </x:c>
      <x:c r="F175" s="27" t="n">
        <x:f>D175</x:f>
        <x:v>68</x:v>
      </x:c>
      <x:c r="G175" s="27" t="n">
        <x:f>F175</x:f>
        <x:v>68</x:v>
      </x:c>
      <x:c r="H175" s="27" t="n">
        <x:f>IF(F175=0,0,I175/F175)</x:f>
        <x:v>209</x:v>
      </x:c>
      <x:c r="I175" s="27" t="n">
        <x:f>SUMIFS('Orders'!$I$5:$I$3004,'Orders'!$D$5:$D$3004,A175,'Orders'!$E$5:$E$3004,B175,'Orders'!$C$5:$C$3004,C175)</x:f>
        <x:v>14212</x:v>
      </x:c>
      <x:c r="J175" s="27" t="n">
        <x:f>'Products'!D8*INDEX('Assumptions'!$C$16:$N$16,1,MONTH(C175))</x:f>
        <x:v>134</x:v>
      </x:c>
      <x:c r="K175" s="27" t="n">
        <x:f>G175*J175</x:f>
        <x:v>9112</x:v>
      </x:c>
      <x:c r="L175" s="27" t="n">
        <x:f>I175-K175</x:f>
        <x:v>5100</x:v>
      </x:c>
    </x:row>
    <x:row r="176" ht="23" customHeight="1">
      <x:c r="A176" s="34" t="str">
        <x:v>0004</x:v>
      </x:c>
      <x:c r="B176" s="7" t="str">
        <x:v>West</x:v>
      </x:c>
      <x:c r="C176" s="14" t="d">
        <x:v>2026-04-01T00:00:00.000Z</x:v>
      </x:c>
      <x:c r="D176" s="27" t="n">
        <x:f>SUMIFS('Orders'!$F$5:$F$3004,'Orders'!$D$5:$D$3004,A176,'Orders'!$E$5:$E$3004,B176,'Orders'!$C$5:$C$3004,C176)</x:f>
        <x:v>52</x:v>
      </x:c>
      <x:c r="E176" s="28" t="n">
        <x:f>0</x:f>
        <x:v>0</x:v>
      </x:c>
      <x:c r="F176" s="27" t="n">
        <x:f>D176</x:f>
        <x:v>52</x:v>
      </x:c>
      <x:c r="G176" s="27" t="n">
        <x:f>F176</x:f>
        <x:v>52</x:v>
      </x:c>
      <x:c r="H176" s="27" t="n">
        <x:f>IF(F176=0,0,I176/F176)</x:f>
        <x:v>215.60000000000002</x:v>
      </x:c>
      <x:c r="I176" s="27" t="n">
        <x:f>SUMIFS('Orders'!$I$5:$I$3004,'Orders'!$D$5:$D$3004,A176,'Orders'!$E$5:$E$3004,B176,'Orders'!$C$5:$C$3004,C176)</x:f>
        <x:v>11211.2</x:v>
      </x:c>
      <x:c r="J176" s="27" t="n">
        <x:f>'Products'!D8*INDEX('Assumptions'!$C$16:$N$16,1,MONTH(C176))</x:f>
        <x:v>134</x:v>
      </x:c>
      <x:c r="K176" s="27" t="n">
        <x:f>G176*J176</x:f>
        <x:v>6968</x:v>
      </x:c>
      <x:c r="L176" s="27" t="n">
        <x:f>I176-K176</x:f>
        <x:v>4243.200000000001</x:v>
      </x:c>
    </x:row>
    <x:row r="177" ht="23" customHeight="1">
      <x:c r="A177" s="34" t="str">
        <x:v>0004</x:v>
      </x:c>
      <x:c r="B177" s="7" t="str">
        <x:v>West</x:v>
      </x:c>
      <x:c r="C177" s="14" t="d">
        <x:v>2026-05-01T00:00:00.000Z</x:v>
      </x:c>
      <x:c r="D177" s="27" t="n">
        <x:f>SUMIFS('Orders'!$F$5:$F$3004,'Orders'!$D$5:$D$3004,A177,'Orders'!$E$5:$E$3004,B177,'Orders'!$C$5:$C$3004,C177)</x:f>
        <x:v>48</x:v>
      </x:c>
      <x:c r="E177" s="28" t="n">
        <x:f>0</x:f>
        <x:v>0</x:v>
      </x:c>
      <x:c r="F177" s="27" t="n">
        <x:f>D177</x:f>
        <x:v>48</x:v>
      </x:c>
      <x:c r="G177" s="27" t="n">
        <x:f>F177</x:f>
        <x:v>48</x:v>
      </x:c>
      <x:c r="H177" s="27" t="n">
        <x:f>IF(F177=0,0,I177/F177)</x:f>
        <x:v>220</x:v>
      </x:c>
      <x:c r="I177" s="27" t="n">
        <x:f>SUMIFS('Orders'!$I$5:$I$3004,'Orders'!$D$5:$D$3004,A177,'Orders'!$E$5:$E$3004,B177,'Orders'!$C$5:$C$3004,C177)</x:f>
        <x:v>10560</x:v>
      </x:c>
      <x:c r="J177" s="27" t="n">
        <x:f>'Products'!D8*INDEX('Assumptions'!$C$16:$N$16,1,MONTH(C177))</x:f>
        <x:v>134</x:v>
      </x:c>
      <x:c r="K177" s="27" t="n">
        <x:f>G177*J177</x:f>
        <x:v>6432</x:v>
      </x:c>
      <x:c r="L177" s="27" t="n">
        <x:f>I177-K177</x:f>
        <x:v>4128</x:v>
      </x:c>
    </x:row>
    <x:row r="178" ht="23" customHeight="1">
      <x:c r="A178" s="34" t="str">
        <x:v>0004</x:v>
      </x:c>
      <x:c r="B178" s="7" t="str">
        <x:v>West</x:v>
      </x:c>
      <x:c r="C178" s="14" t="d">
        <x:v>2026-06-01T00:00:00.000Z</x:v>
      </x:c>
      <x:c r="D178" s="27" t="n">
        <x:f>SUMIFS('Orders'!$F$5:$F$3004,'Orders'!$D$5:$D$3004,A178,'Orders'!$E$5:$E$3004,B178,'Orders'!$C$5:$C$3004,C178)</x:f>
        <x:v>53</x:v>
      </x:c>
      <x:c r="E178" s="28" t="n">
        <x:f>0</x:f>
        <x:v>0</x:v>
      </x:c>
      <x:c r="F178" s="27" t="n">
        <x:f>D178</x:f>
        <x:v>53</x:v>
      </x:c>
      <x:c r="G178" s="27" t="n">
        <x:f>F178</x:f>
        <x:v>53</x:v>
      </x:c>
      <x:c r="H178" s="27" t="n">
        <x:f>IF(F178=0,0,I178/F178)</x:f>
        <x:v>209</x:v>
      </x:c>
      <x:c r="I178" s="27" t="n">
        <x:f>SUMIFS('Orders'!$I$5:$I$3004,'Orders'!$D$5:$D$3004,A178,'Orders'!$E$5:$E$3004,B178,'Orders'!$C$5:$C$3004,C178)</x:f>
        <x:v>11077</x:v>
      </x:c>
      <x:c r="J178" s="27" t="n">
        <x:f>'Products'!D8*INDEX('Assumptions'!$C$16:$N$16,1,MONTH(C178))</x:f>
        <x:v>134</x:v>
      </x:c>
      <x:c r="K178" s="27" t="n">
        <x:f>G178*J178</x:f>
        <x:v>7102</x:v>
      </x:c>
      <x:c r="L178" s="27" t="n">
        <x:f>I178-K178</x:f>
        <x:v>3975</x:v>
      </x:c>
    </x:row>
    <x:row r="179" ht="23" customHeight="1">
      <x:c r="A179" s="34" t="str">
        <x:v>0004</x:v>
      </x:c>
      <x:c r="B179" s="7" t="str">
        <x:v>West</x:v>
      </x:c>
      <x:c r="C179" s="14" t="d">
        <x:v>2026-07-01T00:00:00.000Z</x:v>
      </x:c>
      <x:c r="D179" s="27" t="n">
        <x:f>'Assumptions'!D123</x:f>
        <x:v>191</x:v>
      </x:c>
      <x:c r="E179" s="28" t="n">
        <x:f>INDEX('Assumptions'!$C$12:$N$12,1,MONTH(C179))</x:f>
        <x:v>0.03</x:v>
      </x:c>
      <x:c r="F179" s="27" t="n">
        <x:f>ROUND(D179*INDEX('Assumptions'!$C$8:$N$8,1,MONTH(C179))*(1-'Products'!E8*E179),0)</x:f>
        <x:v>186</x:v>
      </x:c>
      <x:c r="G179" s="27" t="n">
        <x:f>F179*SUMIFS('Inventory'!$L$5:$L$100,'Inventory'!$A$5:$A$100,A179,'Inventory'!$B$5:$B$100,C179)</x:f>
        <x:v>186</x:v>
      </x:c>
      <x:c r="H179" s="27" t="n">
        <x:f>'Assumptions'!E123*(1+E179)</x:f>
        <x:v>226.6</x:v>
      </x:c>
      <x:c r="I179" s="27" t="n">
        <x:f>G179*H179</x:f>
        <x:v>42147.6</x:v>
      </x:c>
      <x:c r="J179" s="27" t="n">
        <x:f>'Products'!D8*INDEX('Assumptions'!$C$16:$N$16,1,MONTH(C179))</x:f>
        <x:v>136.68</x:v>
      </x:c>
      <x:c r="K179" s="27" t="n">
        <x:f>G179*J179</x:f>
        <x:v>25422.48</x:v>
      </x:c>
      <x:c r="L179" s="27" t="n">
        <x:f>I179-K179</x:f>
        <x:v>16725.12</x:v>
      </x:c>
    </x:row>
    <x:row r="180" ht="23" customHeight="1">
      <x:c r="A180" s="34" t="str">
        <x:v>0004</x:v>
      </x:c>
      <x:c r="B180" s="7" t="str">
        <x:v>West</x:v>
      </x:c>
      <x:c r="C180" s="14" t="d">
        <x:v>2026-08-01T00:00:00.000Z</x:v>
      </x:c>
      <x:c r="D180" s="27" t="n">
        <x:f>'Assumptions'!D124</x:f>
        <x:v>206</x:v>
      </x:c>
      <x:c r="E180" s="28" t="n">
        <x:f>INDEX('Assumptions'!$C$12:$N$12,1,MONTH(C180))</x:f>
        <x:v>0.03</x:v>
      </x:c>
      <x:c r="F180" s="27" t="n">
        <x:f>ROUND(D180*INDEX('Assumptions'!$C$8:$N$8,1,MONTH(C180))*(1-'Products'!E8*E180),0)</x:f>
        <x:v>201</x:v>
      </x:c>
      <x:c r="G180" s="27" t="n">
        <x:f>F180*SUMIFS('Inventory'!$L$5:$L$100,'Inventory'!$A$5:$A$100,A180,'Inventory'!$B$5:$B$100,C180)</x:f>
        <x:v>201</x:v>
      </x:c>
      <x:c r="H180" s="27" t="n">
        <x:f>'Assumptions'!E124*(1+E180)</x:f>
        <x:v>226.6</x:v>
      </x:c>
      <x:c r="I180" s="27" t="n">
        <x:f>G180*H180</x:f>
        <x:v>45546.6</x:v>
      </x:c>
      <x:c r="J180" s="27" t="n">
        <x:f>'Products'!D8*INDEX('Assumptions'!$C$16:$N$16,1,MONTH(C180))</x:f>
        <x:v>136.68</x:v>
      </x:c>
      <x:c r="K180" s="27" t="n">
        <x:f>G180*J180</x:f>
        <x:v>27472.68</x:v>
      </x:c>
      <x:c r="L180" s="27" t="n">
        <x:f>I180-K180</x:f>
        <x:v>18073.92</x:v>
      </x:c>
    </x:row>
    <x:row r="181" ht="23" customHeight="1">
      <x:c r="A181" s="34" t="str">
        <x:v>0004</x:v>
      </x:c>
      <x:c r="B181" s="7" t="str">
        <x:v>West</x:v>
      </x:c>
      <x:c r="C181" s="14" t="d">
        <x:v>2026-09-01T00:00:00.000Z</x:v>
      </x:c>
      <x:c r="D181" s="27" t="n">
        <x:f>'Assumptions'!D125</x:f>
        <x:v>221</x:v>
      </x:c>
      <x:c r="E181" s="28" t="n">
        <x:f>INDEX('Assumptions'!$C$12:$N$12,1,MONTH(C181))</x:f>
        <x:v>0.03</x:v>
      </x:c>
      <x:c r="F181" s="27" t="n">
        <x:f>ROUND(D181*INDEX('Assumptions'!$C$8:$N$8,1,MONTH(C181))*(1-'Products'!E8*E181),0)</x:f>
        <x:v>216</x:v>
      </x:c>
      <x:c r="G181" s="27" t="n">
        <x:f>F181*SUMIFS('Inventory'!$L$5:$L$100,'Inventory'!$A$5:$A$100,A181,'Inventory'!$B$5:$B$100,C181)</x:f>
        <x:v>216</x:v>
      </x:c>
      <x:c r="H181" s="27" t="n">
        <x:f>'Assumptions'!E125*(1+E181)</x:f>
        <x:v>226.6</x:v>
      </x:c>
      <x:c r="I181" s="27" t="n">
        <x:f>G181*H181</x:f>
        <x:v>48945.6</x:v>
      </x:c>
      <x:c r="J181" s="27" t="n">
        <x:f>'Products'!D8*INDEX('Assumptions'!$C$16:$N$16,1,MONTH(C181))</x:f>
        <x:v>136.68</x:v>
      </x:c>
      <x:c r="K181" s="27" t="n">
        <x:f>G181*J181</x:f>
        <x:v>29522.88</x:v>
      </x:c>
      <x:c r="L181" s="27" t="n">
        <x:f>I181-K181</x:f>
        <x:v>19422.719999999998</x:v>
      </x:c>
    </x:row>
    <x:row r="182" ht="23" customHeight="1">
      <x:c r="A182" s="34" t="str">
        <x:v>0004</x:v>
      </x:c>
      <x:c r="B182" s="7" t="str">
        <x:v>West</x:v>
      </x:c>
      <x:c r="C182" s="14" t="d">
        <x:v>2026-10-01T00:00:00.000Z</x:v>
      </x:c>
      <x:c r="D182" s="27" t="n">
        <x:f>'Assumptions'!D126</x:f>
        <x:v>236</x:v>
      </x:c>
      <x:c r="E182" s="28" t="n">
        <x:f>INDEX('Assumptions'!$C$12:$N$12,1,MONTH(C182))</x:f>
        <x:v>0.03</x:v>
      </x:c>
      <x:c r="F182" s="27" t="n">
        <x:f>ROUND(D182*INDEX('Assumptions'!$C$8:$N$8,1,MONTH(C182))*(1-'Products'!E8*E182),0)</x:f>
        <x:v>230</x:v>
      </x:c>
      <x:c r="G182" s="27" t="n">
        <x:f>F182*SUMIFS('Inventory'!$L$5:$L$100,'Inventory'!$A$5:$A$100,A182,'Inventory'!$B$5:$B$100,C182)</x:f>
        <x:v>156.23608017817372</x:v>
      </x:c>
      <x:c r="H182" s="27" t="n">
        <x:f>'Assumptions'!E126*(1+E182)</x:f>
        <x:v>226.6</x:v>
      </x:c>
      <x:c r="I182" s="27" t="n">
        <x:f>G182*H182</x:f>
        <x:v>35403.095768374165</x:v>
      </x:c>
      <x:c r="J182" s="27" t="n">
        <x:f>'Products'!D8*INDEX('Assumptions'!$C$16:$N$16,1,MONTH(C182))</x:f>
        <x:v>136.68</x:v>
      </x:c>
      <x:c r="K182" s="27" t="n">
        <x:f>G182*J182</x:f>
        <x:v>21354.347438752786</x:v>
      </x:c>
      <x:c r="L182" s="27" t="n">
        <x:f>I182-K182</x:f>
        <x:v>14048.74832962138</x:v>
      </x:c>
    </x:row>
    <x:row r="183" ht="23" customHeight="1">
      <x:c r="A183" s="34" t="str">
        <x:v>0004</x:v>
      </x:c>
      <x:c r="B183" s="7" t="str">
        <x:v>West</x:v>
      </x:c>
      <x:c r="C183" s="14" t="d">
        <x:v>2026-11-01T00:00:00.000Z</x:v>
      </x:c>
      <x:c r="D183" s="27" t="n">
        <x:f>'Assumptions'!D127</x:f>
        <x:v>251</x:v>
      </x:c>
      <x:c r="E183" s="28" t="n">
        <x:f>INDEX('Assumptions'!$C$12:$N$12,1,MONTH(C183))</x:f>
        <x:v>0.03</x:v>
      </x:c>
      <x:c r="F183" s="27" t="n">
        <x:f>ROUND(D183*INDEX('Assumptions'!$C$8:$N$8,1,MONTH(C183))*(1-'Products'!E8*E183),0)</x:f>
        <x:v>245</x:v>
      </x:c>
      <x:c r="G183" s="27" t="n">
        <x:f>F183*SUMIFS('Inventory'!$L$5:$L$100,'Inventory'!$A$5:$A$100,A183,'Inventory'!$B$5:$B$100,C183)</x:f>
        <x:v>113.78661087866108</x:v>
      </x:c>
      <x:c r="H183" s="27" t="n">
        <x:f>'Assumptions'!E127*(1+E183)</x:f>
        <x:v>226.6</x:v>
      </x:c>
      <x:c r="I183" s="27" t="n">
        <x:f>G183*H183</x:f>
        <x:v>25784.0460251046</x:v>
      </x:c>
      <x:c r="J183" s="27" t="n">
        <x:f>'Products'!D8*INDEX('Assumptions'!$C$16:$N$16,1,MONTH(C183))</x:f>
        <x:v>136.68</x:v>
      </x:c>
      <x:c r="K183" s="27" t="n">
        <x:f>G183*J183</x:f>
        <x:v>15552.353974895397</x:v>
      </x:c>
      <x:c r="L183" s="27" t="n">
        <x:f>I183-K183</x:f>
        <x:v>10231.692050209202</x:v>
      </x:c>
    </x:row>
    <x:row r="184" ht="23" customHeight="1">
      <x:c r="A184" s="34" t="str">
        <x:v>0004</x:v>
      </x:c>
      <x:c r="B184" s="7" t="str">
        <x:v>West</x:v>
      </x:c>
      <x:c r="C184" s="14" t="d">
        <x:v>2026-12-01T00:00:00.000Z</x:v>
      </x:c>
      <x:c r="D184" s="27" t="n">
        <x:f>'Assumptions'!D128</x:f>
        <x:v>266</x:v>
      </x:c>
      <x:c r="E184" s="28" t="n">
        <x:f>INDEX('Assumptions'!$C$12:$N$12,1,MONTH(C184))</x:f>
        <x:v>0.03</x:v>
      </x:c>
      <x:c r="F184" s="27" t="n">
        <x:f>ROUND(D184*INDEX('Assumptions'!$C$8:$N$8,1,MONTH(C184))*(1-'Products'!E8*E184),0)</x:f>
        <x:v>260</x:v>
      </x:c>
      <x:c r="G184" s="27" t="n">
        <x:f>F184*SUMIFS('Inventory'!$L$5:$L$100,'Inventory'!$A$5:$A$100,A184,'Inventory'!$B$5:$B$100,C184)</x:f>
        <x:v>113.73399014778326</x:v>
      </x:c>
      <x:c r="H184" s="27" t="n">
        <x:f>'Assumptions'!E128*(1+E184)</x:f>
        <x:v>226.6</x:v>
      </x:c>
      <x:c r="I184" s="27" t="n">
        <x:f>G184*H184</x:f>
        <x:v>25772.122167487687</x:v>
      </x:c>
      <x:c r="J184" s="27" t="n">
        <x:f>'Products'!D8*INDEX('Assumptions'!$C$16:$N$16,1,MONTH(C184))</x:f>
        <x:v>136.68</x:v>
      </x:c>
      <x:c r="K184" s="27" t="n">
        <x:f>G184*J184</x:f>
        <x:v>15545.161773399017</x:v>
      </x:c>
      <x:c r="L184" s="27" t="n">
        <x:f>I184-K184</x:f>
        <x:v>10226.96039408867</x:v>
      </x:c>
    </x:row>
    <x:row r="185" ht="23" customHeight="1">
      <x:c r="A185" s="34" t="str">
        <x:v>0004</x:v>
      </x:c>
      <x:c r="B185" s="7" t="str">
        <x:v>North</x:v>
      </x:c>
      <x:c r="C185" s="14" t="d">
        <x:v>2026-01-01T00:00:00.000Z</x:v>
      </x:c>
      <x:c r="D185" s="27" t="n">
        <x:f>SUMIFS('Orders'!$F$5:$F$3004,'Orders'!$D$5:$D$3004,A185,'Orders'!$E$5:$E$3004,B185,'Orders'!$C$5:$C$3004,C185)</x:f>
        <x:v>67</x:v>
      </x:c>
      <x:c r="E185" s="28" t="n">
        <x:f>0</x:f>
        <x:v>0</x:v>
      </x:c>
      <x:c r="F185" s="27" t="n">
        <x:f>D185</x:f>
        <x:v>67</x:v>
      </x:c>
      <x:c r="G185" s="27" t="n">
        <x:f>F185</x:f>
        <x:v>67</x:v>
      </x:c>
      <x:c r="H185" s="27" t="n">
        <x:f>IF(F185=0,0,I185/F185)</x:f>
        <x:v>220</x:v>
      </x:c>
      <x:c r="I185" s="27" t="n">
        <x:f>SUMIFS('Orders'!$I$5:$I$3004,'Orders'!$D$5:$D$3004,A185,'Orders'!$E$5:$E$3004,B185,'Orders'!$C$5:$C$3004,C185)</x:f>
        <x:v>14740</x:v>
      </x:c>
      <x:c r="J185" s="27" t="n">
        <x:f>'Products'!D8*INDEX('Assumptions'!$C$16:$N$16,1,MONTH(C185))</x:f>
        <x:v>134</x:v>
      </x:c>
      <x:c r="K185" s="27" t="n">
        <x:f>G185*J185</x:f>
        <x:v>8978</x:v>
      </x:c>
      <x:c r="L185" s="27" t="n">
        <x:f>I185-K185</x:f>
        <x:v>5762</x:v>
      </x:c>
    </x:row>
    <x:row r="186" ht="23" customHeight="1">
      <x:c r="A186" s="34" t="str">
        <x:v>0004</x:v>
      </x:c>
      <x:c r="B186" s="7" t="str">
        <x:v>North</x:v>
      </x:c>
      <x:c r="C186" s="14" t="d">
        <x:v>2026-02-01T00:00:00.000Z</x:v>
      </x:c>
      <x:c r="D186" s="27" t="n">
        <x:f>SUMIFS('Orders'!$F$5:$F$3004,'Orders'!$D$5:$D$3004,A186,'Orders'!$E$5:$E$3004,B186,'Orders'!$C$5:$C$3004,C186)</x:f>
        <x:v>67</x:v>
      </x:c>
      <x:c r="E186" s="28" t="n">
        <x:f>0</x:f>
        <x:v>0</x:v>
      </x:c>
      <x:c r="F186" s="27" t="n">
        <x:f>D186</x:f>
        <x:v>67</x:v>
      </x:c>
      <x:c r="G186" s="27" t="n">
        <x:f>F186</x:f>
        <x:v>67</x:v>
      </x:c>
      <x:c r="H186" s="27" t="n">
        <x:f>IF(F186=0,0,I186/F186)</x:f>
        <x:v>209</x:v>
      </x:c>
      <x:c r="I186" s="27" t="n">
        <x:f>SUMIFS('Orders'!$I$5:$I$3004,'Orders'!$D$5:$D$3004,A186,'Orders'!$E$5:$E$3004,B186,'Orders'!$C$5:$C$3004,C186)</x:f>
        <x:v>14003</x:v>
      </x:c>
      <x:c r="J186" s="27" t="n">
        <x:f>'Products'!D8*INDEX('Assumptions'!$C$16:$N$16,1,MONTH(C186))</x:f>
        <x:v>134</x:v>
      </x:c>
      <x:c r="K186" s="27" t="n">
        <x:f>G186*J186</x:f>
        <x:v>8978</x:v>
      </x:c>
      <x:c r="L186" s="27" t="n">
        <x:f>I186-K186</x:f>
        <x:v>5025</x:v>
      </x:c>
    </x:row>
    <x:row r="187" ht="23" customHeight="1">
      <x:c r="A187" s="34" t="str">
        <x:v>0004</x:v>
      </x:c>
      <x:c r="B187" s="7" t="str">
        <x:v>North</x:v>
      </x:c>
      <x:c r="C187" s="14" t="d">
        <x:v>2026-03-01T00:00:00.000Z</x:v>
      </x:c>
      <x:c r="D187" s="27" t="n">
        <x:f>SUMIFS('Orders'!$F$5:$F$3004,'Orders'!$D$5:$D$3004,A187,'Orders'!$E$5:$E$3004,B187,'Orders'!$C$5:$C$3004,C187)</x:f>
        <x:v>62</x:v>
      </x:c>
      <x:c r="E187" s="28" t="n">
        <x:f>0</x:f>
        <x:v>0</x:v>
      </x:c>
      <x:c r="F187" s="27" t="n">
        <x:f>D187</x:f>
        <x:v>62</x:v>
      </x:c>
      <x:c r="G187" s="27" t="n">
        <x:f>F187</x:f>
        <x:v>62</x:v>
      </x:c>
      <x:c r="H187" s="27" t="n">
        <x:f>IF(F187=0,0,I187/F187)</x:f>
        <x:v>215.60000000000002</x:v>
      </x:c>
      <x:c r="I187" s="27" t="n">
        <x:f>SUMIFS('Orders'!$I$5:$I$3004,'Orders'!$D$5:$D$3004,A187,'Orders'!$E$5:$E$3004,B187,'Orders'!$C$5:$C$3004,C187)</x:f>
        <x:v>13367.2</x:v>
      </x:c>
      <x:c r="J187" s="27" t="n">
        <x:f>'Products'!D8*INDEX('Assumptions'!$C$16:$N$16,1,MONTH(C187))</x:f>
        <x:v>134</x:v>
      </x:c>
      <x:c r="K187" s="27" t="n">
        <x:f>G187*J187</x:f>
        <x:v>8308</x:v>
      </x:c>
      <x:c r="L187" s="27" t="n">
        <x:f>I187-K187</x:f>
        <x:v>5059.200000000001</x:v>
      </x:c>
    </x:row>
    <x:row r="188" ht="23" customHeight="1">
      <x:c r="A188" s="34" t="str">
        <x:v>0004</x:v>
      </x:c>
      <x:c r="B188" s="7" t="str">
        <x:v>North</x:v>
      </x:c>
      <x:c r="C188" s="14" t="d">
        <x:v>2026-04-01T00:00:00.000Z</x:v>
      </x:c>
      <x:c r="D188" s="27" t="n">
        <x:f>SUMIFS('Orders'!$F$5:$F$3004,'Orders'!$D$5:$D$3004,A188,'Orders'!$E$5:$E$3004,B188,'Orders'!$C$5:$C$3004,C188)</x:f>
        <x:v>67</x:v>
      </x:c>
      <x:c r="E188" s="28" t="n">
        <x:f>0</x:f>
        <x:v>0</x:v>
      </x:c>
      <x:c r="F188" s="27" t="n">
        <x:f>D188</x:f>
        <x:v>67</x:v>
      </x:c>
      <x:c r="G188" s="27" t="n">
        <x:f>F188</x:f>
        <x:v>67</x:v>
      </x:c>
      <x:c r="H188" s="27" t="n">
        <x:f>IF(F188=0,0,I188/F188)</x:f>
        <x:v>220</x:v>
      </x:c>
      <x:c r="I188" s="27" t="n">
        <x:f>SUMIFS('Orders'!$I$5:$I$3004,'Orders'!$D$5:$D$3004,A188,'Orders'!$E$5:$E$3004,B188,'Orders'!$C$5:$C$3004,C188)</x:f>
        <x:v>14740</x:v>
      </x:c>
      <x:c r="J188" s="27" t="n">
        <x:f>'Products'!D8*INDEX('Assumptions'!$C$16:$N$16,1,MONTH(C188))</x:f>
        <x:v>134</x:v>
      </x:c>
      <x:c r="K188" s="27" t="n">
        <x:f>G188*J188</x:f>
        <x:v>8978</x:v>
      </x:c>
      <x:c r="L188" s="27" t="n">
        <x:f>I188-K188</x:f>
        <x:v>5762</x:v>
      </x:c>
    </x:row>
    <x:row r="189" ht="23" customHeight="1">
      <x:c r="A189" s="34" t="str">
        <x:v>0004</x:v>
      </x:c>
      <x:c r="B189" s="7" t="str">
        <x:v>North</x:v>
      </x:c>
      <x:c r="C189" s="14" t="d">
        <x:v>2026-05-01T00:00:00.000Z</x:v>
      </x:c>
      <x:c r="D189" s="27" t="n">
        <x:f>SUMIFS('Orders'!$F$5:$F$3004,'Orders'!$D$5:$D$3004,A189,'Orders'!$E$5:$E$3004,B189,'Orders'!$C$5:$C$3004,C189)</x:f>
        <x:v>61</x:v>
      </x:c>
      <x:c r="E189" s="28" t="n">
        <x:f>0</x:f>
        <x:v>0</x:v>
      </x:c>
      <x:c r="F189" s="27" t="n">
        <x:f>D189</x:f>
        <x:v>61</x:v>
      </x:c>
      <x:c r="G189" s="27" t="n">
        <x:f>F189</x:f>
        <x:v>61</x:v>
      </x:c>
      <x:c r="H189" s="27" t="n">
        <x:f>IF(F189=0,0,I189/F189)</x:f>
        <x:v>209</x:v>
      </x:c>
      <x:c r="I189" s="27" t="n">
        <x:f>SUMIFS('Orders'!$I$5:$I$3004,'Orders'!$D$5:$D$3004,A189,'Orders'!$E$5:$E$3004,B189,'Orders'!$C$5:$C$3004,C189)</x:f>
        <x:v>12749</x:v>
      </x:c>
      <x:c r="J189" s="27" t="n">
        <x:f>'Products'!D8*INDEX('Assumptions'!$C$16:$N$16,1,MONTH(C189))</x:f>
        <x:v>134</x:v>
      </x:c>
      <x:c r="K189" s="27" t="n">
        <x:f>G189*J189</x:f>
        <x:v>8174</x:v>
      </x:c>
      <x:c r="L189" s="27" t="n">
        <x:f>I189-K189</x:f>
        <x:v>4575</x:v>
      </x:c>
    </x:row>
    <x:row r="190" ht="23" customHeight="1">
      <x:c r="A190" s="34" t="str">
        <x:v>0004</x:v>
      </x:c>
      <x:c r="B190" s="7" t="str">
        <x:v>North</x:v>
      </x:c>
      <x:c r="C190" s="14" t="d">
        <x:v>2026-06-01T00:00:00.000Z</x:v>
      </x:c>
      <x:c r="D190" s="27" t="n">
        <x:f>SUMIFS('Orders'!$F$5:$F$3004,'Orders'!$D$5:$D$3004,A190,'Orders'!$E$5:$E$3004,B190,'Orders'!$C$5:$C$3004,C190)</x:f>
        <x:v>56</x:v>
      </x:c>
      <x:c r="E190" s="28" t="n">
        <x:f>0</x:f>
        <x:v>0</x:v>
      </x:c>
      <x:c r="F190" s="27" t="n">
        <x:f>D190</x:f>
        <x:v>56</x:v>
      </x:c>
      <x:c r="G190" s="27" t="n">
        <x:f>F190</x:f>
        <x:v>56</x:v>
      </x:c>
      <x:c r="H190" s="27" t="n">
        <x:f>IF(F190=0,0,I190/F190)</x:f>
        <x:v>215.6</x:v>
      </x:c>
      <x:c r="I190" s="27" t="n">
        <x:f>SUMIFS('Orders'!$I$5:$I$3004,'Orders'!$D$5:$D$3004,A190,'Orders'!$E$5:$E$3004,B190,'Orders'!$C$5:$C$3004,C190)</x:f>
        <x:v>12073.6</x:v>
      </x:c>
      <x:c r="J190" s="27" t="n">
        <x:f>'Products'!D8*INDEX('Assumptions'!$C$16:$N$16,1,MONTH(C190))</x:f>
        <x:v>134</x:v>
      </x:c>
      <x:c r="K190" s="27" t="n">
        <x:f>G190*J190</x:f>
        <x:v>7504</x:v>
      </x:c>
      <x:c r="L190" s="27" t="n">
        <x:f>I190-K190</x:f>
        <x:v>4569.6</x:v>
      </x:c>
    </x:row>
    <x:row r="191" ht="23" customHeight="1">
      <x:c r="A191" s="34" t="str">
        <x:v>0004</x:v>
      </x:c>
      <x:c r="B191" s="7" t="str">
        <x:v>North</x:v>
      </x:c>
      <x:c r="C191" s="14" t="d">
        <x:v>2026-07-01T00:00:00.000Z</x:v>
      </x:c>
      <x:c r="D191" s="27" t="n">
        <x:f>'Assumptions'!D129</x:f>
        <x:v>203</x:v>
      </x:c>
      <x:c r="E191" s="28" t="n">
        <x:f>INDEX('Assumptions'!$C$12:$N$12,1,MONTH(C191))</x:f>
        <x:v>0.03</x:v>
      </x:c>
      <x:c r="F191" s="27" t="n">
        <x:f>ROUND(D191*INDEX('Assumptions'!$C$8:$N$8,1,MONTH(C191))*(1-'Products'!E8*E191),0)</x:f>
        <x:v>198</x:v>
      </x:c>
      <x:c r="G191" s="27" t="n">
        <x:f>F191*SUMIFS('Inventory'!$L$5:$L$100,'Inventory'!$A$5:$A$100,A191,'Inventory'!$B$5:$B$100,C191)</x:f>
        <x:v>198</x:v>
      </x:c>
      <x:c r="H191" s="27" t="n">
        <x:f>'Assumptions'!E129*(1+E191)</x:f>
        <x:v>226.6</x:v>
      </x:c>
      <x:c r="I191" s="27" t="n">
        <x:f>G191*H191</x:f>
        <x:v>44866.799999999996</x:v>
      </x:c>
      <x:c r="J191" s="27" t="n">
        <x:f>'Products'!D8*INDEX('Assumptions'!$C$16:$N$16,1,MONTH(C191))</x:f>
        <x:v>136.68</x:v>
      </x:c>
      <x:c r="K191" s="27" t="n">
        <x:f>G191*J191</x:f>
        <x:v>27062.640000000003</x:v>
      </x:c>
      <x:c r="L191" s="27" t="n">
        <x:f>I191-K191</x:f>
        <x:v>17804.159999999993</x:v>
      </x:c>
    </x:row>
    <x:row r="192" ht="23" customHeight="1">
      <x:c r="A192" s="34" t="str">
        <x:v>0004</x:v>
      </x:c>
      <x:c r="B192" s="7" t="str">
        <x:v>North</x:v>
      </x:c>
      <x:c r="C192" s="14" t="d">
        <x:v>2026-08-01T00:00:00.000Z</x:v>
      </x:c>
      <x:c r="D192" s="27" t="n">
        <x:f>'Assumptions'!D130</x:f>
        <x:v>218</x:v>
      </x:c>
      <x:c r="E192" s="28" t="n">
        <x:f>INDEX('Assumptions'!$C$12:$N$12,1,MONTH(C192))</x:f>
        <x:v>0.03</x:v>
      </x:c>
      <x:c r="F192" s="27" t="n">
        <x:f>ROUND(D192*INDEX('Assumptions'!$C$8:$N$8,1,MONTH(C192))*(1-'Products'!E8*E192),0)</x:f>
        <x:v>213</x:v>
      </x:c>
      <x:c r="G192" s="27" t="n">
        <x:f>F192*SUMIFS('Inventory'!$L$5:$L$100,'Inventory'!$A$5:$A$100,A192,'Inventory'!$B$5:$B$100,C192)</x:f>
        <x:v>213</x:v>
      </x:c>
      <x:c r="H192" s="27" t="n">
        <x:f>'Assumptions'!E130*(1+E192)</x:f>
        <x:v>226.6</x:v>
      </x:c>
      <x:c r="I192" s="27" t="n">
        <x:f>G192*H192</x:f>
        <x:v>48265.799999999996</x:v>
      </x:c>
      <x:c r="J192" s="27" t="n">
        <x:f>'Products'!D8*INDEX('Assumptions'!$C$16:$N$16,1,MONTH(C192))</x:f>
        <x:v>136.68</x:v>
      </x:c>
      <x:c r="K192" s="27" t="n">
        <x:f>G192*J192</x:f>
        <x:v>29112.84</x:v>
      </x:c>
      <x:c r="L192" s="27" t="n">
        <x:f>I192-K192</x:f>
        <x:v>19152.959999999995</x:v>
      </x:c>
    </x:row>
    <x:row r="193" ht="23" customHeight="1">
      <x:c r="A193" s="34" t="str">
        <x:v>0004</x:v>
      </x:c>
      <x:c r="B193" s="7" t="str">
        <x:v>North</x:v>
      </x:c>
      <x:c r="C193" s="14" t="d">
        <x:v>2026-09-01T00:00:00.000Z</x:v>
      </x:c>
      <x:c r="D193" s="27" t="n">
        <x:f>'Assumptions'!D131</x:f>
        <x:v>233</x:v>
      </x:c>
      <x:c r="E193" s="28" t="n">
        <x:f>INDEX('Assumptions'!$C$12:$N$12,1,MONTH(C193))</x:f>
        <x:v>0.03</x:v>
      </x:c>
      <x:c r="F193" s="27" t="n">
        <x:f>ROUND(D193*INDEX('Assumptions'!$C$8:$N$8,1,MONTH(C193))*(1-'Products'!E8*E193),0)</x:f>
        <x:v>227</x:v>
      </x:c>
      <x:c r="G193" s="27" t="n">
        <x:f>F193*SUMIFS('Inventory'!$L$5:$L$100,'Inventory'!$A$5:$A$100,A193,'Inventory'!$B$5:$B$100,C193)</x:f>
        <x:v>227</x:v>
      </x:c>
      <x:c r="H193" s="27" t="n">
        <x:f>'Assumptions'!E131*(1+E193)</x:f>
        <x:v>226.6</x:v>
      </x:c>
      <x:c r="I193" s="27" t="n">
        <x:f>G193*H193</x:f>
        <x:v>51438.2</x:v>
      </x:c>
      <x:c r="J193" s="27" t="n">
        <x:f>'Products'!D8*INDEX('Assumptions'!$C$16:$N$16,1,MONTH(C193))</x:f>
        <x:v>136.68</x:v>
      </x:c>
      <x:c r="K193" s="27" t="n">
        <x:f>G193*J193</x:f>
        <x:v>31026.36</x:v>
      </x:c>
      <x:c r="L193" s="27" t="n">
        <x:f>I193-K193</x:f>
        <x:v>20411.839999999997</x:v>
      </x:c>
    </x:row>
    <x:row r="194" ht="23" customHeight="1">
      <x:c r="A194" s="34" t="str">
        <x:v>0004</x:v>
      </x:c>
      <x:c r="B194" s="7" t="str">
        <x:v>North</x:v>
      </x:c>
      <x:c r="C194" s="14" t="d">
        <x:v>2026-10-01T00:00:00.000Z</x:v>
      </x:c>
      <x:c r="D194" s="27" t="n">
        <x:f>'Assumptions'!D132</x:f>
        <x:v>248</x:v>
      </x:c>
      <x:c r="E194" s="28" t="n">
        <x:f>INDEX('Assumptions'!$C$12:$N$12,1,MONTH(C194))</x:f>
        <x:v>0.03</x:v>
      </x:c>
      <x:c r="F194" s="27" t="n">
        <x:f>ROUND(D194*INDEX('Assumptions'!$C$8:$N$8,1,MONTH(C194))*(1-'Products'!E8*E194),0)</x:f>
        <x:v>242</x:v>
      </x:c>
      <x:c r="G194" s="27" t="n">
        <x:f>F194*SUMIFS('Inventory'!$L$5:$L$100,'Inventory'!$A$5:$A$100,A194,'Inventory'!$B$5:$B$100,C194)</x:f>
        <x:v>164.38752783964367</x:v>
      </x:c>
      <x:c r="H194" s="27" t="n">
        <x:f>'Assumptions'!E132*(1+E194)</x:f>
        <x:v>226.6</x:v>
      </x:c>
      <x:c r="I194" s="27" t="n">
        <x:f>G194*H194</x:f>
        <x:v>37250.21380846325</x:v>
      </x:c>
      <x:c r="J194" s="27" t="n">
        <x:f>'Products'!D8*INDEX('Assumptions'!$C$16:$N$16,1,MONTH(C194))</x:f>
        <x:v>136.68</x:v>
      </x:c>
      <x:c r="K194" s="27" t="n">
        <x:f>G194*J194</x:f>
        <x:v>22468.487305122497</x:v>
      </x:c>
      <x:c r="L194" s="27" t="n">
        <x:f>I194-K194</x:f>
        <x:v>14781.726503340757</x:v>
      </x:c>
    </x:row>
    <x:row r="195" ht="23" customHeight="1">
      <x:c r="A195" s="34" t="str">
        <x:v>0004</x:v>
      </x:c>
      <x:c r="B195" s="7" t="str">
        <x:v>North</x:v>
      </x:c>
      <x:c r="C195" s="14" t="d">
        <x:v>2026-11-01T00:00:00.000Z</x:v>
      </x:c>
      <x:c r="D195" s="27" t="n">
        <x:f>'Assumptions'!D133</x:f>
        <x:v>263</x:v>
      </x:c>
      <x:c r="E195" s="28" t="n">
        <x:f>INDEX('Assumptions'!$C$12:$N$12,1,MONTH(C195))</x:f>
        <x:v>0.03</x:v>
      </x:c>
      <x:c r="F195" s="27" t="n">
        <x:f>ROUND(D195*INDEX('Assumptions'!$C$8:$N$8,1,MONTH(C195))*(1-'Products'!E8*E195),0)</x:f>
        <x:v>257</x:v>
      </x:c>
      <x:c r="G195" s="27" t="n">
        <x:f>F195*SUMIFS('Inventory'!$L$5:$L$100,'Inventory'!$A$5:$A$100,A195,'Inventory'!$B$5:$B$100,C195)</x:f>
        <x:v>119.35983263598327</x:v>
      </x:c>
      <x:c r="H195" s="27" t="n">
        <x:f>'Assumptions'!E133*(1+E195)</x:f>
        <x:v>226.6</x:v>
      </x:c>
      <x:c r="I195" s="27" t="n">
        <x:f>G195*H195</x:f>
        <x:v>27046.938075313807</x:v>
      </x:c>
      <x:c r="J195" s="27" t="n">
        <x:f>'Products'!D8*INDEX('Assumptions'!$C$16:$N$16,1,MONTH(C195))</x:f>
        <x:v>136.68</x:v>
      </x:c>
      <x:c r="K195" s="27" t="n">
        <x:f>G195*J195</x:f>
        <x:v>16314.101924686194</x:v>
      </x:c>
      <x:c r="L195" s="27" t="n">
        <x:f>I195-K195</x:f>
        <x:v>10732.836150627612</x:v>
      </x:c>
    </x:row>
    <x:row r="196" ht="23" customHeight="1">
      <x:c r="A196" s="34" t="str">
        <x:v>0004</x:v>
      </x:c>
      <x:c r="B196" s="7" t="str">
        <x:v>North</x:v>
      </x:c>
      <x:c r="C196" s="14" t="d">
        <x:v>2026-12-01T00:00:00.000Z</x:v>
      </x:c>
      <x:c r="D196" s="27" t="n">
        <x:f>'Assumptions'!D134</x:f>
        <x:v>278</x:v>
      </x:c>
      <x:c r="E196" s="28" t="n">
        <x:f>INDEX('Assumptions'!$C$12:$N$12,1,MONTH(C196))</x:f>
        <x:v>0.03</x:v>
      </x:c>
      <x:c r="F196" s="27" t="n">
        <x:f>ROUND(D196*INDEX('Assumptions'!$C$8:$N$8,1,MONTH(C196))*(1-'Products'!E8*E196),0)</x:f>
        <x:v>271</x:v>
      </x:c>
      <x:c r="G196" s="27" t="n">
        <x:f>F196*SUMIFS('Inventory'!$L$5:$L$100,'Inventory'!$A$5:$A$100,A196,'Inventory'!$B$5:$B$100,C196)</x:f>
        <x:v>118.54581280788177</x:v>
      </x:c>
      <x:c r="H196" s="27" t="n">
        <x:f>'Assumptions'!E134*(1+E196)</x:f>
        <x:v>226.6</x:v>
      </x:c>
      <x:c r="I196" s="27" t="n">
        <x:f>G196*H196</x:f>
        <x:v>26862.48118226601</x:v>
      </x:c>
      <x:c r="J196" s="27" t="n">
        <x:f>'Products'!D8*INDEX('Assumptions'!$C$16:$N$16,1,MONTH(C196))</x:f>
        <x:v>136.68</x:v>
      </x:c>
      <x:c r="K196" s="27" t="n">
        <x:f>G196*J196</x:f>
        <x:v>16202.841694581282</x:v>
      </x:c>
      <x:c r="L196" s="27" t="n">
        <x:f>I196-K196</x:f>
        <x:v>10659.639487684726</x:v>
      </x:c>
    </x:row>
    <x:row r="197" ht="23" customHeight="1">
      <x:c r="A197" s="34" t="str">
        <x:v>0005</x:v>
      </x:c>
      <x:c r="B197" s="7" t="str">
        <x:v>Central</x:v>
      </x:c>
      <x:c r="C197" s="14" t="d">
        <x:v>2026-01-01T00:00:00.000Z</x:v>
      </x:c>
      <x:c r="D197" s="27" t="n">
        <x:f>SUMIFS('Orders'!$F$5:$F$3004,'Orders'!$D$5:$D$3004,A197,'Orders'!$E$5:$E$3004,B197,'Orders'!$C$5:$C$3004,C197)</x:f>
        <x:v>72</x:v>
      </x:c>
      <x:c r="E197" s="28" t="n">
        <x:f>0</x:f>
        <x:v>0</x:v>
      </x:c>
      <x:c r="F197" s="27" t="n">
        <x:f>D197</x:f>
        <x:v>72</x:v>
      </x:c>
      <x:c r="G197" s="27" t="n">
        <x:f>F197</x:f>
        <x:v>72</x:v>
      </x:c>
      <x:c r="H197" s="27" t="n">
        <x:f>IF(F197=0,0,I197/F197)</x:f>
        <x:v>235.20000000000002</x:v>
      </x:c>
      <x:c r="I197" s="27" t="n">
        <x:f>SUMIFS('Orders'!$I$5:$I$3004,'Orders'!$D$5:$D$3004,A197,'Orders'!$E$5:$E$3004,B197,'Orders'!$C$5:$C$3004,C197)</x:f>
        <x:v>16934.4</x:v>
      </x:c>
      <x:c r="J197" s="27" t="n">
        <x:f>'Products'!D9*INDEX('Assumptions'!$C$16:$N$16,1,MONTH(C197))</x:f>
        <x:v>147</x:v>
      </x:c>
      <x:c r="K197" s="27" t="n">
        <x:f>G197*J197</x:f>
        <x:v>10584</x:v>
      </x:c>
      <x:c r="L197" s="27" t="n">
        <x:f>I197-K197</x:f>
        <x:v>6350.4000000000015</x:v>
      </x:c>
    </x:row>
    <x:row r="198" ht="23" customHeight="1">
      <x:c r="A198" s="34" t="str">
        <x:v>0005</x:v>
      </x:c>
      <x:c r="B198" s="7" t="str">
        <x:v>Central</x:v>
      </x:c>
      <x:c r="C198" s="14" t="d">
        <x:v>2026-02-01T00:00:00.000Z</x:v>
      </x:c>
      <x:c r="D198" s="27" t="n">
        <x:f>SUMIFS('Orders'!$F$5:$F$3004,'Orders'!$D$5:$D$3004,A198,'Orders'!$E$5:$E$3004,B198,'Orders'!$C$5:$C$3004,C198)</x:f>
        <x:v>65</x:v>
      </x:c>
      <x:c r="E198" s="28" t="n">
        <x:f>0</x:f>
        <x:v>0</x:v>
      </x:c>
      <x:c r="F198" s="27" t="n">
        <x:f>D198</x:f>
        <x:v>65</x:v>
      </x:c>
      <x:c r="G198" s="27" t="n">
        <x:f>F198</x:f>
        <x:v>65</x:v>
      </x:c>
      <x:c r="H198" s="27" t="n">
        <x:f>IF(F198=0,0,I198/F198)</x:f>
        <x:v>240</x:v>
      </x:c>
      <x:c r="I198" s="27" t="n">
        <x:f>SUMIFS('Orders'!$I$5:$I$3004,'Orders'!$D$5:$D$3004,A198,'Orders'!$E$5:$E$3004,B198,'Orders'!$C$5:$C$3004,C198)</x:f>
        <x:v>15600</x:v>
      </x:c>
      <x:c r="J198" s="27" t="n">
        <x:f>'Products'!D9*INDEX('Assumptions'!$C$16:$N$16,1,MONTH(C198))</x:f>
        <x:v>147</x:v>
      </x:c>
      <x:c r="K198" s="27" t="n">
        <x:f>G198*J198</x:f>
        <x:v>9555</x:v>
      </x:c>
      <x:c r="L198" s="27" t="n">
        <x:f>I198-K198</x:f>
        <x:v>6045</x:v>
      </x:c>
    </x:row>
    <x:row r="199" ht="23" customHeight="1">
      <x:c r="A199" s="34" t="str">
        <x:v>0005</x:v>
      </x:c>
      <x:c r="B199" s="7" t="str">
        <x:v>Central</x:v>
      </x:c>
      <x:c r="C199" s="14" t="d">
        <x:v>2026-03-01T00:00:00.000Z</x:v>
      </x:c>
      <x:c r="D199" s="27" t="n">
        <x:f>SUMIFS('Orders'!$F$5:$F$3004,'Orders'!$D$5:$D$3004,A199,'Orders'!$E$5:$E$3004,B199,'Orders'!$C$5:$C$3004,C199)</x:f>
        <x:v>63</x:v>
      </x:c>
      <x:c r="E199" s="28" t="n">
        <x:f>0</x:f>
        <x:v>0</x:v>
      </x:c>
      <x:c r="F199" s="27" t="n">
        <x:f>D199</x:f>
        <x:v>63</x:v>
      </x:c>
      <x:c r="G199" s="27" t="n">
        <x:f>F199</x:f>
        <x:v>63</x:v>
      </x:c>
      <x:c r="H199" s="27" t="n">
        <x:f>IF(F199=0,0,I199/F199)</x:f>
        <x:v>228</x:v>
      </x:c>
      <x:c r="I199" s="27" t="n">
        <x:f>SUMIFS('Orders'!$I$5:$I$3004,'Orders'!$D$5:$D$3004,A199,'Orders'!$E$5:$E$3004,B199,'Orders'!$C$5:$C$3004,C199)</x:f>
        <x:v>14364</x:v>
      </x:c>
      <x:c r="J199" s="27" t="n">
        <x:f>'Products'!D9*INDEX('Assumptions'!$C$16:$N$16,1,MONTH(C199))</x:f>
        <x:v>147</x:v>
      </x:c>
      <x:c r="K199" s="27" t="n">
        <x:f>G199*J199</x:f>
        <x:v>9261</x:v>
      </x:c>
      <x:c r="L199" s="27" t="n">
        <x:f>I199-K199</x:f>
        <x:v>5103</x:v>
      </x:c>
    </x:row>
    <x:row r="200" ht="23" customHeight="1">
      <x:c r="A200" s="34" t="str">
        <x:v>0005</x:v>
      </x:c>
      <x:c r="B200" s="7" t="str">
        <x:v>Central</x:v>
      </x:c>
      <x:c r="C200" s="14" t="d">
        <x:v>2026-04-01T00:00:00.000Z</x:v>
      </x:c>
      <x:c r="D200" s="27" t="n">
        <x:f>SUMIFS('Orders'!$F$5:$F$3004,'Orders'!$D$5:$D$3004,A200,'Orders'!$E$5:$E$3004,B200,'Orders'!$C$5:$C$3004,C200)</x:f>
        <x:v>42</x:v>
      </x:c>
      <x:c r="E200" s="28" t="n">
        <x:f>0</x:f>
        <x:v>0</x:v>
      </x:c>
      <x:c r="F200" s="27" t="n">
        <x:f>D200</x:f>
        <x:v>42</x:v>
      </x:c>
      <x:c r="G200" s="27" t="n">
        <x:f>F200</x:f>
        <x:v>42</x:v>
      </x:c>
      <x:c r="H200" s="27" t="n">
        <x:f>IF(F200=0,0,I200/F200)</x:f>
        <x:v>235.2</x:v>
      </x:c>
      <x:c r="I200" s="27" t="n">
        <x:f>SUMIFS('Orders'!$I$5:$I$3004,'Orders'!$D$5:$D$3004,A200,'Orders'!$E$5:$E$3004,B200,'Orders'!$C$5:$C$3004,C200)</x:f>
        <x:v>9878.4</x:v>
      </x:c>
      <x:c r="J200" s="27" t="n">
        <x:f>'Products'!D9*INDEX('Assumptions'!$C$16:$N$16,1,MONTH(C200))</x:f>
        <x:v>147</x:v>
      </x:c>
      <x:c r="K200" s="27" t="n">
        <x:f>G200*J200</x:f>
        <x:v>6174</x:v>
      </x:c>
      <x:c r="L200" s="27" t="n">
        <x:f>I200-K200</x:f>
        <x:v>3704.3999999999996</x:v>
      </x:c>
    </x:row>
    <x:row r="201" ht="23" customHeight="1">
      <x:c r="A201" s="34" t="str">
        <x:v>0005</x:v>
      </x:c>
      <x:c r="B201" s="7" t="str">
        <x:v>Central</x:v>
      </x:c>
      <x:c r="C201" s="14" t="d">
        <x:v>2026-05-01T00:00:00.000Z</x:v>
      </x:c>
      <x:c r="D201" s="27" t="n">
        <x:f>SUMIFS('Orders'!$F$5:$F$3004,'Orders'!$D$5:$D$3004,A201,'Orders'!$E$5:$E$3004,B201,'Orders'!$C$5:$C$3004,C201)</x:f>
        <x:v>42</x:v>
      </x:c>
      <x:c r="E201" s="28" t="n">
        <x:f>0</x:f>
        <x:v>0</x:v>
      </x:c>
      <x:c r="F201" s="27" t="n">
        <x:f>D201</x:f>
        <x:v>42</x:v>
      </x:c>
      <x:c r="G201" s="27" t="n">
        <x:f>F201</x:f>
        <x:v>42</x:v>
      </x:c>
      <x:c r="H201" s="27" t="n">
        <x:f>IF(F201=0,0,I201/F201)</x:f>
        <x:v>240</x:v>
      </x:c>
      <x:c r="I201" s="27" t="n">
        <x:f>SUMIFS('Orders'!$I$5:$I$3004,'Orders'!$D$5:$D$3004,A201,'Orders'!$E$5:$E$3004,B201,'Orders'!$C$5:$C$3004,C201)</x:f>
        <x:v>10080</x:v>
      </x:c>
      <x:c r="J201" s="27" t="n">
        <x:f>'Products'!D9*INDEX('Assumptions'!$C$16:$N$16,1,MONTH(C201))</x:f>
        <x:v>147</x:v>
      </x:c>
      <x:c r="K201" s="27" t="n">
        <x:f>G201*J201</x:f>
        <x:v>6174</x:v>
      </x:c>
      <x:c r="L201" s="27" t="n">
        <x:f>I201-K201</x:f>
        <x:v>3906</x:v>
      </x:c>
    </x:row>
    <x:row r="202" ht="23" customHeight="1">
      <x:c r="A202" s="34" t="str">
        <x:v>0005</x:v>
      </x:c>
      <x:c r="B202" s="7" t="str">
        <x:v>Central</x:v>
      </x:c>
      <x:c r="C202" s="14" t="d">
        <x:v>2026-06-01T00:00:00.000Z</x:v>
      </x:c>
      <x:c r="D202" s="27" t="n">
        <x:f>SUMIFS('Orders'!$F$5:$F$3004,'Orders'!$D$5:$D$3004,A202,'Orders'!$E$5:$E$3004,B202,'Orders'!$C$5:$C$3004,C202)</x:f>
        <x:v>58</x:v>
      </x:c>
      <x:c r="E202" s="28" t="n">
        <x:f>0</x:f>
        <x:v>0</x:v>
      </x:c>
      <x:c r="F202" s="27" t="n">
        <x:f>D202</x:f>
        <x:v>58</x:v>
      </x:c>
      <x:c r="G202" s="27" t="n">
        <x:f>F202</x:f>
        <x:v>58</x:v>
      </x:c>
      <x:c r="H202" s="27" t="n">
        <x:f>IF(F202=0,0,I202/F202)</x:f>
        <x:v>228</x:v>
      </x:c>
      <x:c r="I202" s="27" t="n">
        <x:f>SUMIFS('Orders'!$I$5:$I$3004,'Orders'!$D$5:$D$3004,A202,'Orders'!$E$5:$E$3004,B202,'Orders'!$C$5:$C$3004,C202)</x:f>
        <x:v>13224</x:v>
      </x:c>
      <x:c r="J202" s="27" t="n">
        <x:f>'Products'!D9*INDEX('Assumptions'!$C$16:$N$16,1,MONTH(C202))</x:f>
        <x:v>147</x:v>
      </x:c>
      <x:c r="K202" s="27" t="n">
        <x:f>G202*J202</x:f>
        <x:v>8526</x:v>
      </x:c>
      <x:c r="L202" s="27" t="n">
        <x:f>I202-K202</x:f>
        <x:v>4698</x:v>
      </x:c>
    </x:row>
    <x:row r="203" ht="23" customHeight="1">
      <x:c r="A203" s="34" t="str">
        <x:v>0005</x:v>
      </x:c>
      <x:c r="B203" s="7" t="str">
        <x:v>Central</x:v>
      </x:c>
      <x:c r="C203" s="14" t="d">
        <x:v>2026-07-01T00:00:00.000Z</x:v>
      </x:c>
      <x:c r="D203" s="27" t="n">
        <x:f>'Assumptions'!D135</x:f>
        <x:v>176</x:v>
      </x:c>
      <x:c r="E203" s="28" t="n">
        <x:f>INDEX('Assumptions'!$C$12:$N$12,1,MONTH(C203))</x:f>
        <x:v>0.03</x:v>
      </x:c>
      <x:c r="F203" s="27" t="n">
        <x:f>ROUND(D203*INDEX('Assumptions'!$C$8:$N$8,1,MONTH(C203))*(1-'Products'!E9*E203),0)</x:f>
        <x:v>171</x:v>
      </x:c>
      <x:c r="G203" s="27" t="n">
        <x:f>F203*SUMIFS('Inventory'!$L$5:$L$100,'Inventory'!$A$5:$A$100,A203,'Inventory'!$B$5:$B$100,C203)</x:f>
        <x:v>171</x:v>
      </x:c>
      <x:c r="H203" s="27" t="n">
        <x:f>'Assumptions'!E135*(1+E203)</x:f>
        <x:v>247.20000000000002</x:v>
      </x:c>
      <x:c r="I203" s="27" t="n">
        <x:f>G203*H203</x:f>
        <x:v>42271.200000000004</x:v>
      </x:c>
      <x:c r="J203" s="27" t="n">
        <x:f>'Products'!D9*INDEX('Assumptions'!$C$16:$N$16,1,MONTH(C203))</x:f>
        <x:v>149.94</x:v>
      </x:c>
      <x:c r="K203" s="27" t="n">
        <x:f>G203*J203</x:f>
        <x:v>25639.739999999998</x:v>
      </x:c>
      <x:c r="L203" s="27" t="n">
        <x:f>I203-K203</x:f>
        <x:v>16631.460000000006</x:v>
      </x:c>
    </x:row>
    <x:row r="204" ht="23" customHeight="1">
      <x:c r="A204" s="34" t="str">
        <x:v>0005</x:v>
      </x:c>
      <x:c r="B204" s="7" t="str">
        <x:v>Central</x:v>
      </x:c>
      <x:c r="C204" s="14" t="d">
        <x:v>2026-08-01T00:00:00.000Z</x:v>
      </x:c>
      <x:c r="D204" s="27" t="n">
        <x:f>'Assumptions'!D136</x:f>
        <x:v>191</x:v>
      </x:c>
      <x:c r="E204" s="28" t="n">
        <x:f>INDEX('Assumptions'!$C$12:$N$12,1,MONTH(C204))</x:f>
        <x:v>0.03</x:v>
      </x:c>
      <x:c r="F204" s="27" t="n">
        <x:f>ROUND(D204*INDEX('Assumptions'!$C$8:$N$8,1,MONTH(C204))*(1-'Products'!E9*E204),0)</x:f>
        <x:v>186</x:v>
      </x:c>
      <x:c r="G204" s="27" t="n">
        <x:f>F204*SUMIFS('Inventory'!$L$5:$L$100,'Inventory'!$A$5:$A$100,A204,'Inventory'!$B$5:$B$100,C204)</x:f>
        <x:v>186</x:v>
      </x:c>
      <x:c r="H204" s="27" t="n">
        <x:f>'Assumptions'!E136*(1+E204)</x:f>
        <x:v>247.20000000000002</x:v>
      </x:c>
      <x:c r="I204" s="27" t="n">
        <x:f>G204*H204</x:f>
        <x:v>45979.200000000004</x:v>
      </x:c>
      <x:c r="J204" s="27" t="n">
        <x:f>'Products'!D9*INDEX('Assumptions'!$C$16:$N$16,1,MONTH(C204))</x:f>
        <x:v>149.94</x:v>
      </x:c>
      <x:c r="K204" s="27" t="n">
        <x:f>G204*J204</x:f>
        <x:v>27888.84</x:v>
      </x:c>
      <x:c r="L204" s="27" t="n">
        <x:f>I204-K204</x:f>
        <x:v>18090.360000000004</x:v>
      </x:c>
    </x:row>
    <x:row r="205" ht="23" customHeight="1">
      <x:c r="A205" s="34" t="str">
        <x:v>0005</x:v>
      </x:c>
      <x:c r="B205" s="7" t="str">
        <x:v>Central</x:v>
      </x:c>
      <x:c r="C205" s="14" t="d">
        <x:v>2026-09-01T00:00:00.000Z</x:v>
      </x:c>
      <x:c r="D205" s="27" t="n">
        <x:f>'Assumptions'!D137</x:f>
        <x:v>206</x:v>
      </x:c>
      <x:c r="E205" s="28" t="n">
        <x:f>INDEX('Assumptions'!$C$12:$N$12,1,MONTH(C205))</x:f>
        <x:v>0.03</x:v>
      </x:c>
      <x:c r="F205" s="27" t="n">
        <x:f>ROUND(D205*INDEX('Assumptions'!$C$8:$N$8,1,MONTH(C205))*(1-'Products'!E9*E205),0)</x:f>
        <x:v>201</x:v>
      </x:c>
      <x:c r="G205" s="27" t="n">
        <x:f>F205*SUMIFS('Inventory'!$L$5:$L$100,'Inventory'!$A$5:$A$100,A205,'Inventory'!$B$5:$B$100,C205)</x:f>
        <x:v>201</x:v>
      </x:c>
      <x:c r="H205" s="27" t="n">
        <x:f>'Assumptions'!E137*(1+E205)</x:f>
        <x:v>247.20000000000002</x:v>
      </x:c>
      <x:c r="I205" s="27" t="n">
        <x:f>G205*H205</x:f>
        <x:v>49687.200000000004</x:v>
      </x:c>
      <x:c r="J205" s="27" t="n">
        <x:f>'Products'!D9*INDEX('Assumptions'!$C$16:$N$16,1,MONTH(C205))</x:f>
        <x:v>149.94</x:v>
      </x:c>
      <x:c r="K205" s="27" t="n">
        <x:f>G205*J205</x:f>
        <x:v>30137.94</x:v>
      </x:c>
      <x:c r="L205" s="27" t="n">
        <x:f>I205-K205</x:f>
        <x:v>19549.260000000006</x:v>
      </x:c>
    </x:row>
    <x:row r="206" ht="23" customHeight="1">
      <x:c r="A206" s="34" t="str">
        <x:v>0005</x:v>
      </x:c>
      <x:c r="B206" s="7" t="str">
        <x:v>Central</x:v>
      </x:c>
      <x:c r="C206" s="14" t="d">
        <x:v>2026-10-01T00:00:00.000Z</x:v>
      </x:c>
      <x:c r="D206" s="27" t="n">
        <x:f>'Assumptions'!D138</x:f>
        <x:v>221</x:v>
      </x:c>
      <x:c r="E206" s="28" t="n">
        <x:f>INDEX('Assumptions'!$C$12:$N$12,1,MONTH(C206))</x:f>
        <x:v>0.03</x:v>
      </x:c>
      <x:c r="F206" s="27" t="n">
        <x:f>ROUND(D206*INDEX('Assumptions'!$C$8:$N$8,1,MONTH(C206))*(1-'Products'!E9*E206),0)</x:f>
        <x:v>215</x:v>
      </x:c>
      <x:c r="G206" s="27" t="n">
        <x:f>F206*SUMIFS('Inventory'!$L$5:$L$100,'Inventory'!$A$5:$A$100,A206,'Inventory'!$B$5:$B$100,C206)</x:f>
        <x:v>169.5059076262084</x:v>
      </x:c>
      <x:c r="H206" s="27" t="n">
        <x:f>'Assumptions'!E138*(1+E206)</x:f>
        <x:v>247.20000000000002</x:v>
      </x:c>
      <x:c r="I206" s="27" t="n">
        <x:f>G206*H206</x:f>
        <x:v>41901.86036519872</x:v>
      </x:c>
      <x:c r="J206" s="27" t="n">
        <x:f>'Products'!D9*INDEX('Assumptions'!$C$16:$N$16,1,MONTH(C206))</x:f>
        <x:v>149.94</x:v>
      </x:c>
      <x:c r="K206" s="27" t="n">
        <x:f>G206*J206</x:f>
        <x:v>25415.71578947369</x:v>
      </x:c>
      <x:c r="L206" s="27" t="n">
        <x:f>I206-K206</x:f>
        <x:v>16486.144575725033</x:v>
      </x:c>
    </x:row>
    <x:row r="207" ht="23" customHeight="1">
      <x:c r="A207" s="34" t="str">
        <x:v>0005</x:v>
      </x:c>
      <x:c r="B207" s="7" t="str">
        <x:v>Central</x:v>
      </x:c>
      <x:c r="C207" s="14" t="d">
        <x:v>2026-11-01T00:00:00.000Z</x:v>
      </x:c>
      <x:c r="D207" s="27" t="n">
        <x:f>'Assumptions'!D139</x:f>
        <x:v>236</x:v>
      </x:c>
      <x:c r="E207" s="28" t="n">
        <x:f>INDEX('Assumptions'!$C$12:$N$12,1,MONTH(C207))</x:f>
        <x:v>0.03</x:v>
      </x:c>
      <x:c r="F207" s="27" t="n">
        <x:f>ROUND(D207*INDEX('Assumptions'!$C$8:$N$8,1,MONTH(C207))*(1-'Products'!E9*E207),0)</x:f>
        <x:v>230</x:v>
      </x:c>
      <x:c r="G207" s="27" t="n">
        <x:f>F207*SUMIFS('Inventory'!$L$5:$L$100,'Inventory'!$A$5:$A$100,A207,'Inventory'!$B$5:$B$100,C207)</x:f>
        <x:v>107.44186046511628</x:v>
      </x:c>
      <x:c r="H207" s="27" t="n">
        <x:f>'Assumptions'!E139*(1+E207)</x:f>
        <x:v>247.20000000000002</x:v>
      </x:c>
      <x:c r="I207" s="27" t="n">
        <x:f>G207*H207</x:f>
        <x:v>26559.627906976744</x:v>
      </x:c>
      <x:c r="J207" s="27" t="n">
        <x:f>'Products'!D9*INDEX('Assumptions'!$C$16:$N$16,1,MONTH(C207))</x:f>
        <x:v>149.94</x:v>
      </x:c>
      <x:c r="K207" s="27" t="n">
        <x:f>G207*J207</x:f>
        <x:v>16109.832558139535</x:v>
      </x:c>
      <x:c r="L207" s="27" t="n">
        <x:f>I207-K207</x:f>
        <x:v>10449.79534883721</x:v>
      </x:c>
    </x:row>
    <x:row r="208" ht="23" customHeight="1">
      <x:c r="A208" s="34" t="str">
        <x:v>0005</x:v>
      </x:c>
      <x:c r="B208" s="7" t="str">
        <x:v>Central</x:v>
      </x:c>
      <x:c r="C208" s="14" t="d">
        <x:v>2026-12-01T00:00:00.000Z</x:v>
      </x:c>
      <x:c r="D208" s="27" t="n">
        <x:f>'Assumptions'!D140</x:f>
        <x:v>251</x:v>
      </x:c>
      <x:c r="E208" s="28" t="n">
        <x:f>INDEX('Assumptions'!$C$12:$N$12,1,MONTH(C208))</x:f>
        <x:v>0.03</x:v>
      </x:c>
      <x:c r="F208" s="27" t="n">
        <x:f>ROUND(D208*INDEX('Assumptions'!$C$8:$N$8,1,MONTH(C208))*(1-'Products'!E9*E208),0)</x:f>
        <x:v>244</x:v>
      </x:c>
      <x:c r="G208" s="27" t="n">
        <x:f>F208*SUMIFS('Inventory'!$L$5:$L$100,'Inventory'!$A$5:$A$100,A208,'Inventory'!$B$5:$B$100,C208)</x:f>
        <x:v>107.6676217765043</x:v>
      </x:c>
      <x:c r="H208" s="27" t="n">
        <x:f>'Assumptions'!E140*(1+E208)</x:f>
        <x:v>247.20000000000002</x:v>
      </x:c>
      <x:c r="I208" s="27" t="n">
        <x:f>G208*H208</x:f>
        <x:v>26615.436103151867</x:v>
      </x:c>
      <x:c r="J208" s="27" t="n">
        <x:f>'Products'!D9*INDEX('Assumptions'!$C$16:$N$16,1,MONTH(C208))</x:f>
        <x:v>149.94</x:v>
      </x:c>
      <x:c r="K208" s="27" t="n">
        <x:f>G208*J208</x:f>
        <x:v>16143.683209169056</x:v>
      </x:c>
      <x:c r="L208" s="27" t="n">
        <x:f>I208-K208</x:f>
        <x:v>10471.752893982812</x:v>
      </x:c>
    </x:row>
    <x:row r="209" ht="23" customHeight="1">
      <x:c r="A209" s="34" t="str">
        <x:v>0005</x:v>
      </x:c>
      <x:c r="B209" s="7" t="str">
        <x:v>East</x:v>
      </x:c>
      <x:c r="C209" s="14" t="d">
        <x:v>2026-01-01T00:00:00.000Z</x:v>
      </x:c>
      <x:c r="D209" s="27" t="n">
        <x:f>SUMIFS('Orders'!$F$5:$F$3004,'Orders'!$D$5:$D$3004,A209,'Orders'!$E$5:$E$3004,B209,'Orders'!$C$5:$C$3004,C209)</x:f>
        <x:v>59</x:v>
      </x:c>
      <x:c r="E209" s="28" t="n">
        <x:f>0</x:f>
        <x:v>0</x:v>
      </x:c>
      <x:c r="F209" s="27" t="n">
        <x:f>D209</x:f>
        <x:v>59</x:v>
      </x:c>
      <x:c r="G209" s="27" t="n">
        <x:f>F209</x:f>
        <x:v>59</x:v>
      </x:c>
      <x:c r="H209" s="27" t="n">
        <x:f>IF(F209=0,0,I209/F209)</x:f>
        <x:v>240</x:v>
      </x:c>
      <x:c r="I209" s="27" t="n">
        <x:f>SUMIFS('Orders'!$I$5:$I$3004,'Orders'!$D$5:$D$3004,A209,'Orders'!$E$5:$E$3004,B209,'Orders'!$C$5:$C$3004,C209)</x:f>
        <x:v>14160</x:v>
      </x:c>
      <x:c r="J209" s="27" t="n">
        <x:f>'Products'!D9*INDEX('Assumptions'!$C$16:$N$16,1,MONTH(C209))</x:f>
        <x:v>147</x:v>
      </x:c>
      <x:c r="K209" s="27" t="n">
        <x:f>G209*J209</x:f>
        <x:v>8673</x:v>
      </x:c>
      <x:c r="L209" s="27" t="n">
        <x:f>I209-K209</x:f>
        <x:v>5487</x:v>
      </x:c>
    </x:row>
    <x:row r="210" ht="23" customHeight="1">
      <x:c r="A210" s="34" t="str">
        <x:v>0005</x:v>
      </x:c>
      <x:c r="B210" s="7" t="str">
        <x:v>East</x:v>
      </x:c>
      <x:c r="C210" s="14" t="d">
        <x:v>2026-02-01T00:00:00.000Z</x:v>
      </x:c>
      <x:c r="D210" s="27" t="n">
        <x:f>SUMIFS('Orders'!$F$5:$F$3004,'Orders'!$D$5:$D$3004,A210,'Orders'!$E$5:$E$3004,B210,'Orders'!$C$5:$C$3004,C210)</x:f>
        <x:v>60</x:v>
      </x:c>
      <x:c r="E210" s="28" t="n">
        <x:f>0</x:f>
        <x:v>0</x:v>
      </x:c>
      <x:c r="F210" s="27" t="n">
        <x:f>D210</x:f>
        <x:v>60</x:v>
      </x:c>
      <x:c r="G210" s="27" t="n">
        <x:f>F210</x:f>
        <x:v>60</x:v>
      </x:c>
      <x:c r="H210" s="27" t="n">
        <x:f>IF(F210=0,0,I210/F210)</x:f>
        <x:v>228</x:v>
      </x:c>
      <x:c r="I210" s="27" t="n">
        <x:f>SUMIFS('Orders'!$I$5:$I$3004,'Orders'!$D$5:$D$3004,A210,'Orders'!$E$5:$E$3004,B210,'Orders'!$C$5:$C$3004,C210)</x:f>
        <x:v>13680</x:v>
      </x:c>
      <x:c r="J210" s="27" t="n">
        <x:f>'Products'!D9*INDEX('Assumptions'!$C$16:$N$16,1,MONTH(C210))</x:f>
        <x:v>147</x:v>
      </x:c>
      <x:c r="K210" s="27" t="n">
        <x:f>G210*J210</x:f>
        <x:v>8820</x:v>
      </x:c>
      <x:c r="L210" s="27" t="n">
        <x:f>I210-K210</x:f>
        <x:v>4860</x:v>
      </x:c>
    </x:row>
    <x:row r="211" ht="23" customHeight="1">
      <x:c r="A211" s="34" t="str">
        <x:v>0005</x:v>
      </x:c>
      <x:c r="B211" s="7" t="str">
        <x:v>East</x:v>
      </x:c>
      <x:c r="C211" s="14" t="d">
        <x:v>2026-03-01T00:00:00.000Z</x:v>
      </x:c>
      <x:c r="D211" s="27" t="n">
        <x:f>SUMIFS('Orders'!$F$5:$F$3004,'Orders'!$D$5:$D$3004,A211,'Orders'!$E$5:$E$3004,B211,'Orders'!$C$5:$C$3004,C211)</x:f>
        <x:v>61</x:v>
      </x:c>
      <x:c r="E211" s="28" t="n">
        <x:f>0</x:f>
        <x:v>0</x:v>
      </x:c>
      <x:c r="F211" s="27" t="n">
        <x:f>D211</x:f>
        <x:v>61</x:v>
      </x:c>
      <x:c r="G211" s="27" t="n">
        <x:f>F211</x:f>
        <x:v>61</x:v>
      </x:c>
      <x:c r="H211" s="27" t="n">
        <x:f>IF(F211=0,0,I211/F211)</x:f>
        <x:v>235.20000000000002</x:v>
      </x:c>
      <x:c r="I211" s="27" t="n">
        <x:f>SUMIFS('Orders'!$I$5:$I$3004,'Orders'!$D$5:$D$3004,A211,'Orders'!$E$5:$E$3004,B211,'Orders'!$C$5:$C$3004,C211)</x:f>
        <x:v>14347.2</x:v>
      </x:c>
      <x:c r="J211" s="27" t="n">
        <x:f>'Products'!D9*INDEX('Assumptions'!$C$16:$N$16,1,MONTH(C211))</x:f>
        <x:v>147</x:v>
      </x:c>
      <x:c r="K211" s="27" t="n">
        <x:f>G211*J211</x:f>
        <x:v>8967</x:v>
      </x:c>
      <x:c r="L211" s="27" t="n">
        <x:f>I211-K211</x:f>
        <x:v>5380.200000000001</x:v>
      </x:c>
    </x:row>
    <x:row r="212" ht="23" customHeight="1">
      <x:c r="A212" s="34" t="str">
        <x:v>0005</x:v>
      </x:c>
      <x:c r="B212" s="7" t="str">
        <x:v>East</x:v>
      </x:c>
      <x:c r="C212" s="14" t="d">
        <x:v>2026-04-01T00:00:00.000Z</x:v>
      </x:c>
      <x:c r="D212" s="27" t="n">
        <x:f>SUMIFS('Orders'!$F$5:$F$3004,'Orders'!$D$5:$D$3004,A212,'Orders'!$E$5:$E$3004,B212,'Orders'!$C$5:$C$3004,C212)</x:f>
        <x:v>66</x:v>
      </x:c>
      <x:c r="E212" s="28" t="n">
        <x:f>0</x:f>
        <x:v>0</x:v>
      </x:c>
      <x:c r="F212" s="27" t="n">
        <x:f>D212</x:f>
        <x:v>66</x:v>
      </x:c>
      <x:c r="G212" s="27" t="n">
        <x:f>F212</x:f>
        <x:v>66</x:v>
      </x:c>
      <x:c r="H212" s="27" t="n">
        <x:f>IF(F212=0,0,I212/F212)</x:f>
        <x:v>240</x:v>
      </x:c>
      <x:c r="I212" s="27" t="n">
        <x:f>SUMIFS('Orders'!$I$5:$I$3004,'Orders'!$D$5:$D$3004,A212,'Orders'!$E$5:$E$3004,B212,'Orders'!$C$5:$C$3004,C212)</x:f>
        <x:v>15840</x:v>
      </x:c>
      <x:c r="J212" s="27" t="n">
        <x:f>'Products'!D9*INDEX('Assumptions'!$C$16:$N$16,1,MONTH(C212))</x:f>
        <x:v>147</x:v>
      </x:c>
      <x:c r="K212" s="27" t="n">
        <x:f>G212*J212</x:f>
        <x:v>9702</x:v>
      </x:c>
      <x:c r="L212" s="27" t="n">
        <x:f>I212-K212</x:f>
        <x:v>6138</x:v>
      </x:c>
    </x:row>
    <x:row r="213" ht="23" customHeight="1">
      <x:c r="A213" s="34" t="str">
        <x:v>0005</x:v>
      </x:c>
      <x:c r="B213" s="7" t="str">
        <x:v>East</x:v>
      </x:c>
      <x:c r="C213" s="14" t="d">
        <x:v>2026-05-01T00:00:00.000Z</x:v>
      </x:c>
      <x:c r="D213" s="27" t="n">
        <x:f>SUMIFS('Orders'!$F$5:$F$3004,'Orders'!$D$5:$D$3004,A213,'Orders'!$E$5:$E$3004,B213,'Orders'!$C$5:$C$3004,C213)</x:f>
        <x:v>52</x:v>
      </x:c>
      <x:c r="E213" s="28" t="n">
        <x:f>0</x:f>
        <x:v>0</x:v>
      </x:c>
      <x:c r="F213" s="27" t="n">
        <x:f>D213</x:f>
        <x:v>52</x:v>
      </x:c>
      <x:c r="G213" s="27" t="n">
        <x:f>F213</x:f>
        <x:v>52</x:v>
      </x:c>
      <x:c r="H213" s="27" t="n">
        <x:f>IF(F213=0,0,I213/F213)</x:f>
        <x:v>228</x:v>
      </x:c>
      <x:c r="I213" s="27" t="n">
        <x:f>SUMIFS('Orders'!$I$5:$I$3004,'Orders'!$D$5:$D$3004,A213,'Orders'!$E$5:$E$3004,B213,'Orders'!$C$5:$C$3004,C213)</x:f>
        <x:v>11856</x:v>
      </x:c>
      <x:c r="J213" s="27" t="n">
        <x:f>'Products'!D9*INDEX('Assumptions'!$C$16:$N$16,1,MONTH(C213))</x:f>
        <x:v>147</x:v>
      </x:c>
      <x:c r="K213" s="27" t="n">
        <x:f>G213*J213</x:f>
        <x:v>7644</x:v>
      </x:c>
      <x:c r="L213" s="27" t="n">
        <x:f>I213-K213</x:f>
        <x:v>4212</x:v>
      </x:c>
    </x:row>
    <x:row r="214" ht="23" customHeight="1">
      <x:c r="A214" s="34" t="str">
        <x:v>0005</x:v>
      </x:c>
      <x:c r="B214" s="7" t="str">
        <x:v>East</x:v>
      </x:c>
      <x:c r="C214" s="14" t="d">
        <x:v>2026-06-01T00:00:00.000Z</x:v>
      </x:c>
      <x:c r="D214" s="27" t="n">
        <x:f>SUMIFS('Orders'!$F$5:$F$3004,'Orders'!$D$5:$D$3004,A214,'Orders'!$E$5:$E$3004,B214,'Orders'!$C$5:$C$3004,C214)</x:f>
        <x:v>56</x:v>
      </x:c>
      <x:c r="E214" s="28" t="n">
        <x:f>0</x:f>
        <x:v>0</x:v>
      </x:c>
      <x:c r="F214" s="27" t="n">
        <x:f>D214</x:f>
        <x:v>56</x:v>
      </x:c>
      <x:c r="G214" s="27" t="n">
        <x:f>F214</x:f>
        <x:v>56</x:v>
      </x:c>
      <x:c r="H214" s="27" t="n">
        <x:f>IF(F214=0,0,I214/F214)</x:f>
        <x:v>235.19999999999996</x:v>
      </x:c>
      <x:c r="I214" s="27" t="n">
        <x:f>SUMIFS('Orders'!$I$5:$I$3004,'Orders'!$D$5:$D$3004,A214,'Orders'!$E$5:$E$3004,B214,'Orders'!$C$5:$C$3004,C214)</x:f>
        <x:v>13171.199999999997</x:v>
      </x:c>
      <x:c r="J214" s="27" t="n">
        <x:f>'Products'!D9*INDEX('Assumptions'!$C$16:$N$16,1,MONTH(C214))</x:f>
        <x:v>147</x:v>
      </x:c>
      <x:c r="K214" s="27" t="n">
        <x:f>G214*J214</x:f>
        <x:v>8232</x:v>
      </x:c>
      <x:c r="L214" s="27" t="n">
        <x:f>I214-K214</x:f>
        <x:v>4939.199999999997</x:v>
      </x:c>
    </x:row>
    <x:row r="215" ht="23" customHeight="1">
      <x:c r="A215" s="34" t="str">
        <x:v>0005</x:v>
      </x:c>
      <x:c r="B215" s="7" t="str">
        <x:v>East</x:v>
      </x:c>
      <x:c r="C215" s="14" t="d">
        <x:v>2026-07-01T00:00:00.000Z</x:v>
      </x:c>
      <x:c r="D215" s="27" t="n">
        <x:f>'Assumptions'!D141</x:f>
        <x:v>188</x:v>
      </x:c>
      <x:c r="E215" s="28" t="n">
        <x:f>INDEX('Assumptions'!$C$12:$N$12,1,MONTH(C215))</x:f>
        <x:v>0.03</x:v>
      </x:c>
      <x:c r="F215" s="27" t="n">
        <x:f>ROUND(D215*INDEX('Assumptions'!$C$8:$N$8,1,MONTH(C215))*(1-'Products'!E9*E215),0)</x:f>
        <x:v>183</x:v>
      </x:c>
      <x:c r="G215" s="27" t="n">
        <x:f>F215*SUMIFS('Inventory'!$L$5:$L$100,'Inventory'!$A$5:$A$100,A215,'Inventory'!$B$5:$B$100,C215)</x:f>
        <x:v>183</x:v>
      </x:c>
      <x:c r="H215" s="27" t="n">
        <x:f>'Assumptions'!E141*(1+E215)</x:f>
        <x:v>247.20000000000002</x:v>
      </x:c>
      <x:c r="I215" s="27" t="n">
        <x:f>G215*H215</x:f>
        <x:v>45237.600000000006</x:v>
      </x:c>
      <x:c r="J215" s="27" t="n">
        <x:f>'Products'!D9*INDEX('Assumptions'!$C$16:$N$16,1,MONTH(C215))</x:f>
        <x:v>149.94</x:v>
      </x:c>
      <x:c r="K215" s="27" t="n">
        <x:f>G215*J215</x:f>
        <x:v>27439.02</x:v>
      </x:c>
      <x:c r="L215" s="27" t="n">
        <x:f>I215-K215</x:f>
        <x:v>17798.580000000005</x:v>
      </x:c>
    </x:row>
    <x:row r="216" ht="23" customHeight="1">
      <x:c r="A216" s="34" t="str">
        <x:v>0005</x:v>
      </x:c>
      <x:c r="B216" s="7" t="str">
        <x:v>East</x:v>
      </x:c>
      <x:c r="C216" s="14" t="d">
        <x:v>2026-08-01T00:00:00.000Z</x:v>
      </x:c>
      <x:c r="D216" s="27" t="n">
        <x:f>'Assumptions'!D142</x:f>
        <x:v>203</x:v>
      </x:c>
      <x:c r="E216" s="28" t="n">
        <x:f>INDEX('Assumptions'!$C$12:$N$12,1,MONTH(C216))</x:f>
        <x:v>0.03</x:v>
      </x:c>
      <x:c r="F216" s="27" t="n">
        <x:f>ROUND(D216*INDEX('Assumptions'!$C$8:$N$8,1,MONTH(C216))*(1-'Products'!E9*E216),0)</x:f>
        <x:v>198</x:v>
      </x:c>
      <x:c r="G216" s="27" t="n">
        <x:f>F216*SUMIFS('Inventory'!$L$5:$L$100,'Inventory'!$A$5:$A$100,A216,'Inventory'!$B$5:$B$100,C216)</x:f>
        <x:v>198</x:v>
      </x:c>
      <x:c r="H216" s="27" t="n">
        <x:f>'Assumptions'!E142*(1+E216)</x:f>
        <x:v>247.20000000000002</x:v>
      </x:c>
      <x:c r="I216" s="27" t="n">
        <x:f>G216*H216</x:f>
        <x:v>48945.600000000006</x:v>
      </x:c>
      <x:c r="J216" s="27" t="n">
        <x:f>'Products'!D9*INDEX('Assumptions'!$C$16:$N$16,1,MONTH(C216))</x:f>
        <x:v>149.94</x:v>
      </x:c>
      <x:c r="K216" s="27" t="n">
        <x:f>G216*J216</x:f>
        <x:v>29688.12</x:v>
      </x:c>
      <x:c r="L216" s="27" t="n">
        <x:f>I216-K216</x:f>
        <x:v>19257.480000000007</x:v>
      </x:c>
    </x:row>
    <x:row r="217" ht="23" customHeight="1">
      <x:c r="A217" s="34" t="str">
        <x:v>0005</x:v>
      </x:c>
      <x:c r="B217" s="7" t="str">
        <x:v>East</x:v>
      </x:c>
      <x:c r="C217" s="14" t="d">
        <x:v>2026-09-01T00:00:00.000Z</x:v>
      </x:c>
      <x:c r="D217" s="27" t="n">
        <x:f>'Assumptions'!D143</x:f>
        <x:v>218</x:v>
      </x:c>
      <x:c r="E217" s="28" t="n">
        <x:f>INDEX('Assumptions'!$C$12:$N$12,1,MONTH(C217))</x:f>
        <x:v>0.03</x:v>
      </x:c>
      <x:c r="F217" s="27" t="n">
        <x:f>ROUND(D217*INDEX('Assumptions'!$C$8:$N$8,1,MONTH(C217))*(1-'Products'!E9*E217),0)</x:f>
        <x:v>212</x:v>
      </x:c>
      <x:c r="G217" s="27" t="n">
        <x:f>F217*SUMIFS('Inventory'!$L$5:$L$100,'Inventory'!$A$5:$A$100,A217,'Inventory'!$B$5:$B$100,C217)</x:f>
        <x:v>212</x:v>
      </x:c>
      <x:c r="H217" s="27" t="n">
        <x:f>'Assumptions'!E143*(1+E217)</x:f>
        <x:v>247.20000000000002</x:v>
      </x:c>
      <x:c r="I217" s="27" t="n">
        <x:f>G217*H217</x:f>
        <x:v>52406.4</x:v>
      </x:c>
      <x:c r="J217" s="27" t="n">
        <x:f>'Products'!D9*INDEX('Assumptions'!$C$16:$N$16,1,MONTH(C217))</x:f>
        <x:v>149.94</x:v>
      </x:c>
      <x:c r="K217" s="27" t="n">
        <x:f>G217*J217</x:f>
        <x:v>31787.28</x:v>
      </x:c>
      <x:c r="L217" s="27" t="n">
        <x:f>I217-K217</x:f>
        <x:v>20619.120000000003</x:v>
      </x:c>
    </x:row>
    <x:row r="218" ht="23" customHeight="1">
      <x:c r="A218" s="34" t="str">
        <x:v>0005</x:v>
      </x:c>
      <x:c r="B218" s="7" t="str">
        <x:v>East</x:v>
      </x:c>
      <x:c r="C218" s="14" t="d">
        <x:v>2026-10-01T00:00:00.000Z</x:v>
      </x:c>
      <x:c r="D218" s="27" t="n">
        <x:f>'Assumptions'!D144</x:f>
        <x:v>233</x:v>
      </x:c>
      <x:c r="E218" s="28" t="n">
        <x:f>INDEX('Assumptions'!$C$12:$N$12,1,MONTH(C218))</x:f>
        <x:v>0.03</x:v>
      </x:c>
      <x:c r="F218" s="27" t="n">
        <x:f>ROUND(D218*INDEX('Assumptions'!$C$8:$N$8,1,MONTH(C218))*(1-'Products'!E9*E218),0)</x:f>
        <x:v>227</x:v>
      </x:c>
      <x:c r="G218" s="27" t="n">
        <x:f>F218*SUMIFS('Inventory'!$L$5:$L$100,'Inventory'!$A$5:$A$100,A218,'Inventory'!$B$5:$B$100,C218)</x:f>
        <x:v>178.96670247046188</x:v>
      </x:c>
      <x:c r="H218" s="27" t="n">
        <x:f>'Assumptions'!E144*(1+E218)</x:f>
        <x:v>247.20000000000002</x:v>
      </x:c>
      <x:c r="I218" s="27" t="n">
        <x:f>G218*H218</x:f>
        <x:v>44240.56885069818</x:v>
      </x:c>
      <x:c r="J218" s="27" t="n">
        <x:f>'Products'!D9*INDEX('Assumptions'!$C$16:$N$16,1,MONTH(C218))</x:f>
        <x:v>149.94</x:v>
      </x:c>
      <x:c r="K218" s="27" t="n">
        <x:f>G218*J218</x:f>
        <x:v>26834.267368421053</x:v>
      </x:c>
      <x:c r="L218" s="27" t="n">
        <x:f>I218-K218</x:f>
        <x:v>17406.30148227713</x:v>
      </x:c>
    </x:row>
    <x:row r="219" ht="23" customHeight="1">
      <x:c r="A219" s="34" t="str">
        <x:v>0005</x:v>
      </x:c>
      <x:c r="B219" s="7" t="str">
        <x:v>East</x:v>
      </x:c>
      <x:c r="C219" s="14" t="d">
        <x:v>2026-11-01T00:00:00.000Z</x:v>
      </x:c>
      <x:c r="D219" s="27" t="n">
        <x:f>'Assumptions'!D145</x:f>
        <x:v>248</x:v>
      </x:c>
      <x:c r="E219" s="28" t="n">
        <x:f>INDEX('Assumptions'!$C$12:$N$12,1,MONTH(C219))</x:f>
        <x:v>0.03</x:v>
      </x:c>
      <x:c r="F219" s="27" t="n">
        <x:f>ROUND(D219*INDEX('Assumptions'!$C$8:$N$8,1,MONTH(C219))*(1-'Products'!E9*E219),0)</x:f>
        <x:v>241</x:v>
      </x:c>
      <x:c r="G219" s="27" t="n">
        <x:f>F219*SUMIFS('Inventory'!$L$5:$L$100,'Inventory'!$A$5:$A$100,A219,'Inventory'!$B$5:$B$100,C219)</x:f>
        <x:v>112.5803842264914</x:v>
      </x:c>
      <x:c r="H219" s="27" t="n">
        <x:f>'Assumptions'!E145*(1+E219)</x:f>
        <x:v>247.20000000000002</x:v>
      </x:c>
      <x:c r="I219" s="27" t="n">
        <x:f>G219*H219</x:f>
        <x:v>27829.870980788677</x:v>
      </x:c>
      <x:c r="J219" s="27" t="n">
        <x:f>'Products'!D9*INDEX('Assumptions'!$C$16:$N$16,1,MONTH(C219))</x:f>
        <x:v>149.94</x:v>
      </x:c>
      <x:c r="K219" s="27" t="n">
        <x:f>G219*J219</x:f>
        <x:v>16880.302810920122</x:v>
      </x:c>
      <x:c r="L219" s="27" t="n">
        <x:f>I219-K219</x:f>
        <x:v>10949.568169868555</x:v>
      </x:c>
    </x:row>
    <x:row r="220" ht="23" customHeight="1">
      <x:c r="A220" s="34" t="str">
        <x:v>0005</x:v>
      </x:c>
      <x:c r="B220" s="7" t="str">
        <x:v>East</x:v>
      </x:c>
      <x:c r="C220" s="14" t="d">
        <x:v>2026-12-01T00:00:00.000Z</x:v>
      </x:c>
      <x:c r="D220" s="27" t="n">
        <x:f>'Assumptions'!D146</x:f>
        <x:v>263</x:v>
      </x:c>
      <x:c r="E220" s="28" t="n">
        <x:f>INDEX('Assumptions'!$C$12:$N$12,1,MONTH(C220))</x:f>
        <x:v>0.03</x:v>
      </x:c>
      <x:c r="F220" s="27" t="n">
        <x:f>ROUND(D220*INDEX('Assumptions'!$C$8:$N$8,1,MONTH(C220))*(1-'Products'!E9*E220),0)</x:f>
        <x:v>256</x:v>
      </x:c>
      <x:c r="G220" s="27" t="n">
        <x:f>F220*SUMIFS('Inventory'!$L$5:$L$100,'Inventory'!$A$5:$A$100,A220,'Inventory'!$B$5:$B$100,C220)</x:f>
        <x:v>112.96275071633238</x:v>
      </x:c>
      <x:c r="H220" s="27" t="n">
        <x:f>'Assumptions'!E146*(1+E220)</x:f>
        <x:v>247.20000000000002</x:v>
      </x:c>
      <x:c r="I220" s="27" t="n">
        <x:f>G220*H220</x:f>
        <x:v>27924.391977077365</x:v>
      </x:c>
      <x:c r="J220" s="27" t="n">
        <x:f>'Products'!D9*INDEX('Assumptions'!$C$16:$N$16,1,MONTH(C220))</x:f>
        <x:v>149.94</x:v>
      </x:c>
      <x:c r="K220" s="27" t="n">
        <x:f>G220*J220</x:f>
        <x:v>16937.63484240688</x:v>
      </x:c>
      <x:c r="L220" s="27" t="n">
        <x:f>I220-K220</x:f>
        <x:v>10986.757134670486</x:v>
      </x:c>
    </x:row>
    <x:row r="221" ht="23" customHeight="1">
      <x:c r="A221" s="34" t="str">
        <x:v>0005</x:v>
      </x:c>
      <x:c r="B221" s="7" t="str">
        <x:v>West</x:v>
      </x:c>
      <x:c r="C221" s="14" t="d">
        <x:v>2026-01-01T00:00:00.000Z</x:v>
      </x:c>
      <x:c r="D221" s="27" t="n">
        <x:f>SUMIFS('Orders'!$F$5:$F$3004,'Orders'!$D$5:$D$3004,A221,'Orders'!$E$5:$E$3004,B221,'Orders'!$C$5:$C$3004,C221)</x:f>
        <x:v>62</x:v>
      </x:c>
      <x:c r="E221" s="28" t="n">
        <x:f>0</x:f>
        <x:v>0</x:v>
      </x:c>
      <x:c r="F221" s="27" t="n">
        <x:f>D221</x:f>
        <x:v>62</x:v>
      </x:c>
      <x:c r="G221" s="27" t="n">
        <x:f>F221</x:f>
        <x:v>62</x:v>
      </x:c>
      <x:c r="H221" s="27" t="n">
        <x:f>IF(F221=0,0,I221/F221)</x:f>
        <x:v>228</x:v>
      </x:c>
      <x:c r="I221" s="27" t="n">
        <x:f>SUMIFS('Orders'!$I$5:$I$3004,'Orders'!$D$5:$D$3004,A221,'Orders'!$E$5:$E$3004,B221,'Orders'!$C$5:$C$3004,C221)</x:f>
        <x:v>14136</x:v>
      </x:c>
      <x:c r="J221" s="27" t="n">
        <x:f>'Products'!D9*INDEX('Assumptions'!$C$16:$N$16,1,MONTH(C221))</x:f>
        <x:v>147</x:v>
      </x:c>
      <x:c r="K221" s="27" t="n">
        <x:f>G221*J221</x:f>
        <x:v>9114</x:v>
      </x:c>
      <x:c r="L221" s="27" t="n">
        <x:f>I221-K221</x:f>
        <x:v>5022</x:v>
      </x:c>
    </x:row>
    <x:row r="222" ht="23" customHeight="1">
      <x:c r="A222" s="34" t="str">
        <x:v>0005</x:v>
      </x:c>
      <x:c r="B222" s="7" t="str">
        <x:v>West</x:v>
      </x:c>
      <x:c r="C222" s="14" t="d">
        <x:v>2026-02-01T00:00:00.000Z</x:v>
      </x:c>
      <x:c r="D222" s="27" t="n">
        <x:f>SUMIFS('Orders'!$F$5:$F$3004,'Orders'!$D$5:$D$3004,A222,'Orders'!$E$5:$E$3004,B222,'Orders'!$C$5:$C$3004,C222)</x:f>
        <x:v>50</x:v>
      </x:c>
      <x:c r="E222" s="28" t="n">
        <x:f>0</x:f>
        <x:v>0</x:v>
      </x:c>
      <x:c r="F222" s="27" t="n">
        <x:f>D222</x:f>
        <x:v>50</x:v>
      </x:c>
      <x:c r="G222" s="27" t="n">
        <x:f>F222</x:f>
        <x:v>50</x:v>
      </x:c>
      <x:c r="H222" s="27" t="n">
        <x:f>IF(F222=0,0,I222/F222)</x:f>
        <x:v>235.2</x:v>
      </x:c>
      <x:c r="I222" s="27" t="n">
        <x:f>SUMIFS('Orders'!$I$5:$I$3004,'Orders'!$D$5:$D$3004,A222,'Orders'!$E$5:$E$3004,B222,'Orders'!$C$5:$C$3004,C222)</x:f>
        <x:v>11760</x:v>
      </x:c>
      <x:c r="J222" s="27" t="n">
        <x:f>'Products'!D9*INDEX('Assumptions'!$C$16:$N$16,1,MONTH(C222))</x:f>
        <x:v>147</x:v>
      </x:c>
      <x:c r="K222" s="27" t="n">
        <x:f>G222*J222</x:f>
        <x:v>7350</x:v>
      </x:c>
      <x:c r="L222" s="27" t="n">
        <x:f>I222-K222</x:f>
        <x:v>4410</x:v>
      </x:c>
    </x:row>
    <x:row r="223" ht="23" customHeight="1">
      <x:c r="A223" s="34" t="str">
        <x:v>0005</x:v>
      </x:c>
      <x:c r="B223" s="7" t="str">
        <x:v>West</x:v>
      </x:c>
      <x:c r="C223" s="14" t="d">
        <x:v>2026-03-01T00:00:00.000Z</x:v>
      </x:c>
      <x:c r="D223" s="27" t="n">
        <x:f>SUMIFS('Orders'!$F$5:$F$3004,'Orders'!$D$5:$D$3004,A223,'Orders'!$E$5:$E$3004,B223,'Orders'!$C$5:$C$3004,C223)</x:f>
        <x:v>60</x:v>
      </x:c>
      <x:c r="E223" s="28" t="n">
        <x:f>0</x:f>
        <x:v>0</x:v>
      </x:c>
      <x:c r="F223" s="27" t="n">
        <x:f>D223</x:f>
        <x:v>60</x:v>
      </x:c>
      <x:c r="G223" s="27" t="n">
        <x:f>F223</x:f>
        <x:v>60</x:v>
      </x:c>
      <x:c r="H223" s="27" t="n">
        <x:f>IF(F223=0,0,I223/F223)</x:f>
        <x:v>240</x:v>
      </x:c>
      <x:c r="I223" s="27" t="n">
        <x:f>SUMIFS('Orders'!$I$5:$I$3004,'Orders'!$D$5:$D$3004,A223,'Orders'!$E$5:$E$3004,B223,'Orders'!$C$5:$C$3004,C223)</x:f>
        <x:v>14400</x:v>
      </x:c>
      <x:c r="J223" s="27" t="n">
        <x:f>'Products'!D9*INDEX('Assumptions'!$C$16:$N$16,1,MONTH(C223))</x:f>
        <x:v>147</x:v>
      </x:c>
      <x:c r="K223" s="27" t="n">
        <x:f>G223*J223</x:f>
        <x:v>8820</x:v>
      </x:c>
      <x:c r="L223" s="27" t="n">
        <x:f>I223-K223</x:f>
        <x:v>5580</x:v>
      </x:c>
    </x:row>
    <x:row r="224" ht="23" customHeight="1">
      <x:c r="A224" s="34" t="str">
        <x:v>0005</x:v>
      </x:c>
      <x:c r="B224" s="7" t="str">
        <x:v>West</x:v>
      </x:c>
      <x:c r="C224" s="14" t="d">
        <x:v>2026-04-01T00:00:00.000Z</x:v>
      </x:c>
      <x:c r="D224" s="27" t="n">
        <x:f>SUMIFS('Orders'!$F$5:$F$3004,'Orders'!$D$5:$D$3004,A224,'Orders'!$E$5:$E$3004,B224,'Orders'!$C$5:$C$3004,C224)</x:f>
        <x:v>57</x:v>
      </x:c>
      <x:c r="E224" s="28" t="n">
        <x:f>0</x:f>
        <x:v>0</x:v>
      </x:c>
      <x:c r="F224" s="27" t="n">
        <x:f>D224</x:f>
        <x:v>57</x:v>
      </x:c>
      <x:c r="G224" s="27" t="n">
        <x:f>F224</x:f>
        <x:v>57</x:v>
      </x:c>
      <x:c r="H224" s="27" t="n">
        <x:f>IF(F224=0,0,I224/F224)</x:f>
        <x:v>228</x:v>
      </x:c>
      <x:c r="I224" s="27" t="n">
        <x:f>SUMIFS('Orders'!$I$5:$I$3004,'Orders'!$D$5:$D$3004,A224,'Orders'!$E$5:$E$3004,B224,'Orders'!$C$5:$C$3004,C224)</x:f>
        <x:v>12996</x:v>
      </x:c>
      <x:c r="J224" s="27" t="n">
        <x:f>'Products'!D9*INDEX('Assumptions'!$C$16:$N$16,1,MONTH(C224))</x:f>
        <x:v>147</x:v>
      </x:c>
      <x:c r="K224" s="27" t="n">
        <x:f>G224*J224</x:f>
        <x:v>8379</x:v>
      </x:c>
      <x:c r="L224" s="27" t="n">
        <x:f>I224-K224</x:f>
        <x:v>4617</x:v>
      </x:c>
    </x:row>
    <x:row r="225" ht="23" customHeight="1">
      <x:c r="A225" s="34" t="str">
        <x:v>0005</x:v>
      </x:c>
      <x:c r="B225" s="7" t="str">
        <x:v>West</x:v>
      </x:c>
      <x:c r="C225" s="14" t="d">
        <x:v>2026-05-01T00:00:00.000Z</x:v>
      </x:c>
      <x:c r="D225" s="27" t="n">
        <x:f>SUMIFS('Orders'!$F$5:$F$3004,'Orders'!$D$5:$D$3004,A225,'Orders'!$E$5:$E$3004,B225,'Orders'!$C$5:$C$3004,C225)</x:f>
        <x:v>56</x:v>
      </x:c>
      <x:c r="E225" s="28" t="n">
        <x:f>0</x:f>
        <x:v>0</x:v>
      </x:c>
      <x:c r="F225" s="27" t="n">
        <x:f>D225</x:f>
        <x:v>56</x:v>
      </x:c>
      <x:c r="G225" s="27" t="n">
        <x:f>F225</x:f>
        <x:v>56</x:v>
      </x:c>
      <x:c r="H225" s="27" t="n">
        <x:f>IF(F225=0,0,I225/F225)</x:f>
        <x:v>235.2</x:v>
      </x:c>
      <x:c r="I225" s="27" t="n">
        <x:f>SUMIFS('Orders'!$I$5:$I$3004,'Orders'!$D$5:$D$3004,A225,'Orders'!$E$5:$E$3004,B225,'Orders'!$C$5:$C$3004,C225)</x:f>
        <x:v>13171.199999999999</x:v>
      </x:c>
      <x:c r="J225" s="27" t="n">
        <x:f>'Products'!D9*INDEX('Assumptions'!$C$16:$N$16,1,MONTH(C225))</x:f>
        <x:v>147</x:v>
      </x:c>
      <x:c r="K225" s="27" t="n">
        <x:f>G225*J225</x:f>
        <x:v>8232</x:v>
      </x:c>
      <x:c r="L225" s="27" t="n">
        <x:f>I225-K225</x:f>
        <x:v>4939.199999999999</x:v>
      </x:c>
    </x:row>
    <x:row r="226" ht="23" customHeight="1">
      <x:c r="A226" s="34" t="str">
        <x:v>0005</x:v>
      </x:c>
      <x:c r="B226" s="7" t="str">
        <x:v>West</x:v>
      </x:c>
      <x:c r="C226" s="14" t="d">
        <x:v>2026-06-01T00:00:00.000Z</x:v>
      </x:c>
      <x:c r="D226" s="27" t="n">
        <x:f>SUMIFS('Orders'!$F$5:$F$3004,'Orders'!$D$5:$D$3004,A226,'Orders'!$E$5:$E$3004,B226,'Orders'!$C$5:$C$3004,C226)</x:f>
        <x:v>60</x:v>
      </x:c>
      <x:c r="E226" s="28" t="n">
        <x:f>0</x:f>
        <x:v>0</x:v>
      </x:c>
      <x:c r="F226" s="27" t="n">
        <x:f>D226</x:f>
        <x:v>60</x:v>
      </x:c>
      <x:c r="G226" s="27" t="n">
        <x:f>F226</x:f>
        <x:v>60</x:v>
      </x:c>
      <x:c r="H226" s="27" t="n">
        <x:f>IF(F226=0,0,I226/F226)</x:f>
        <x:v>240</x:v>
      </x:c>
      <x:c r="I226" s="27" t="n">
        <x:f>SUMIFS('Orders'!$I$5:$I$3004,'Orders'!$D$5:$D$3004,A226,'Orders'!$E$5:$E$3004,B226,'Orders'!$C$5:$C$3004,C226)</x:f>
        <x:v>14400</x:v>
      </x:c>
      <x:c r="J226" s="27" t="n">
        <x:f>'Products'!D9*INDEX('Assumptions'!$C$16:$N$16,1,MONTH(C226))</x:f>
        <x:v>147</x:v>
      </x:c>
      <x:c r="K226" s="27" t="n">
        <x:f>G226*J226</x:f>
        <x:v>8820</x:v>
      </x:c>
      <x:c r="L226" s="27" t="n">
        <x:f>I226-K226</x:f>
        <x:v>5580</x:v>
      </x:c>
    </x:row>
    <x:row r="227" ht="23" customHeight="1">
      <x:c r="A227" s="34" t="str">
        <x:v>0005</x:v>
      </x:c>
      <x:c r="B227" s="7" t="str">
        <x:v>West</x:v>
      </x:c>
      <x:c r="C227" s="14" t="d">
        <x:v>2026-07-01T00:00:00.000Z</x:v>
      </x:c>
      <x:c r="D227" s="27" t="n">
        <x:f>'Assumptions'!D147</x:f>
        <x:v>200</x:v>
      </x:c>
      <x:c r="E227" s="28" t="n">
        <x:f>INDEX('Assumptions'!$C$12:$N$12,1,MONTH(C227))</x:f>
        <x:v>0.03</x:v>
      </x:c>
      <x:c r="F227" s="27" t="n">
        <x:f>ROUND(D227*INDEX('Assumptions'!$C$8:$N$8,1,MONTH(C227))*(1-'Products'!E9*E227),0)</x:f>
        <x:v>195</x:v>
      </x:c>
      <x:c r="G227" s="27" t="n">
        <x:f>F227*SUMIFS('Inventory'!$L$5:$L$100,'Inventory'!$A$5:$A$100,A227,'Inventory'!$B$5:$B$100,C227)</x:f>
        <x:v>195</x:v>
      </x:c>
      <x:c r="H227" s="27" t="n">
        <x:f>'Assumptions'!E147*(1+E227)</x:f>
        <x:v>247.20000000000002</x:v>
      </x:c>
      <x:c r="I227" s="27" t="n">
        <x:f>G227*H227</x:f>
        <x:v>48204</x:v>
      </x:c>
      <x:c r="J227" s="27" t="n">
        <x:f>'Products'!D9*INDEX('Assumptions'!$C$16:$N$16,1,MONTH(C227))</x:f>
        <x:v>149.94</x:v>
      </x:c>
      <x:c r="K227" s="27" t="n">
        <x:f>G227*J227</x:f>
        <x:v>29238.3</x:v>
      </x:c>
      <x:c r="L227" s="27" t="n">
        <x:f>I227-K227</x:f>
        <x:v>18965.7</x:v>
      </x:c>
    </x:row>
    <x:row r="228" ht="23" customHeight="1">
      <x:c r="A228" s="34" t="str">
        <x:v>0005</x:v>
      </x:c>
      <x:c r="B228" s="7" t="str">
        <x:v>West</x:v>
      </x:c>
      <x:c r="C228" s="14" t="d">
        <x:v>2026-08-01T00:00:00.000Z</x:v>
      </x:c>
      <x:c r="D228" s="27" t="n">
        <x:f>'Assumptions'!D148</x:f>
        <x:v>215</x:v>
      </x:c>
      <x:c r="E228" s="28" t="n">
        <x:f>INDEX('Assumptions'!$C$12:$N$12,1,MONTH(C228))</x:f>
        <x:v>0.03</x:v>
      </x:c>
      <x:c r="F228" s="27" t="n">
        <x:f>ROUND(D228*INDEX('Assumptions'!$C$8:$N$8,1,MONTH(C228))*(1-'Products'!E9*E228),0)</x:f>
        <x:v>209</x:v>
      </x:c>
      <x:c r="G228" s="27" t="n">
        <x:f>F228*SUMIFS('Inventory'!$L$5:$L$100,'Inventory'!$A$5:$A$100,A228,'Inventory'!$B$5:$B$100,C228)</x:f>
        <x:v>209</x:v>
      </x:c>
      <x:c r="H228" s="27" t="n">
        <x:f>'Assumptions'!E148*(1+E228)</x:f>
        <x:v>247.20000000000002</x:v>
      </x:c>
      <x:c r="I228" s="27" t="n">
        <x:f>G228*H228</x:f>
        <x:v>51664.8</x:v>
      </x:c>
      <x:c r="J228" s="27" t="n">
        <x:f>'Products'!D9*INDEX('Assumptions'!$C$16:$N$16,1,MONTH(C228))</x:f>
        <x:v>149.94</x:v>
      </x:c>
      <x:c r="K228" s="27" t="n">
        <x:f>G228*J228</x:f>
        <x:v>31337.46</x:v>
      </x:c>
      <x:c r="L228" s="27" t="n">
        <x:f>I228-K228</x:f>
        <x:v>20327.340000000004</x:v>
      </x:c>
    </x:row>
    <x:row r="229" ht="23" customHeight="1">
      <x:c r="A229" s="34" t="str">
        <x:v>0005</x:v>
      </x:c>
      <x:c r="B229" s="7" t="str">
        <x:v>West</x:v>
      </x:c>
      <x:c r="C229" s="14" t="d">
        <x:v>2026-09-01T00:00:00.000Z</x:v>
      </x:c>
      <x:c r="D229" s="27" t="n">
        <x:f>'Assumptions'!D149</x:f>
        <x:v>230</x:v>
      </x:c>
      <x:c r="E229" s="28" t="n">
        <x:f>INDEX('Assumptions'!$C$12:$N$12,1,MONTH(C229))</x:f>
        <x:v>0.03</x:v>
      </x:c>
      <x:c r="F229" s="27" t="n">
        <x:f>ROUND(D229*INDEX('Assumptions'!$C$8:$N$8,1,MONTH(C229))*(1-'Products'!E9*E229),0)</x:f>
        <x:v>224</x:v>
      </x:c>
      <x:c r="G229" s="27" t="n">
        <x:f>F229*SUMIFS('Inventory'!$L$5:$L$100,'Inventory'!$A$5:$A$100,A229,'Inventory'!$B$5:$B$100,C229)</x:f>
        <x:v>224</x:v>
      </x:c>
      <x:c r="H229" s="27" t="n">
        <x:f>'Assumptions'!E149*(1+E229)</x:f>
        <x:v>247.20000000000002</x:v>
      </x:c>
      <x:c r="I229" s="27" t="n">
        <x:f>G229*H229</x:f>
        <x:v>55372.8</x:v>
      </x:c>
      <x:c r="J229" s="27" t="n">
        <x:f>'Products'!D9*INDEX('Assumptions'!$C$16:$N$16,1,MONTH(C229))</x:f>
        <x:v>149.94</x:v>
      </x:c>
      <x:c r="K229" s="27" t="n">
        <x:f>G229*J229</x:f>
        <x:v>33586.56</x:v>
      </x:c>
      <x:c r="L229" s="27" t="n">
        <x:f>I229-K229</x:f>
        <x:v>21786.240000000005</x:v>
      </x:c>
    </x:row>
    <x:row r="230" ht="23" customHeight="1">
      <x:c r="A230" s="34" t="str">
        <x:v>0005</x:v>
      </x:c>
      <x:c r="B230" s="7" t="str">
        <x:v>West</x:v>
      </x:c>
      <x:c r="C230" s="14" t="d">
        <x:v>2026-10-01T00:00:00.000Z</x:v>
      </x:c>
      <x:c r="D230" s="27" t="n">
        <x:f>'Assumptions'!D150</x:f>
        <x:v>245</x:v>
      </x:c>
      <x:c r="E230" s="28" t="n">
        <x:f>INDEX('Assumptions'!$C$12:$N$12,1,MONTH(C230))</x:f>
        <x:v>0.03</x:v>
      </x:c>
      <x:c r="F230" s="27" t="n">
        <x:f>ROUND(D230*INDEX('Assumptions'!$C$8:$N$8,1,MONTH(C230))*(1-'Products'!E9*E230),0)</x:f>
        <x:v>239</x:v>
      </x:c>
      <x:c r="G230" s="27" t="n">
        <x:f>F230*SUMIFS('Inventory'!$L$5:$L$100,'Inventory'!$A$5:$A$100,A230,'Inventory'!$B$5:$B$100,C230)</x:f>
        <x:v>188.42749731471537</x:v>
      </x:c>
      <x:c r="H230" s="27" t="n">
        <x:f>'Assumptions'!E150*(1+E230)</x:f>
        <x:v>247.20000000000002</x:v>
      </x:c>
      <x:c r="I230" s="27" t="n">
        <x:f>G230*H230</x:f>
        <x:v>46579.27733619764</x:v>
      </x:c>
      <x:c r="J230" s="27" t="n">
        <x:f>'Products'!D9*INDEX('Assumptions'!$C$16:$N$16,1,MONTH(C230))</x:f>
        <x:v>149.94</x:v>
      </x:c>
      <x:c r="K230" s="27" t="n">
        <x:f>G230*J230</x:f>
        <x:v>28252.81894736842</x:v>
      </x:c>
      <x:c r="L230" s="27" t="n">
        <x:f>I230-K230</x:f>
        <x:v>18326.45838882922</x:v>
      </x:c>
    </x:row>
    <x:row r="231" ht="23" customHeight="1">
      <x:c r="A231" s="34" t="str">
        <x:v>0005</x:v>
      </x:c>
      <x:c r="B231" s="7" t="str">
        <x:v>West</x:v>
      </x:c>
      <x:c r="C231" s="14" t="d">
        <x:v>2026-11-01T00:00:00.000Z</x:v>
      </x:c>
      <x:c r="D231" s="27" t="n">
        <x:f>'Assumptions'!D151</x:f>
        <x:v>260</x:v>
      </x:c>
      <x:c r="E231" s="28" t="n">
        <x:f>INDEX('Assumptions'!$C$12:$N$12,1,MONTH(C231))</x:f>
        <x:v>0.03</x:v>
      </x:c>
      <x:c r="F231" s="27" t="n">
        <x:f>ROUND(D231*INDEX('Assumptions'!$C$8:$N$8,1,MONTH(C231))*(1-'Products'!E9*E231),0)</x:f>
        <x:v>253</x:v>
      </x:c>
      <x:c r="G231" s="27" t="n">
        <x:f>F231*SUMIFS('Inventory'!$L$5:$L$100,'Inventory'!$A$5:$A$100,A231,'Inventory'!$B$5:$B$100,C231)</x:f>
        <x:v>118.18604651162791</x:v>
      </x:c>
      <x:c r="H231" s="27" t="n">
        <x:f>'Assumptions'!E151*(1+E231)</x:f>
        <x:v>247.20000000000002</x:v>
      </x:c>
      <x:c r="I231" s="27" t="n">
        <x:f>G231*H231</x:f>
        <x:v>29215.59069767442</x:v>
      </x:c>
      <x:c r="J231" s="27" t="n">
        <x:f>'Products'!D9*INDEX('Assumptions'!$C$16:$N$16,1,MONTH(C231))</x:f>
        <x:v>149.94</x:v>
      </x:c>
      <x:c r="K231" s="27" t="n">
        <x:f>G231*J231</x:f>
        <x:v>17720.81581395349</x:v>
      </x:c>
      <x:c r="L231" s="27" t="n">
        <x:f>I231-K231</x:f>
        <x:v>11494.77488372093</x:v>
      </x:c>
    </x:row>
    <x:row r="232" ht="23" customHeight="1">
      <x:c r="A232" s="34" t="str">
        <x:v>0005</x:v>
      </x:c>
      <x:c r="B232" s="7" t="str">
        <x:v>West</x:v>
      </x:c>
      <x:c r="C232" s="14" t="d">
        <x:v>2026-12-01T00:00:00.000Z</x:v>
      </x:c>
      <x:c r="D232" s="27" t="n">
        <x:f>'Assumptions'!D152</x:f>
        <x:v>275</x:v>
      </x:c>
      <x:c r="E232" s="28" t="n">
        <x:f>INDEX('Assumptions'!$C$12:$N$12,1,MONTH(C232))</x:f>
        <x:v>0.03</x:v>
      </x:c>
      <x:c r="F232" s="27" t="n">
        <x:f>ROUND(D232*INDEX('Assumptions'!$C$8:$N$8,1,MONTH(C232))*(1-'Products'!E9*E232),0)</x:f>
        <x:v>268</x:v>
      </x:c>
      <x:c r="G232" s="27" t="n">
        <x:f>F232*SUMIFS('Inventory'!$L$5:$L$100,'Inventory'!$A$5:$A$100,A232,'Inventory'!$B$5:$B$100,C232)</x:f>
        <x:v>118.25787965616045</x:v>
      </x:c>
      <x:c r="H232" s="27" t="n">
        <x:f>'Assumptions'!E152*(1+E232)</x:f>
        <x:v>247.20000000000002</x:v>
      </x:c>
      <x:c r="I232" s="27" t="n">
        <x:f>G232*H232</x:f>
        <x:v>29233.347851002865</x:v>
      </x:c>
      <x:c r="J232" s="27" t="n">
        <x:f>'Products'!D9*INDEX('Assumptions'!$C$16:$N$16,1,MONTH(C232))</x:f>
        <x:v>149.94</x:v>
      </x:c>
      <x:c r="K232" s="27" t="n">
        <x:f>G232*J232</x:f>
        <x:v>17731.586475644697</x:v>
      </x:c>
      <x:c r="L232" s="27" t="n">
        <x:f>I232-K232</x:f>
        <x:v>11501.761375358168</x:v>
      </x:c>
    </x:row>
    <x:row r="233" ht="23" customHeight="1">
      <x:c r="A233" s="34" t="str">
        <x:v>0005</x:v>
      </x:c>
      <x:c r="B233" s="7" t="str">
        <x:v>North</x:v>
      </x:c>
      <x:c r="C233" s="14" t="d">
        <x:v>2026-01-01T00:00:00.000Z</x:v>
      </x:c>
      <x:c r="D233" s="27" t="n">
        <x:f>SUMIFS('Orders'!$F$5:$F$3004,'Orders'!$D$5:$D$3004,A233,'Orders'!$E$5:$E$3004,B233,'Orders'!$C$5:$C$3004,C233)</x:f>
        <x:v>63</x:v>
      </x:c>
      <x:c r="E233" s="28" t="n">
        <x:f>0</x:f>
        <x:v>0</x:v>
      </x:c>
      <x:c r="F233" s="27" t="n">
        <x:f>D233</x:f>
        <x:v>63</x:v>
      </x:c>
      <x:c r="G233" s="27" t="n">
        <x:f>F233</x:f>
        <x:v>63</x:v>
      </x:c>
      <x:c r="H233" s="27" t="n">
        <x:f>IF(F233=0,0,I233/F233)</x:f>
        <x:v>235.20000000000005</x:v>
      </x:c>
      <x:c r="I233" s="27" t="n">
        <x:f>SUMIFS('Orders'!$I$5:$I$3004,'Orders'!$D$5:$D$3004,A233,'Orders'!$E$5:$E$3004,B233,'Orders'!$C$5:$C$3004,C233)</x:f>
        <x:v>14817.600000000002</x:v>
      </x:c>
      <x:c r="J233" s="27" t="n">
        <x:f>'Products'!D9*INDEX('Assumptions'!$C$16:$N$16,1,MONTH(C233))</x:f>
        <x:v>147</x:v>
      </x:c>
      <x:c r="K233" s="27" t="n">
        <x:f>G233*J233</x:f>
        <x:v>9261</x:v>
      </x:c>
      <x:c r="L233" s="27" t="n">
        <x:f>I233-K233</x:f>
        <x:v>5556.600000000002</x:v>
      </x:c>
    </x:row>
    <x:row r="234" ht="23" customHeight="1">
      <x:c r="A234" s="34" t="str">
        <x:v>0005</x:v>
      </x:c>
      <x:c r="B234" s="7" t="str">
        <x:v>North</x:v>
      </x:c>
      <x:c r="C234" s="14" t="d">
        <x:v>2026-02-01T00:00:00.000Z</x:v>
      </x:c>
      <x:c r="D234" s="27" t="n">
        <x:f>SUMIFS('Orders'!$F$5:$F$3004,'Orders'!$D$5:$D$3004,A234,'Orders'!$E$5:$E$3004,B234,'Orders'!$C$5:$C$3004,C234)</x:f>
        <x:v>67</x:v>
      </x:c>
      <x:c r="E234" s="28" t="n">
        <x:f>0</x:f>
        <x:v>0</x:v>
      </x:c>
      <x:c r="F234" s="27" t="n">
        <x:f>D234</x:f>
        <x:v>67</x:v>
      </x:c>
      <x:c r="G234" s="27" t="n">
        <x:f>F234</x:f>
        <x:v>67</x:v>
      </x:c>
      <x:c r="H234" s="27" t="n">
        <x:f>IF(F234=0,0,I234/F234)</x:f>
        <x:v>240</x:v>
      </x:c>
      <x:c r="I234" s="27" t="n">
        <x:f>SUMIFS('Orders'!$I$5:$I$3004,'Orders'!$D$5:$D$3004,A234,'Orders'!$E$5:$E$3004,B234,'Orders'!$C$5:$C$3004,C234)</x:f>
        <x:v>16080</x:v>
      </x:c>
      <x:c r="J234" s="27" t="n">
        <x:f>'Products'!D9*INDEX('Assumptions'!$C$16:$N$16,1,MONTH(C234))</x:f>
        <x:v>147</x:v>
      </x:c>
      <x:c r="K234" s="27" t="n">
        <x:f>G234*J234</x:f>
        <x:v>9849</x:v>
      </x:c>
      <x:c r="L234" s="27" t="n">
        <x:f>I234-K234</x:f>
        <x:v>6231</x:v>
      </x:c>
    </x:row>
    <x:row r="235" ht="23" customHeight="1">
      <x:c r="A235" s="34" t="str">
        <x:v>0005</x:v>
      </x:c>
      <x:c r="B235" s="7" t="str">
        <x:v>North</x:v>
      </x:c>
      <x:c r="C235" s="14" t="d">
        <x:v>2026-03-01T00:00:00.000Z</x:v>
      </x:c>
      <x:c r="D235" s="27" t="n">
        <x:f>SUMIFS('Orders'!$F$5:$F$3004,'Orders'!$D$5:$D$3004,A235,'Orders'!$E$5:$E$3004,B235,'Orders'!$C$5:$C$3004,C235)</x:f>
        <x:v>61</x:v>
      </x:c>
      <x:c r="E235" s="28" t="n">
        <x:f>0</x:f>
        <x:v>0</x:v>
      </x:c>
      <x:c r="F235" s="27" t="n">
        <x:f>D235</x:f>
        <x:v>61</x:v>
      </x:c>
      <x:c r="G235" s="27" t="n">
        <x:f>F235</x:f>
        <x:v>61</x:v>
      </x:c>
      <x:c r="H235" s="27" t="n">
        <x:f>IF(F235=0,0,I235/F235)</x:f>
        <x:v>228</x:v>
      </x:c>
      <x:c r="I235" s="27" t="n">
        <x:f>SUMIFS('Orders'!$I$5:$I$3004,'Orders'!$D$5:$D$3004,A235,'Orders'!$E$5:$E$3004,B235,'Orders'!$C$5:$C$3004,C235)</x:f>
        <x:v>13908</x:v>
      </x:c>
      <x:c r="J235" s="27" t="n">
        <x:f>'Products'!D9*INDEX('Assumptions'!$C$16:$N$16,1,MONTH(C235))</x:f>
        <x:v>147</x:v>
      </x:c>
      <x:c r="K235" s="27" t="n">
        <x:f>G235*J235</x:f>
        <x:v>8967</x:v>
      </x:c>
      <x:c r="L235" s="27" t="n">
        <x:f>I235-K235</x:f>
        <x:v>4941</x:v>
      </x:c>
    </x:row>
    <x:row r="236" ht="23" customHeight="1">
      <x:c r="A236" s="34" t="str">
        <x:v>0005</x:v>
      </x:c>
      <x:c r="B236" s="7" t="str">
        <x:v>North</x:v>
      </x:c>
      <x:c r="C236" s="14" t="d">
        <x:v>2026-04-01T00:00:00.000Z</x:v>
      </x:c>
      <x:c r="D236" s="27" t="n">
        <x:f>SUMIFS('Orders'!$F$5:$F$3004,'Orders'!$D$5:$D$3004,A236,'Orders'!$E$5:$E$3004,B236,'Orders'!$C$5:$C$3004,C236)</x:f>
        <x:v>66</x:v>
      </x:c>
      <x:c r="E236" s="28" t="n">
        <x:f>0</x:f>
        <x:v>0</x:v>
      </x:c>
      <x:c r="F236" s="27" t="n">
        <x:f>D236</x:f>
        <x:v>66</x:v>
      </x:c>
      <x:c r="G236" s="27" t="n">
        <x:f>F236</x:f>
        <x:v>66</x:v>
      </x:c>
      <x:c r="H236" s="27" t="n">
        <x:f>IF(F236=0,0,I236/F236)</x:f>
        <x:v>235.20000000000005</x:v>
      </x:c>
      <x:c r="I236" s="27" t="n">
        <x:f>SUMIFS('Orders'!$I$5:$I$3004,'Orders'!$D$5:$D$3004,A236,'Orders'!$E$5:$E$3004,B236,'Orders'!$C$5:$C$3004,C236)</x:f>
        <x:v>15523.200000000003</x:v>
      </x:c>
      <x:c r="J236" s="27" t="n">
        <x:f>'Products'!D9*INDEX('Assumptions'!$C$16:$N$16,1,MONTH(C236))</x:f>
        <x:v>147</x:v>
      </x:c>
      <x:c r="K236" s="27" t="n">
        <x:f>G236*J236</x:f>
        <x:v>9702</x:v>
      </x:c>
      <x:c r="L236" s="27" t="n">
        <x:f>I236-K236</x:f>
        <x:v>5821.200000000003</x:v>
      </x:c>
    </x:row>
    <x:row r="237" ht="23" customHeight="1">
      <x:c r="A237" s="34" t="str">
        <x:v>0005</x:v>
      </x:c>
      <x:c r="B237" s="7" t="str">
        <x:v>North</x:v>
      </x:c>
      <x:c r="C237" s="14" t="d">
        <x:v>2026-05-01T00:00:00.000Z</x:v>
      </x:c>
      <x:c r="D237" s="27" t="n">
        <x:f>SUMIFS('Orders'!$F$5:$F$3004,'Orders'!$D$5:$D$3004,A237,'Orders'!$E$5:$E$3004,B237,'Orders'!$C$5:$C$3004,C237)</x:f>
        <x:v>61</x:v>
      </x:c>
      <x:c r="E237" s="28" t="n">
        <x:f>0</x:f>
        <x:v>0</x:v>
      </x:c>
      <x:c r="F237" s="27" t="n">
        <x:f>D237</x:f>
        <x:v>61</x:v>
      </x:c>
      <x:c r="G237" s="27" t="n">
        <x:f>F237</x:f>
        <x:v>61</x:v>
      </x:c>
      <x:c r="H237" s="27" t="n">
        <x:f>IF(F237=0,0,I237/F237)</x:f>
        <x:v>240</x:v>
      </x:c>
      <x:c r="I237" s="27" t="n">
        <x:f>SUMIFS('Orders'!$I$5:$I$3004,'Orders'!$D$5:$D$3004,A237,'Orders'!$E$5:$E$3004,B237,'Orders'!$C$5:$C$3004,C237)</x:f>
        <x:v>14640</x:v>
      </x:c>
      <x:c r="J237" s="27" t="n">
        <x:f>'Products'!D9*INDEX('Assumptions'!$C$16:$N$16,1,MONTH(C237))</x:f>
        <x:v>147</x:v>
      </x:c>
      <x:c r="K237" s="27" t="n">
        <x:f>G237*J237</x:f>
        <x:v>8967</x:v>
      </x:c>
      <x:c r="L237" s="27" t="n">
        <x:f>I237-K237</x:f>
        <x:v>5673</x:v>
      </x:c>
    </x:row>
    <x:row r="238" ht="23" customHeight="1">
      <x:c r="A238" s="34" t="str">
        <x:v>0005</x:v>
      </x:c>
      <x:c r="B238" s="7" t="str">
        <x:v>North</x:v>
      </x:c>
      <x:c r="C238" s="14" t="d">
        <x:v>2026-06-01T00:00:00.000Z</x:v>
      </x:c>
      <x:c r="D238" s="27" t="n">
        <x:f>SUMIFS('Orders'!$F$5:$F$3004,'Orders'!$D$5:$D$3004,A238,'Orders'!$E$5:$E$3004,B238,'Orders'!$C$5:$C$3004,C238)</x:f>
        <x:v>53</x:v>
      </x:c>
      <x:c r="E238" s="28" t="n">
        <x:f>0</x:f>
        <x:v>0</x:v>
      </x:c>
      <x:c r="F238" s="27" t="n">
        <x:f>D238</x:f>
        <x:v>53</x:v>
      </x:c>
      <x:c r="G238" s="27" t="n">
        <x:f>F238</x:f>
        <x:v>53</x:v>
      </x:c>
      <x:c r="H238" s="27" t="n">
        <x:f>IF(F238=0,0,I238/F238)</x:f>
        <x:v>228</x:v>
      </x:c>
      <x:c r="I238" s="27" t="n">
        <x:f>SUMIFS('Orders'!$I$5:$I$3004,'Orders'!$D$5:$D$3004,A238,'Orders'!$E$5:$E$3004,B238,'Orders'!$C$5:$C$3004,C238)</x:f>
        <x:v>12084</x:v>
      </x:c>
      <x:c r="J238" s="27" t="n">
        <x:f>'Products'!D9*INDEX('Assumptions'!$C$16:$N$16,1,MONTH(C238))</x:f>
        <x:v>147</x:v>
      </x:c>
      <x:c r="K238" s="27" t="n">
        <x:f>G238*J238</x:f>
        <x:v>7791</x:v>
      </x:c>
      <x:c r="L238" s="27" t="n">
        <x:f>I238-K238</x:f>
        <x:v>4293</x:v>
      </x:c>
    </x:row>
    <x:row r="239" ht="23" customHeight="1">
      <x:c r="A239" s="34" t="str">
        <x:v>0005</x:v>
      </x:c>
      <x:c r="B239" s="7" t="str">
        <x:v>North</x:v>
      </x:c>
      <x:c r="C239" s="14" t="d">
        <x:v>2026-07-01T00:00:00.000Z</x:v>
      </x:c>
      <x:c r="D239" s="27" t="n">
        <x:f>'Assumptions'!D153</x:f>
        <x:v>212</x:v>
      </x:c>
      <x:c r="E239" s="28" t="n">
        <x:f>INDEX('Assumptions'!$C$12:$N$12,1,MONTH(C239))</x:f>
        <x:v>0.03</x:v>
      </x:c>
      <x:c r="F239" s="27" t="n">
        <x:f>ROUND(D239*INDEX('Assumptions'!$C$8:$N$8,1,MONTH(C239))*(1-'Products'!E9*E239),0)</x:f>
        <x:v>206</x:v>
      </x:c>
      <x:c r="G239" s="27" t="n">
        <x:f>F239*SUMIFS('Inventory'!$L$5:$L$100,'Inventory'!$A$5:$A$100,A239,'Inventory'!$B$5:$B$100,C239)</x:f>
        <x:v>206</x:v>
      </x:c>
      <x:c r="H239" s="27" t="n">
        <x:f>'Assumptions'!E153*(1+E239)</x:f>
        <x:v>247.20000000000002</x:v>
      </x:c>
      <x:c r="I239" s="27" t="n">
        <x:f>G239*H239</x:f>
        <x:v>50923.200000000004</x:v>
      </x:c>
      <x:c r="J239" s="27" t="n">
        <x:f>'Products'!D9*INDEX('Assumptions'!$C$16:$N$16,1,MONTH(C239))</x:f>
        <x:v>149.94</x:v>
      </x:c>
      <x:c r="K239" s="27" t="n">
        <x:f>G239*J239</x:f>
        <x:v>30887.64</x:v>
      </x:c>
      <x:c r="L239" s="27" t="n">
        <x:f>I239-K239</x:f>
        <x:v>20035.560000000005</x:v>
      </x:c>
    </x:row>
    <x:row r="240" ht="23" customHeight="1">
      <x:c r="A240" s="34" t="str">
        <x:v>0005</x:v>
      </x:c>
      <x:c r="B240" s="7" t="str">
        <x:v>North</x:v>
      </x:c>
      <x:c r="C240" s="14" t="d">
        <x:v>2026-08-01T00:00:00.000Z</x:v>
      </x:c>
      <x:c r="D240" s="27" t="n">
        <x:f>'Assumptions'!D154</x:f>
        <x:v>227</x:v>
      </x:c>
      <x:c r="E240" s="28" t="n">
        <x:f>INDEX('Assumptions'!$C$12:$N$12,1,MONTH(C240))</x:f>
        <x:v>0.03</x:v>
      </x:c>
      <x:c r="F240" s="27" t="n">
        <x:f>ROUND(D240*INDEX('Assumptions'!$C$8:$N$8,1,MONTH(C240))*(1-'Products'!E9*E240),0)</x:f>
        <x:v>221</x:v>
      </x:c>
      <x:c r="G240" s="27" t="n">
        <x:f>F240*SUMIFS('Inventory'!$L$5:$L$100,'Inventory'!$A$5:$A$100,A240,'Inventory'!$B$5:$B$100,C240)</x:f>
        <x:v>221</x:v>
      </x:c>
      <x:c r="H240" s="27" t="n">
        <x:f>'Assumptions'!E154*(1+E240)</x:f>
        <x:v>247.20000000000002</x:v>
      </x:c>
      <x:c r="I240" s="27" t="n">
        <x:f>G240*H240</x:f>
        <x:v>54631.200000000004</x:v>
      </x:c>
      <x:c r="J240" s="27" t="n">
        <x:f>'Products'!D9*INDEX('Assumptions'!$C$16:$N$16,1,MONTH(C240))</x:f>
        <x:v>149.94</x:v>
      </x:c>
      <x:c r="K240" s="27" t="n">
        <x:f>G240*J240</x:f>
        <x:v>33136.74</x:v>
      </x:c>
      <x:c r="L240" s="27" t="n">
        <x:f>I240-K240</x:f>
        <x:v>21494.460000000006</x:v>
      </x:c>
    </x:row>
    <x:row r="241" ht="23" customHeight="1">
      <x:c r="A241" s="34" t="str">
        <x:v>0005</x:v>
      </x:c>
      <x:c r="B241" s="7" t="str">
        <x:v>North</x:v>
      </x:c>
      <x:c r="C241" s="14" t="d">
        <x:v>2026-09-01T00:00:00.000Z</x:v>
      </x:c>
      <x:c r="D241" s="27" t="n">
        <x:f>'Assumptions'!D155</x:f>
        <x:v>242</x:v>
      </x:c>
      <x:c r="E241" s="28" t="n">
        <x:f>INDEX('Assumptions'!$C$12:$N$12,1,MONTH(C241))</x:f>
        <x:v>0.03</x:v>
      </x:c>
      <x:c r="F241" s="27" t="n">
        <x:f>ROUND(D241*INDEX('Assumptions'!$C$8:$N$8,1,MONTH(C241))*(1-'Products'!E9*E241),0)</x:f>
        <x:v>236</x:v>
      </x:c>
      <x:c r="G241" s="27" t="n">
        <x:f>F241*SUMIFS('Inventory'!$L$5:$L$100,'Inventory'!$A$5:$A$100,A241,'Inventory'!$B$5:$B$100,C241)</x:f>
        <x:v>236</x:v>
      </x:c>
      <x:c r="H241" s="27" t="n">
        <x:f>'Assumptions'!E155*(1+E241)</x:f>
        <x:v>247.20000000000002</x:v>
      </x:c>
      <x:c r="I241" s="27" t="n">
        <x:f>G241*H241</x:f>
        <x:v>58339.200000000004</x:v>
      </x:c>
      <x:c r="J241" s="27" t="n">
        <x:f>'Products'!D9*INDEX('Assumptions'!$C$16:$N$16,1,MONTH(C241))</x:f>
        <x:v>149.94</x:v>
      </x:c>
      <x:c r="K241" s="27" t="n">
        <x:f>G241*J241</x:f>
        <x:v>35385.84</x:v>
      </x:c>
      <x:c r="L241" s="27" t="n">
        <x:f>I241-K241</x:f>
        <x:v>22953.360000000008</x:v>
      </x:c>
    </x:row>
    <x:row r="242" ht="23" customHeight="1">
      <x:c r="A242" s="34" t="str">
        <x:v>0005</x:v>
      </x:c>
      <x:c r="B242" s="7" t="str">
        <x:v>North</x:v>
      </x:c>
      <x:c r="C242" s="14" t="d">
        <x:v>2026-10-01T00:00:00.000Z</x:v>
      </x:c>
      <x:c r="D242" s="27" t="n">
        <x:f>'Assumptions'!D156</x:f>
        <x:v>257</x:v>
      </x:c>
      <x:c r="E242" s="28" t="n">
        <x:f>INDEX('Assumptions'!$C$12:$N$12,1,MONTH(C242))</x:f>
        <x:v>0.03</x:v>
      </x:c>
      <x:c r="F242" s="27" t="n">
        <x:f>ROUND(D242*INDEX('Assumptions'!$C$8:$N$8,1,MONTH(C242))*(1-'Products'!E9*E242),0)</x:f>
        <x:v>250</x:v>
      </x:c>
      <x:c r="G242" s="27" t="n">
        <x:f>F242*SUMIFS('Inventory'!$L$5:$L$100,'Inventory'!$A$5:$A$100,A242,'Inventory'!$B$5:$B$100,C242)</x:f>
        <x:v>197.0998925886144</x:v>
      </x:c>
      <x:c r="H242" s="27" t="n">
        <x:f>'Assumptions'!E156*(1+E242)</x:f>
        <x:v>247.20000000000002</x:v>
      </x:c>
      <x:c r="I242" s="27" t="n">
        <x:f>G242*H242</x:f>
        <x:v>48723.093447905485</x:v>
      </x:c>
      <x:c r="J242" s="27" t="n">
        <x:f>'Products'!D9*INDEX('Assumptions'!$C$16:$N$16,1,MONTH(C242))</x:f>
        <x:v>149.94</x:v>
      </x:c>
      <x:c r="K242" s="27" t="n">
        <x:f>G242*J242</x:f>
        <x:v>29553.157894736843</x:v>
      </x:c>
      <x:c r="L242" s="27" t="n">
        <x:f>I242-K242</x:f>
        <x:v>19169.93555316864</x:v>
      </x:c>
    </x:row>
    <x:row r="243" ht="23" customHeight="1">
      <x:c r="A243" s="34" t="str">
        <x:v>0005</x:v>
      </x:c>
      <x:c r="B243" s="7" t="str">
        <x:v>North</x:v>
      </x:c>
      <x:c r="C243" s="14" t="d">
        <x:v>2026-11-01T00:00:00.000Z</x:v>
      </x:c>
      <x:c r="D243" s="27" t="n">
        <x:f>'Assumptions'!D157</x:f>
        <x:v>272</x:v>
      </x:c>
      <x:c r="E243" s="28" t="n">
        <x:f>INDEX('Assumptions'!$C$12:$N$12,1,MONTH(C243))</x:f>
        <x:v>0.03</x:v>
      </x:c>
      <x:c r="F243" s="27" t="n">
        <x:f>ROUND(D243*INDEX('Assumptions'!$C$8:$N$8,1,MONTH(C243))*(1-'Products'!E9*E243),0)</x:f>
        <x:v>265</x:v>
      </x:c>
      <x:c r="G243" s="27" t="n">
        <x:f>F243*SUMIFS('Inventory'!$L$5:$L$100,'Inventory'!$A$5:$A$100,A243,'Inventory'!$B$5:$B$100,C243)</x:f>
        <x:v>123.7917087967644</x:v>
      </x:c>
      <x:c r="H243" s="27" t="n">
        <x:f>'Assumptions'!E157*(1+E243)</x:f>
        <x:v>247.20000000000002</x:v>
      </x:c>
      <x:c r="I243" s="27" t="n">
        <x:f>G243*H243</x:f>
        <x:v>30601.31041456016</x:v>
      </x:c>
      <x:c r="J243" s="27" t="n">
        <x:f>'Products'!D9*INDEX('Assumptions'!$C$16:$N$16,1,MONTH(C243))</x:f>
        <x:v>149.94</x:v>
      </x:c>
      <x:c r="K243" s="27" t="n">
        <x:f>G243*J243</x:f>
        <x:v>18561.328816986854</x:v>
      </x:c>
      <x:c r="L243" s="27" t="n">
        <x:f>I243-K243</x:f>
        <x:v>12039.981597573307</x:v>
      </x:c>
    </x:row>
    <x:row r="244" ht="23" customHeight="1">
      <x:c r="A244" s="34" t="str">
        <x:v>0005</x:v>
      </x:c>
      <x:c r="B244" s="7" t="str">
        <x:v>North</x:v>
      </x:c>
      <x:c r="C244" s="14" t="d">
        <x:v>2026-12-01T00:00:00.000Z</x:v>
      </x:c>
      <x:c r="D244" s="27" t="n">
        <x:f>'Assumptions'!D158</x:f>
        <x:v>287</x:v>
      </x:c>
      <x:c r="E244" s="28" t="n">
        <x:f>INDEX('Assumptions'!$C$12:$N$12,1,MONTH(C244))</x:f>
        <x:v>0.03</x:v>
      </x:c>
      <x:c r="F244" s="27" t="n">
        <x:f>ROUND(D244*INDEX('Assumptions'!$C$8:$N$8,1,MONTH(C244))*(1-'Products'!E9*E244),0)</x:f>
        <x:v>279</x:v>
      </x:c>
      <x:c r="G244" s="27" t="n">
        <x:f>F244*SUMIFS('Inventory'!$L$5:$L$100,'Inventory'!$A$5:$A$100,A244,'Inventory'!$B$5:$B$100,C244)</x:f>
        <x:v>123.11174785100286</x:v>
      </x:c>
      <x:c r="H244" s="27" t="n">
        <x:f>'Assumptions'!E158*(1+E244)</x:f>
        <x:v>247.20000000000002</x:v>
      </x:c>
      <x:c r="I244" s="27" t="n">
        <x:f>G244*H244</x:f>
        <x:v>30433.224068767908</x:v>
      </x:c>
      <x:c r="J244" s="27" t="n">
        <x:f>'Products'!D9*INDEX('Assumptions'!$C$16:$N$16,1,MONTH(C244))</x:f>
        <x:v>149.94</x:v>
      </x:c>
      <x:c r="K244" s="27" t="n">
        <x:f>G244*J244</x:f>
        <x:v>18459.375472779368</x:v>
      </x:c>
      <x:c r="L244" s="27" t="n">
        <x:f>I244-K244</x:f>
        <x:v>11973.84859598854</x:v>
      </x:c>
    </x:row>
    <x:row r="245" ht="23" customHeight="1">
      <x:c r="A245" s="34" t="str">
        <x:v>0006</x:v>
      </x:c>
      <x:c r="B245" s="7" t="str">
        <x:v>Central</x:v>
      </x:c>
      <x:c r="C245" s="14" t="d">
        <x:v>2026-01-01T00:00:00.000Z</x:v>
      </x:c>
      <x:c r="D245" s="27" t="n">
        <x:f>SUMIFS('Orders'!$F$5:$F$3004,'Orders'!$D$5:$D$3004,A245,'Orders'!$E$5:$E$3004,B245,'Orders'!$C$5:$C$3004,C245)</x:f>
        <x:v>55</x:v>
      </x:c>
      <x:c r="E245" s="28" t="n">
        <x:f>0</x:f>
        <x:v>0</x:v>
      </x:c>
      <x:c r="F245" s="27" t="n">
        <x:f>D245</x:f>
        <x:v>55</x:v>
      </x:c>
      <x:c r="G245" s="27" t="n">
        <x:f>F245</x:f>
        <x:v>55</x:v>
      </x:c>
      <x:c r="H245" s="27" t="n">
        <x:f>IF(F245=0,0,I245/F245)</x:f>
        <x:v>247</x:v>
      </x:c>
      <x:c r="I245" s="27" t="n">
        <x:f>SUMIFS('Orders'!$I$5:$I$3004,'Orders'!$D$5:$D$3004,A245,'Orders'!$E$5:$E$3004,B245,'Orders'!$C$5:$C$3004,C245)</x:f>
        <x:v>13585</x:v>
      </x:c>
      <x:c r="J245" s="27" t="n">
        <x:f>'Products'!D10*INDEX('Assumptions'!$C$16:$N$16,1,MONTH(C245))</x:f>
        <x:v>160</x:v>
      </x:c>
      <x:c r="K245" s="27" t="n">
        <x:f>G245*J245</x:f>
        <x:v>8800</x:v>
      </x:c>
      <x:c r="L245" s="27" t="n">
        <x:f>I245-K245</x:f>
        <x:v>4785</x:v>
      </x:c>
    </x:row>
    <x:row r="246" ht="23" customHeight="1">
      <x:c r="A246" s="34" t="str">
        <x:v>0006</x:v>
      </x:c>
      <x:c r="B246" s="7" t="str">
        <x:v>Central</x:v>
      </x:c>
      <x:c r="C246" s="14" t="d">
        <x:v>2026-02-01T00:00:00.000Z</x:v>
      </x:c>
      <x:c r="D246" s="27" t="n">
        <x:f>SUMIFS('Orders'!$F$5:$F$3004,'Orders'!$D$5:$D$3004,A246,'Orders'!$E$5:$E$3004,B246,'Orders'!$C$5:$C$3004,C246)</x:f>
        <x:v>47</x:v>
      </x:c>
      <x:c r="E246" s="28" t="n">
        <x:f>0</x:f>
        <x:v>0</x:v>
      </x:c>
      <x:c r="F246" s="27" t="n">
        <x:f>D246</x:f>
        <x:v>47</x:v>
      </x:c>
      <x:c r="G246" s="27" t="n">
        <x:f>F246</x:f>
        <x:v>47</x:v>
      </x:c>
      <x:c r="H246" s="27" t="n">
        <x:f>IF(F246=0,0,I246/F246)</x:f>
        <x:v>254.8</x:v>
      </x:c>
      <x:c r="I246" s="27" t="n">
        <x:f>SUMIFS('Orders'!$I$5:$I$3004,'Orders'!$D$5:$D$3004,A246,'Orders'!$E$5:$E$3004,B246,'Orders'!$C$5:$C$3004,C246)</x:f>
        <x:v>11975.6</x:v>
      </x:c>
      <x:c r="J246" s="27" t="n">
        <x:f>'Products'!D10*INDEX('Assumptions'!$C$16:$N$16,1,MONTH(C246))</x:f>
        <x:v>160</x:v>
      </x:c>
      <x:c r="K246" s="27" t="n">
        <x:f>G246*J246</x:f>
        <x:v>7520</x:v>
      </x:c>
      <x:c r="L246" s="27" t="n">
        <x:f>I246-K246</x:f>
        <x:v>4455.6</x:v>
      </x:c>
    </x:row>
    <x:row r="247" ht="23" customHeight="1">
      <x:c r="A247" s="34" t="str">
        <x:v>0006</x:v>
      </x:c>
      <x:c r="B247" s="7" t="str">
        <x:v>Central</x:v>
      </x:c>
      <x:c r="C247" s="14" t="d">
        <x:v>2026-03-01T00:00:00.000Z</x:v>
      </x:c>
      <x:c r="D247" s="27" t="n">
        <x:f>SUMIFS('Orders'!$F$5:$F$3004,'Orders'!$D$5:$D$3004,A247,'Orders'!$E$5:$E$3004,B247,'Orders'!$C$5:$C$3004,C247)</x:f>
        <x:v>62</x:v>
      </x:c>
      <x:c r="E247" s="28" t="n">
        <x:f>0</x:f>
        <x:v>0</x:v>
      </x:c>
      <x:c r="F247" s="27" t="n">
        <x:f>D247</x:f>
        <x:v>62</x:v>
      </x:c>
      <x:c r="G247" s="27" t="n">
        <x:f>F247</x:f>
        <x:v>62</x:v>
      </x:c>
      <x:c r="H247" s="27" t="n">
        <x:f>IF(F247=0,0,I247/F247)</x:f>
        <x:v>260</x:v>
      </x:c>
      <x:c r="I247" s="27" t="n">
        <x:f>SUMIFS('Orders'!$I$5:$I$3004,'Orders'!$D$5:$D$3004,A247,'Orders'!$E$5:$E$3004,B247,'Orders'!$C$5:$C$3004,C247)</x:f>
        <x:v>16120</x:v>
      </x:c>
      <x:c r="J247" s="27" t="n">
        <x:f>'Products'!D10*INDEX('Assumptions'!$C$16:$N$16,1,MONTH(C247))</x:f>
        <x:v>160</x:v>
      </x:c>
      <x:c r="K247" s="27" t="n">
        <x:f>G247*J247</x:f>
        <x:v>9920</x:v>
      </x:c>
      <x:c r="L247" s="27" t="n">
        <x:f>I247-K247</x:f>
        <x:v>6200</x:v>
      </x:c>
    </x:row>
    <x:row r="248" ht="23" customHeight="1">
      <x:c r="A248" s="34" t="str">
        <x:v>0006</x:v>
      </x:c>
      <x:c r="B248" s="7" t="str">
        <x:v>Central</x:v>
      </x:c>
      <x:c r="C248" s="14" t="d">
        <x:v>2026-04-01T00:00:00.000Z</x:v>
      </x:c>
      <x:c r="D248" s="27" t="n">
        <x:f>SUMIFS('Orders'!$F$5:$F$3004,'Orders'!$D$5:$D$3004,A248,'Orders'!$E$5:$E$3004,B248,'Orders'!$C$5:$C$3004,C248)</x:f>
        <x:v>59</x:v>
      </x:c>
      <x:c r="E248" s="28" t="n">
        <x:f>0</x:f>
        <x:v>0</x:v>
      </x:c>
      <x:c r="F248" s="27" t="n">
        <x:f>D248</x:f>
        <x:v>59</x:v>
      </x:c>
      <x:c r="G248" s="27" t="n">
        <x:f>F248</x:f>
        <x:v>59</x:v>
      </x:c>
      <x:c r="H248" s="27" t="n">
        <x:f>IF(F248=0,0,I248/F248)</x:f>
        <x:v>247</x:v>
      </x:c>
      <x:c r="I248" s="27" t="n">
        <x:f>SUMIFS('Orders'!$I$5:$I$3004,'Orders'!$D$5:$D$3004,A248,'Orders'!$E$5:$E$3004,B248,'Orders'!$C$5:$C$3004,C248)</x:f>
        <x:v>14573</x:v>
      </x:c>
      <x:c r="J248" s="27" t="n">
        <x:f>'Products'!D10*INDEX('Assumptions'!$C$16:$N$16,1,MONTH(C248))</x:f>
        <x:v>160</x:v>
      </x:c>
      <x:c r="K248" s="27" t="n">
        <x:f>G248*J248</x:f>
        <x:v>9440</x:v>
      </x:c>
      <x:c r="L248" s="27" t="n">
        <x:f>I248-K248</x:f>
        <x:v>5133</x:v>
      </x:c>
    </x:row>
    <x:row r="249" ht="23" customHeight="1">
      <x:c r="A249" s="34" t="str">
        <x:v>0006</x:v>
      </x:c>
      <x:c r="B249" s="7" t="str">
        <x:v>Central</x:v>
      </x:c>
      <x:c r="C249" s="14" t="d">
        <x:v>2026-05-01T00:00:00.000Z</x:v>
      </x:c>
      <x:c r="D249" s="27" t="n">
        <x:f>SUMIFS('Orders'!$F$5:$F$3004,'Orders'!$D$5:$D$3004,A249,'Orders'!$E$5:$E$3004,B249,'Orders'!$C$5:$C$3004,C249)</x:f>
        <x:v>59</x:v>
      </x:c>
      <x:c r="E249" s="28" t="n">
        <x:f>0</x:f>
        <x:v>0</x:v>
      </x:c>
      <x:c r="F249" s="27" t="n">
        <x:f>D249</x:f>
        <x:v>59</x:v>
      </x:c>
      <x:c r="G249" s="27" t="n">
        <x:f>F249</x:f>
        <x:v>59</x:v>
      </x:c>
      <x:c r="H249" s="27" t="n">
        <x:f>IF(F249=0,0,I249/F249)</x:f>
        <x:v>254.79999999999995</x:v>
      </x:c>
      <x:c r="I249" s="27" t="n">
        <x:f>SUMIFS('Orders'!$I$5:$I$3004,'Orders'!$D$5:$D$3004,A249,'Orders'!$E$5:$E$3004,B249,'Orders'!$C$5:$C$3004,C249)</x:f>
        <x:v>15033.199999999997</x:v>
      </x:c>
      <x:c r="J249" s="27" t="n">
        <x:f>'Products'!D10*INDEX('Assumptions'!$C$16:$N$16,1,MONTH(C249))</x:f>
        <x:v>160</x:v>
      </x:c>
      <x:c r="K249" s="27" t="n">
        <x:f>G249*J249</x:f>
        <x:v>9440</x:v>
      </x:c>
      <x:c r="L249" s="27" t="n">
        <x:f>I249-K249</x:f>
        <x:v>5593.199999999997</x:v>
      </x:c>
    </x:row>
    <x:row r="250" ht="23" customHeight="1">
      <x:c r="A250" s="34" t="str">
        <x:v>0006</x:v>
      </x:c>
      <x:c r="B250" s="7" t="str">
        <x:v>Central</x:v>
      </x:c>
      <x:c r="C250" s="14" t="d">
        <x:v>2026-06-01T00:00:00.000Z</x:v>
      </x:c>
      <x:c r="D250" s="27" t="n">
        <x:f>SUMIFS('Orders'!$F$5:$F$3004,'Orders'!$D$5:$D$3004,A250,'Orders'!$E$5:$E$3004,B250,'Orders'!$C$5:$C$3004,C250)</x:f>
        <x:v>66</x:v>
      </x:c>
      <x:c r="E250" s="28" t="n">
        <x:f>0</x:f>
        <x:v>0</x:v>
      </x:c>
      <x:c r="F250" s="27" t="n">
        <x:f>D250</x:f>
        <x:v>66</x:v>
      </x:c>
      <x:c r="G250" s="27" t="n">
        <x:f>F250</x:f>
        <x:v>66</x:v>
      </x:c>
      <x:c r="H250" s="27" t="n">
        <x:f>IF(F250=0,0,I250/F250)</x:f>
        <x:v>260</x:v>
      </x:c>
      <x:c r="I250" s="27" t="n">
        <x:f>SUMIFS('Orders'!$I$5:$I$3004,'Orders'!$D$5:$D$3004,A250,'Orders'!$E$5:$E$3004,B250,'Orders'!$C$5:$C$3004,C250)</x:f>
        <x:v>17160</x:v>
      </x:c>
      <x:c r="J250" s="27" t="n">
        <x:f>'Products'!D10*INDEX('Assumptions'!$C$16:$N$16,1,MONTH(C250))</x:f>
        <x:v>160</x:v>
      </x:c>
      <x:c r="K250" s="27" t="n">
        <x:f>G250*J250</x:f>
        <x:v>10560</x:v>
      </x:c>
      <x:c r="L250" s="27" t="n">
        <x:f>I250-K250</x:f>
        <x:v>6600</x:v>
      </x:c>
    </x:row>
    <x:row r="251" ht="23" customHeight="1">
      <x:c r="A251" s="34" t="str">
        <x:v>0006</x:v>
      </x:c>
      <x:c r="B251" s="7" t="str">
        <x:v>Central</x:v>
      </x:c>
      <x:c r="C251" s="14" t="d">
        <x:v>2026-07-01T00:00:00.000Z</x:v>
      </x:c>
      <x:c r="D251" s="27" t="n">
        <x:f>'Assumptions'!D159</x:f>
        <x:v>185</x:v>
      </x:c>
      <x:c r="E251" s="28" t="n">
        <x:f>INDEX('Assumptions'!$C$12:$N$12,1,MONTH(C251))</x:f>
        <x:v>0.03</x:v>
      </x:c>
      <x:c r="F251" s="27" t="n">
        <x:f>ROUND(D251*INDEX('Assumptions'!$C$8:$N$8,1,MONTH(C251))*(1-'Products'!E10*E251),0)</x:f>
        <x:v>180</x:v>
      </x:c>
      <x:c r="G251" s="27" t="n">
        <x:f>F251*SUMIFS('Inventory'!$L$5:$L$100,'Inventory'!$A$5:$A$100,A251,'Inventory'!$B$5:$B$100,C251)</x:f>
        <x:v>180</x:v>
      </x:c>
      <x:c r="H251" s="27" t="n">
        <x:f>'Assumptions'!E159*(1+E251)</x:f>
        <x:v>267.8</x:v>
      </x:c>
      <x:c r="I251" s="27" t="n">
        <x:f>G251*H251</x:f>
        <x:v>48204</x:v>
      </x:c>
      <x:c r="J251" s="27" t="n">
        <x:f>'Products'!D10*INDEX('Assumptions'!$C$16:$N$16,1,MONTH(C251))</x:f>
        <x:v>163.2</x:v>
      </x:c>
      <x:c r="K251" s="27" t="n">
        <x:f>G251*J251</x:f>
        <x:v>29375.999999999996</x:v>
      </x:c>
      <x:c r="L251" s="27" t="n">
        <x:f>I251-K251</x:f>
        <x:v>18828.000000000004</x:v>
      </x:c>
    </x:row>
    <x:row r="252" ht="23" customHeight="1">
      <x:c r="A252" s="34" t="str">
        <x:v>0006</x:v>
      </x:c>
      <x:c r="B252" s="7" t="str">
        <x:v>Central</x:v>
      </x:c>
      <x:c r="C252" s="14" t="d">
        <x:v>2026-08-01T00:00:00.000Z</x:v>
      </x:c>
      <x:c r="D252" s="27" t="n">
        <x:f>'Assumptions'!D160</x:f>
        <x:v>200</x:v>
      </x:c>
      <x:c r="E252" s="28" t="n">
        <x:f>INDEX('Assumptions'!$C$12:$N$12,1,MONTH(C252))</x:f>
        <x:v>0.03</x:v>
      </x:c>
      <x:c r="F252" s="27" t="n">
        <x:f>ROUND(D252*INDEX('Assumptions'!$C$8:$N$8,1,MONTH(C252))*(1-'Products'!E10*E252),0)</x:f>
        <x:v>194</x:v>
      </x:c>
      <x:c r="G252" s="27" t="n">
        <x:f>F252*SUMIFS('Inventory'!$L$5:$L$100,'Inventory'!$A$5:$A$100,A252,'Inventory'!$B$5:$B$100,C252)</x:f>
        <x:v>194</x:v>
      </x:c>
      <x:c r="H252" s="27" t="n">
        <x:f>'Assumptions'!E160*(1+E252)</x:f>
        <x:v>267.8</x:v>
      </x:c>
      <x:c r="I252" s="27" t="n">
        <x:f>G252*H252</x:f>
        <x:v>51953.200000000004</x:v>
      </x:c>
      <x:c r="J252" s="27" t="n">
        <x:f>'Products'!D10*INDEX('Assumptions'!$C$16:$N$16,1,MONTH(C252))</x:f>
        <x:v>163.2</x:v>
      </x:c>
      <x:c r="K252" s="27" t="n">
        <x:f>G252*J252</x:f>
        <x:v>31660.8</x:v>
      </x:c>
      <x:c r="L252" s="27" t="n">
        <x:f>I252-K252</x:f>
        <x:v>20292.400000000005</x:v>
      </x:c>
    </x:row>
    <x:row r="253" ht="23" customHeight="1">
      <x:c r="A253" s="34" t="str">
        <x:v>0006</x:v>
      </x:c>
      <x:c r="B253" s="7" t="str">
        <x:v>Central</x:v>
      </x:c>
      <x:c r="C253" s="14" t="d">
        <x:v>2026-09-01T00:00:00.000Z</x:v>
      </x:c>
      <x:c r="D253" s="27" t="n">
        <x:f>'Assumptions'!D161</x:f>
        <x:v>215</x:v>
      </x:c>
      <x:c r="E253" s="28" t="n">
        <x:f>INDEX('Assumptions'!$C$12:$N$12,1,MONTH(C253))</x:f>
        <x:v>0.03</x:v>
      </x:c>
      <x:c r="F253" s="27" t="n">
        <x:f>ROUND(D253*INDEX('Assumptions'!$C$8:$N$8,1,MONTH(C253))*(1-'Products'!E10*E253),0)</x:f>
        <x:v>209</x:v>
      </x:c>
      <x:c r="G253" s="27" t="n">
        <x:f>F253*SUMIFS('Inventory'!$L$5:$L$100,'Inventory'!$A$5:$A$100,A253,'Inventory'!$B$5:$B$100,C253)</x:f>
        <x:v>209</x:v>
      </x:c>
      <x:c r="H253" s="27" t="n">
        <x:f>'Assumptions'!E161*(1+E253)</x:f>
        <x:v>267.8</x:v>
      </x:c>
      <x:c r="I253" s="27" t="n">
        <x:f>G253*H253</x:f>
        <x:v>55970.200000000004</x:v>
      </x:c>
      <x:c r="J253" s="27" t="n">
        <x:f>'Products'!D10*INDEX('Assumptions'!$C$16:$N$16,1,MONTH(C253))</x:f>
        <x:v>163.2</x:v>
      </x:c>
      <x:c r="K253" s="27" t="n">
        <x:f>G253*J253</x:f>
        <x:v>34108.799999999996</x:v>
      </x:c>
      <x:c r="L253" s="27" t="n">
        <x:f>I253-K253</x:f>
        <x:v>21861.40000000001</x:v>
      </x:c>
    </x:row>
    <x:row r="254" ht="23" customHeight="1">
      <x:c r="A254" s="34" t="str">
        <x:v>0006</x:v>
      </x:c>
      <x:c r="B254" s="7" t="str">
        <x:v>Central</x:v>
      </x:c>
      <x:c r="C254" s="14" t="d">
        <x:v>2026-10-01T00:00:00.000Z</x:v>
      </x:c>
      <x:c r="D254" s="27" t="n">
        <x:f>'Assumptions'!D162</x:f>
        <x:v>230</x:v>
      </x:c>
      <x:c r="E254" s="28" t="n">
        <x:f>INDEX('Assumptions'!$C$12:$N$12,1,MONTH(C254))</x:f>
        <x:v>0.03</x:v>
      </x:c>
      <x:c r="F254" s="27" t="n">
        <x:f>ROUND(D254*INDEX('Assumptions'!$C$8:$N$8,1,MONTH(C254))*(1-'Products'!E10*E254),0)</x:f>
        <x:v>223</x:v>
      </x:c>
      <x:c r="G254" s="27" t="n">
        <x:f>F254*SUMIFS('Inventory'!$L$5:$L$100,'Inventory'!$A$5:$A$100,A254,'Inventory'!$B$5:$B$100,C254)</x:f>
        <x:v>179.9283489096573</x:v>
      </x:c>
      <x:c r="H254" s="27" t="n">
        <x:f>'Assumptions'!E162*(1+E254)</x:f>
        <x:v>267.8</x:v>
      </x:c>
      <x:c r="I254" s="27" t="n">
        <x:f>G254*H254</x:f>
        <x:v>48184.81183800623</x:v>
      </x:c>
      <x:c r="J254" s="27" t="n">
        <x:f>'Products'!D10*INDEX('Assumptions'!$C$16:$N$16,1,MONTH(C254))</x:f>
        <x:v>163.2</x:v>
      </x:c>
      <x:c r="K254" s="27" t="n">
        <x:f>G254*J254</x:f>
        <x:v>29364.30654205607</x:v>
      </x:c>
      <x:c r="L254" s="27" t="n">
        <x:f>I254-K254</x:f>
        <x:v>18820.50529595016</x:v>
      </x:c>
    </x:row>
    <x:row r="255" ht="23" customHeight="1">
      <x:c r="A255" s="34" t="str">
        <x:v>0006</x:v>
      </x:c>
      <x:c r="B255" s="7" t="str">
        <x:v>Central</x:v>
      </x:c>
      <x:c r="C255" s="14" t="d">
        <x:v>2026-11-01T00:00:00.000Z</x:v>
      </x:c>
      <x:c r="D255" s="27" t="n">
        <x:f>'Assumptions'!D163</x:f>
        <x:v>245</x:v>
      </x:c>
      <x:c r="E255" s="28" t="n">
        <x:f>INDEX('Assumptions'!$C$12:$N$12,1,MONTH(C255))</x:f>
        <x:v>0.03</x:v>
      </x:c>
      <x:c r="F255" s="27" t="n">
        <x:f>ROUND(D255*INDEX('Assumptions'!$C$8:$N$8,1,MONTH(C255))*(1-'Products'!E10*E255),0)</x:f>
        <x:v>238</x:v>
      </x:c>
      <x:c r="G255" s="27" t="n">
        <x:f>F255*SUMIFS('Inventory'!$L$5:$L$100,'Inventory'!$A$5:$A$100,A255,'Inventory'!$B$5:$B$100,C255)</x:f>
        <x:v>111.78082191780821</x:v>
      </x:c>
      <x:c r="H255" s="27" t="n">
        <x:f>'Assumptions'!E163*(1+E255)</x:f>
        <x:v>267.8</x:v>
      </x:c>
      <x:c r="I255" s="27" t="n">
        <x:f>G255*H255</x:f>
        <x:v>29934.90410958904</x:v>
      </x:c>
      <x:c r="J255" s="27" t="n">
        <x:f>'Products'!D10*INDEX('Assumptions'!$C$16:$N$16,1,MONTH(C255))</x:f>
        <x:v>163.2</x:v>
      </x:c>
      <x:c r="K255" s="27" t="n">
        <x:f>G255*J255</x:f>
        <x:v>18242.6301369863</x:v>
      </x:c>
      <x:c r="L255" s="27" t="n">
        <x:f>I255-K255</x:f>
        <x:v>11692.27397260274</x:v>
      </x:c>
    </x:row>
    <x:row r="256" ht="23" customHeight="1">
      <x:c r="A256" s="34" t="str">
        <x:v>0006</x:v>
      </x:c>
      <x:c r="B256" s="7" t="str">
        <x:v>Central</x:v>
      </x:c>
      <x:c r="C256" s="14" t="d">
        <x:v>2026-12-01T00:00:00.000Z</x:v>
      </x:c>
      <x:c r="D256" s="27" t="n">
        <x:f>'Assumptions'!D164</x:f>
        <x:v>260</x:v>
      </x:c>
      <x:c r="E256" s="28" t="n">
        <x:f>INDEX('Assumptions'!$C$12:$N$12,1,MONTH(C256))</x:f>
        <x:v>0.03</x:v>
      </x:c>
      <x:c r="F256" s="27" t="n">
        <x:f>ROUND(D256*INDEX('Assumptions'!$C$8:$N$8,1,MONTH(C256))*(1-'Products'!E10*E256),0)</x:f>
        <x:v>253</x:v>
      </x:c>
      <x:c r="G256" s="27" t="n">
        <x:f>F256*SUMIFS('Inventory'!$L$5:$L$100,'Inventory'!$A$5:$A$100,A256,'Inventory'!$B$5:$B$100,C256)</x:f>
        <x:v>112.34042553191489</x:v>
      </x:c>
      <x:c r="H256" s="27" t="n">
        <x:f>'Assumptions'!E164*(1+E256)</x:f>
        <x:v>267.8</x:v>
      </x:c>
      <x:c r="I256" s="27" t="n">
        <x:f>G256*H256</x:f>
        <x:v>30084.76595744681</x:v>
      </x:c>
      <x:c r="J256" s="27" t="n">
        <x:f>'Products'!D10*INDEX('Assumptions'!$C$16:$N$16,1,MONTH(C256))</x:f>
        <x:v>163.2</x:v>
      </x:c>
      <x:c r="K256" s="27" t="n">
        <x:f>G256*J256</x:f>
        <x:v>18333.95744680851</x:v>
      </x:c>
      <x:c r="L256" s="27" t="n">
        <x:f>I256-K256</x:f>
        <x:v>11750.8085106383</x:v>
      </x:c>
    </x:row>
    <x:row r="257" ht="23" customHeight="1">
      <x:c r="A257" s="34" t="str">
        <x:v>0006</x:v>
      </x:c>
      <x:c r="B257" s="7" t="str">
        <x:v>East</x:v>
      </x:c>
      <x:c r="C257" s="14" t="d">
        <x:v>2026-01-01T00:00:00.000Z</x:v>
      </x:c>
      <x:c r="D257" s="27" t="n">
        <x:f>SUMIFS('Orders'!$F$5:$F$3004,'Orders'!$D$5:$D$3004,A257,'Orders'!$E$5:$E$3004,B257,'Orders'!$C$5:$C$3004,C257)</x:f>
        <x:v>63</x:v>
      </x:c>
      <x:c r="E257" s="28" t="n">
        <x:f>0</x:f>
        <x:v>0</x:v>
      </x:c>
      <x:c r="F257" s="27" t="n">
        <x:f>D257</x:f>
        <x:v>63</x:v>
      </x:c>
      <x:c r="G257" s="27" t="n">
        <x:f>F257</x:f>
        <x:v>63</x:v>
      </x:c>
      <x:c r="H257" s="27" t="n">
        <x:f>IF(F257=0,0,I257/F257)</x:f>
        <x:v>254.79999999999998</x:v>
      </x:c>
      <x:c r="I257" s="27" t="n">
        <x:f>SUMIFS('Orders'!$I$5:$I$3004,'Orders'!$D$5:$D$3004,A257,'Orders'!$E$5:$E$3004,B257,'Orders'!$C$5:$C$3004,C257)</x:f>
        <x:v>16052.4</x:v>
      </x:c>
      <x:c r="J257" s="27" t="n">
        <x:f>'Products'!D10*INDEX('Assumptions'!$C$16:$N$16,1,MONTH(C257))</x:f>
        <x:v>160</x:v>
      </x:c>
      <x:c r="K257" s="27" t="n">
        <x:f>G257*J257</x:f>
        <x:v>10080</x:v>
      </x:c>
      <x:c r="L257" s="27" t="n">
        <x:f>I257-K257</x:f>
        <x:v>5972.4</x:v>
      </x:c>
    </x:row>
    <x:row r="258" ht="23" customHeight="1">
      <x:c r="A258" s="34" t="str">
        <x:v>0006</x:v>
      </x:c>
      <x:c r="B258" s="7" t="str">
        <x:v>East</x:v>
      </x:c>
      <x:c r="C258" s="14" t="d">
        <x:v>2026-02-01T00:00:00.000Z</x:v>
      </x:c>
      <x:c r="D258" s="27" t="n">
        <x:f>SUMIFS('Orders'!$F$5:$F$3004,'Orders'!$D$5:$D$3004,A258,'Orders'!$E$5:$E$3004,B258,'Orders'!$C$5:$C$3004,C258)</x:f>
        <x:v>67</x:v>
      </x:c>
      <x:c r="E258" s="28" t="n">
        <x:f>0</x:f>
        <x:v>0</x:v>
      </x:c>
      <x:c r="F258" s="27" t="n">
        <x:f>D258</x:f>
        <x:v>67</x:v>
      </x:c>
      <x:c r="G258" s="27" t="n">
        <x:f>F258</x:f>
        <x:v>67</x:v>
      </x:c>
      <x:c r="H258" s="27" t="n">
        <x:f>IF(F258=0,0,I258/F258)</x:f>
        <x:v>260</x:v>
      </x:c>
      <x:c r="I258" s="27" t="n">
        <x:f>SUMIFS('Orders'!$I$5:$I$3004,'Orders'!$D$5:$D$3004,A258,'Orders'!$E$5:$E$3004,B258,'Orders'!$C$5:$C$3004,C258)</x:f>
        <x:v>17420</x:v>
      </x:c>
      <x:c r="J258" s="27" t="n">
        <x:f>'Products'!D10*INDEX('Assumptions'!$C$16:$N$16,1,MONTH(C258))</x:f>
        <x:v>160</x:v>
      </x:c>
      <x:c r="K258" s="27" t="n">
        <x:f>G258*J258</x:f>
        <x:v>10720</x:v>
      </x:c>
      <x:c r="L258" s="27" t="n">
        <x:f>I258-K258</x:f>
        <x:v>6700</x:v>
      </x:c>
    </x:row>
    <x:row r="259" ht="23" customHeight="1">
      <x:c r="A259" s="34" t="str">
        <x:v>0006</x:v>
      </x:c>
      <x:c r="B259" s="7" t="str">
        <x:v>East</x:v>
      </x:c>
      <x:c r="C259" s="14" t="d">
        <x:v>2026-03-01T00:00:00.000Z</x:v>
      </x:c>
      <x:c r="D259" s="27" t="n">
        <x:f>SUMIFS('Orders'!$F$5:$F$3004,'Orders'!$D$5:$D$3004,A259,'Orders'!$E$5:$E$3004,B259,'Orders'!$C$5:$C$3004,C259)</x:f>
        <x:v>63</x:v>
      </x:c>
      <x:c r="E259" s="28" t="n">
        <x:f>0</x:f>
        <x:v>0</x:v>
      </x:c>
      <x:c r="F259" s="27" t="n">
        <x:f>D259</x:f>
        <x:v>63</x:v>
      </x:c>
      <x:c r="G259" s="27" t="n">
        <x:f>F259</x:f>
        <x:v>63</x:v>
      </x:c>
      <x:c r="H259" s="27" t="n">
        <x:f>IF(F259=0,0,I259/F259)</x:f>
        <x:v>247</x:v>
      </x:c>
      <x:c r="I259" s="27" t="n">
        <x:f>SUMIFS('Orders'!$I$5:$I$3004,'Orders'!$D$5:$D$3004,A259,'Orders'!$E$5:$E$3004,B259,'Orders'!$C$5:$C$3004,C259)</x:f>
        <x:v>15561</x:v>
      </x:c>
      <x:c r="J259" s="27" t="n">
        <x:f>'Products'!D10*INDEX('Assumptions'!$C$16:$N$16,1,MONTH(C259))</x:f>
        <x:v>160</x:v>
      </x:c>
      <x:c r="K259" s="27" t="n">
        <x:f>G259*J259</x:f>
        <x:v>10080</x:v>
      </x:c>
      <x:c r="L259" s="27" t="n">
        <x:f>I259-K259</x:f>
        <x:v>5481</x:v>
      </x:c>
    </x:row>
    <x:row r="260" ht="23" customHeight="1">
      <x:c r="A260" s="34" t="str">
        <x:v>0006</x:v>
      </x:c>
      <x:c r="B260" s="7" t="str">
        <x:v>East</x:v>
      </x:c>
      <x:c r="C260" s="14" t="d">
        <x:v>2026-04-01T00:00:00.000Z</x:v>
      </x:c>
      <x:c r="D260" s="27" t="n">
        <x:f>SUMIFS('Orders'!$F$5:$F$3004,'Orders'!$D$5:$D$3004,A260,'Orders'!$E$5:$E$3004,B260,'Orders'!$C$5:$C$3004,C260)</x:f>
        <x:v>71</x:v>
      </x:c>
      <x:c r="E260" s="28" t="n">
        <x:f>0</x:f>
        <x:v>0</x:v>
      </x:c>
      <x:c r="F260" s="27" t="n">
        <x:f>D260</x:f>
        <x:v>71</x:v>
      </x:c>
      <x:c r="G260" s="27" t="n">
        <x:f>F260</x:f>
        <x:v>71</x:v>
      </x:c>
      <x:c r="H260" s="27" t="n">
        <x:f>IF(F260=0,0,I260/F260)</x:f>
        <x:v>254.79999999999998</x:v>
      </x:c>
      <x:c r="I260" s="27" t="n">
        <x:f>SUMIFS('Orders'!$I$5:$I$3004,'Orders'!$D$5:$D$3004,A260,'Orders'!$E$5:$E$3004,B260,'Orders'!$C$5:$C$3004,C260)</x:f>
        <x:v>18090.8</x:v>
      </x:c>
      <x:c r="J260" s="27" t="n">
        <x:f>'Products'!D10*INDEX('Assumptions'!$C$16:$N$16,1,MONTH(C260))</x:f>
        <x:v>160</x:v>
      </x:c>
      <x:c r="K260" s="27" t="n">
        <x:f>G260*J260</x:f>
        <x:v>11360</x:v>
      </x:c>
      <x:c r="L260" s="27" t="n">
        <x:f>I260-K260</x:f>
        <x:v>6730.799999999999</x:v>
      </x:c>
    </x:row>
    <x:row r="261" ht="23" customHeight="1">
      <x:c r="A261" s="34" t="str">
        <x:v>0006</x:v>
      </x:c>
      <x:c r="B261" s="7" t="str">
        <x:v>East</x:v>
      </x:c>
      <x:c r="C261" s="14" t="d">
        <x:v>2026-05-01T00:00:00.000Z</x:v>
      </x:c>
      <x:c r="D261" s="27" t="n">
        <x:f>SUMIFS('Orders'!$F$5:$F$3004,'Orders'!$D$5:$D$3004,A261,'Orders'!$E$5:$E$3004,B261,'Orders'!$C$5:$C$3004,C261)</x:f>
        <x:v>51</x:v>
      </x:c>
      <x:c r="E261" s="28" t="n">
        <x:f>0</x:f>
        <x:v>0</x:v>
      </x:c>
      <x:c r="F261" s="27" t="n">
        <x:f>D261</x:f>
        <x:v>51</x:v>
      </x:c>
      <x:c r="G261" s="27" t="n">
        <x:f>F261</x:f>
        <x:v>51</x:v>
      </x:c>
      <x:c r="H261" s="27" t="n">
        <x:f>IF(F261=0,0,I261/F261)</x:f>
        <x:v>260</x:v>
      </x:c>
      <x:c r="I261" s="27" t="n">
        <x:f>SUMIFS('Orders'!$I$5:$I$3004,'Orders'!$D$5:$D$3004,A261,'Orders'!$E$5:$E$3004,B261,'Orders'!$C$5:$C$3004,C261)</x:f>
        <x:v>13260</x:v>
      </x:c>
      <x:c r="J261" s="27" t="n">
        <x:f>'Products'!D10*INDEX('Assumptions'!$C$16:$N$16,1,MONTH(C261))</x:f>
        <x:v>160</x:v>
      </x:c>
      <x:c r="K261" s="27" t="n">
        <x:f>G261*J261</x:f>
        <x:v>8160</x:v>
      </x:c>
      <x:c r="L261" s="27" t="n">
        <x:f>I261-K261</x:f>
        <x:v>5100</x:v>
      </x:c>
    </x:row>
    <x:row r="262" ht="23" customHeight="1">
      <x:c r="A262" s="34" t="str">
        <x:v>0006</x:v>
      </x:c>
      <x:c r="B262" s="7" t="str">
        <x:v>East</x:v>
      </x:c>
      <x:c r="C262" s="14" t="d">
        <x:v>2026-06-01T00:00:00.000Z</x:v>
      </x:c>
      <x:c r="D262" s="27" t="n">
        <x:f>SUMIFS('Orders'!$F$5:$F$3004,'Orders'!$D$5:$D$3004,A262,'Orders'!$E$5:$E$3004,B262,'Orders'!$C$5:$C$3004,C262)</x:f>
        <x:v>59</x:v>
      </x:c>
      <x:c r="E262" s="28" t="n">
        <x:f>0</x:f>
        <x:v>0</x:v>
      </x:c>
      <x:c r="F262" s="27" t="n">
        <x:f>D262</x:f>
        <x:v>59</x:v>
      </x:c>
      <x:c r="G262" s="27" t="n">
        <x:f>F262</x:f>
        <x:v>59</x:v>
      </x:c>
      <x:c r="H262" s="27" t="n">
        <x:f>IF(F262=0,0,I262/F262)</x:f>
        <x:v>247</x:v>
      </x:c>
      <x:c r="I262" s="27" t="n">
        <x:f>SUMIFS('Orders'!$I$5:$I$3004,'Orders'!$D$5:$D$3004,A262,'Orders'!$E$5:$E$3004,B262,'Orders'!$C$5:$C$3004,C262)</x:f>
        <x:v>14573</x:v>
      </x:c>
      <x:c r="J262" s="27" t="n">
        <x:f>'Products'!D10*INDEX('Assumptions'!$C$16:$N$16,1,MONTH(C262))</x:f>
        <x:v>160</x:v>
      </x:c>
      <x:c r="K262" s="27" t="n">
        <x:f>G262*J262</x:f>
        <x:v>9440</x:v>
      </x:c>
      <x:c r="L262" s="27" t="n">
        <x:f>I262-K262</x:f>
        <x:v>5133</x:v>
      </x:c>
    </x:row>
    <x:row r="263" ht="23" customHeight="1">
      <x:c r="A263" s="34" t="str">
        <x:v>0006</x:v>
      </x:c>
      <x:c r="B263" s="7" t="str">
        <x:v>East</x:v>
      </x:c>
      <x:c r="C263" s="14" t="d">
        <x:v>2026-07-01T00:00:00.000Z</x:v>
      </x:c>
      <x:c r="D263" s="27" t="n">
        <x:f>'Assumptions'!D165</x:f>
        <x:v>197</x:v>
      </x:c>
      <x:c r="E263" s="28" t="n">
        <x:f>INDEX('Assumptions'!$C$12:$N$12,1,MONTH(C263))</x:f>
        <x:v>0.03</x:v>
      </x:c>
      <x:c r="F263" s="27" t="n">
        <x:f>ROUND(D263*INDEX('Assumptions'!$C$8:$N$8,1,MONTH(C263))*(1-'Products'!E10*E263),0)</x:f>
        <x:v>191</x:v>
      </x:c>
      <x:c r="G263" s="27" t="n">
        <x:f>F263*SUMIFS('Inventory'!$L$5:$L$100,'Inventory'!$A$5:$A$100,A263,'Inventory'!$B$5:$B$100,C263)</x:f>
        <x:v>191</x:v>
      </x:c>
      <x:c r="H263" s="27" t="n">
        <x:f>'Assumptions'!E165*(1+E263)</x:f>
        <x:v>267.8</x:v>
      </x:c>
      <x:c r="I263" s="27" t="n">
        <x:f>G263*H263</x:f>
        <x:v>51149.8</x:v>
      </x:c>
      <x:c r="J263" s="27" t="n">
        <x:f>'Products'!D10*INDEX('Assumptions'!$C$16:$N$16,1,MONTH(C263))</x:f>
        <x:v>163.2</x:v>
      </x:c>
      <x:c r="K263" s="27" t="n">
        <x:f>G263*J263</x:f>
        <x:v>31171.199999999997</x:v>
      </x:c>
      <x:c r="L263" s="27" t="n">
        <x:f>I263-K263</x:f>
        <x:v>19978.600000000006</x:v>
      </x:c>
    </x:row>
    <x:row r="264" ht="23" customHeight="1">
      <x:c r="A264" s="34" t="str">
        <x:v>0006</x:v>
      </x:c>
      <x:c r="B264" s="7" t="str">
        <x:v>East</x:v>
      </x:c>
      <x:c r="C264" s="14" t="d">
        <x:v>2026-08-01T00:00:00.000Z</x:v>
      </x:c>
      <x:c r="D264" s="27" t="n">
        <x:f>'Assumptions'!D166</x:f>
        <x:v>212</x:v>
      </x:c>
      <x:c r="E264" s="28" t="n">
        <x:f>INDEX('Assumptions'!$C$12:$N$12,1,MONTH(C264))</x:f>
        <x:v>0.03</x:v>
      </x:c>
      <x:c r="F264" s="27" t="n">
        <x:f>ROUND(D264*INDEX('Assumptions'!$C$8:$N$8,1,MONTH(C264))*(1-'Products'!E10*E264),0)</x:f>
        <x:v>206</x:v>
      </x:c>
      <x:c r="G264" s="27" t="n">
        <x:f>F264*SUMIFS('Inventory'!$L$5:$L$100,'Inventory'!$A$5:$A$100,A264,'Inventory'!$B$5:$B$100,C264)</x:f>
        <x:v>206</x:v>
      </x:c>
      <x:c r="H264" s="27" t="n">
        <x:f>'Assumptions'!E166*(1+E264)</x:f>
        <x:v>267.8</x:v>
      </x:c>
      <x:c r="I264" s="27" t="n">
        <x:f>G264*H264</x:f>
        <x:v>55166.8</x:v>
      </x:c>
      <x:c r="J264" s="27" t="n">
        <x:f>'Products'!D10*INDEX('Assumptions'!$C$16:$N$16,1,MONTH(C264))</x:f>
        <x:v>163.2</x:v>
      </x:c>
      <x:c r="K264" s="27" t="n">
        <x:f>G264*J264</x:f>
        <x:v>33619.2</x:v>
      </x:c>
      <x:c r="L264" s="27" t="n">
        <x:f>I264-K264</x:f>
        <x:v>21547.600000000006</x:v>
      </x:c>
    </x:row>
    <x:row r="265" ht="23" customHeight="1">
      <x:c r="A265" s="34" t="str">
        <x:v>0006</x:v>
      </x:c>
      <x:c r="B265" s="7" t="str">
        <x:v>East</x:v>
      </x:c>
      <x:c r="C265" s="14" t="d">
        <x:v>2026-09-01T00:00:00.000Z</x:v>
      </x:c>
      <x:c r="D265" s="27" t="n">
        <x:f>'Assumptions'!D167</x:f>
        <x:v>227</x:v>
      </x:c>
      <x:c r="E265" s="28" t="n">
        <x:f>INDEX('Assumptions'!$C$12:$N$12,1,MONTH(C265))</x:f>
        <x:v>0.03</x:v>
      </x:c>
      <x:c r="F265" s="27" t="n">
        <x:f>ROUND(D265*INDEX('Assumptions'!$C$8:$N$8,1,MONTH(C265))*(1-'Products'!E10*E265),0)</x:f>
        <x:v>221</x:v>
      </x:c>
      <x:c r="G265" s="27" t="n">
        <x:f>F265*SUMIFS('Inventory'!$L$5:$L$100,'Inventory'!$A$5:$A$100,A265,'Inventory'!$B$5:$B$100,C265)</x:f>
        <x:v>221</x:v>
      </x:c>
      <x:c r="H265" s="27" t="n">
        <x:f>'Assumptions'!E167*(1+E265)</x:f>
        <x:v>267.8</x:v>
      </x:c>
      <x:c r="I265" s="27" t="n">
        <x:f>G265*H265</x:f>
        <x:v>59183.8</x:v>
      </x:c>
      <x:c r="J265" s="27" t="n">
        <x:f>'Products'!D10*INDEX('Assumptions'!$C$16:$N$16,1,MONTH(C265))</x:f>
        <x:v>163.2</x:v>
      </x:c>
      <x:c r="K265" s="27" t="n">
        <x:f>G265*J265</x:f>
        <x:v>36067.2</x:v>
      </x:c>
      <x:c r="L265" s="27" t="n">
        <x:f>I265-K265</x:f>
        <x:v>23116.600000000006</x:v>
      </x:c>
    </x:row>
    <x:row r="266" ht="23" customHeight="1">
      <x:c r="A266" s="34" t="str">
        <x:v>0006</x:v>
      </x:c>
      <x:c r="B266" s="7" t="str">
        <x:v>East</x:v>
      </x:c>
      <x:c r="C266" s="14" t="d">
        <x:v>2026-10-01T00:00:00.000Z</x:v>
      </x:c>
      <x:c r="D266" s="27" t="n">
        <x:f>'Assumptions'!D168</x:f>
        <x:v>242</x:v>
      </x:c>
      <x:c r="E266" s="28" t="n">
        <x:f>INDEX('Assumptions'!$C$12:$N$12,1,MONTH(C266))</x:f>
        <x:v>0.03</x:v>
      </x:c>
      <x:c r="F266" s="27" t="n">
        <x:f>ROUND(D266*INDEX('Assumptions'!$C$8:$N$8,1,MONTH(C266))*(1-'Products'!E10*E266),0)</x:f>
        <x:v>235</x:v>
      </x:c>
      <x:c r="G266" s="27" t="n">
        <x:f>F266*SUMIFS('Inventory'!$L$5:$L$100,'Inventory'!$A$5:$A$100,A266,'Inventory'!$B$5:$B$100,C266)</x:f>
        <x:v>189.61059190031153</x:v>
      </x:c>
      <x:c r="H266" s="27" t="n">
        <x:f>'Assumptions'!E168*(1+E266)</x:f>
        <x:v>267.8</x:v>
      </x:c>
      <x:c r="I266" s="27" t="n">
        <x:f>G266*H266</x:f>
        <x:v>50777.71651090343</x:v>
      </x:c>
      <x:c r="J266" s="27" t="n">
        <x:f>'Products'!D10*INDEX('Assumptions'!$C$16:$N$16,1,MONTH(C266))</x:f>
        <x:v>163.2</x:v>
      </x:c>
      <x:c r="K266" s="27" t="n">
        <x:f>G266*J266</x:f>
        <x:v>30944.44859813084</x:v>
      </x:c>
      <x:c r="L266" s="27" t="n">
        <x:f>I266-K266</x:f>
        <x:v>19833.267912772593</x:v>
      </x:c>
    </x:row>
    <x:row r="267" ht="23" customHeight="1">
      <x:c r="A267" s="34" t="str">
        <x:v>0006</x:v>
      </x:c>
      <x:c r="B267" s="7" t="str">
        <x:v>East</x:v>
      </x:c>
      <x:c r="C267" s="14" t="d">
        <x:v>2026-11-01T00:00:00.000Z</x:v>
      </x:c>
      <x:c r="D267" s="27" t="n">
        <x:f>'Assumptions'!D169</x:f>
        <x:v>257</x:v>
      </x:c>
      <x:c r="E267" s="28" t="n">
        <x:f>INDEX('Assumptions'!$C$12:$N$12,1,MONTH(C267))</x:f>
        <x:v>0.03</x:v>
      </x:c>
      <x:c r="F267" s="27" t="n">
        <x:f>ROUND(D267*INDEX('Assumptions'!$C$8:$N$8,1,MONTH(C267))*(1-'Products'!E10*E267),0)</x:f>
        <x:v>250</x:v>
      </x:c>
      <x:c r="G267" s="27" t="n">
        <x:f>F267*SUMIFS('Inventory'!$L$5:$L$100,'Inventory'!$A$5:$A$100,A267,'Inventory'!$B$5:$B$100,C267)</x:f>
        <x:v>117.41682974559686</x:v>
      </x:c>
      <x:c r="H267" s="27" t="n">
        <x:f>'Assumptions'!E169*(1+E267)</x:f>
        <x:v>267.8</x:v>
      </x:c>
      <x:c r="I267" s="27" t="n">
        <x:f>G267*H267</x:f>
        <x:v>31444.22700587084</x:v>
      </x:c>
      <x:c r="J267" s="27" t="n">
        <x:f>'Products'!D10*INDEX('Assumptions'!$C$16:$N$16,1,MONTH(C267))</x:f>
        <x:v>163.2</x:v>
      </x:c>
      <x:c r="K267" s="27" t="n">
        <x:f>G267*J267</x:f>
        <x:v>19162.426614481406</x:v>
      </x:c>
      <x:c r="L267" s="27" t="n">
        <x:f>I267-K267</x:f>
        <x:v>12281.800391389432</x:v>
      </x:c>
    </x:row>
    <x:row r="268" ht="23" customHeight="1">
      <x:c r="A268" s="34" t="str">
        <x:v>0006</x:v>
      </x:c>
      <x:c r="B268" s="7" t="str">
        <x:v>East</x:v>
      </x:c>
      <x:c r="C268" s="14" t="d">
        <x:v>2026-12-01T00:00:00.000Z</x:v>
      </x:c>
      <x:c r="D268" s="27" t="n">
        <x:f>'Assumptions'!D170</x:f>
        <x:v>272</x:v>
      </x:c>
      <x:c r="E268" s="28" t="n">
        <x:f>INDEX('Assumptions'!$C$12:$N$12,1,MONTH(C268))</x:f>
        <x:v>0.03</x:v>
      </x:c>
      <x:c r="F268" s="27" t="n">
        <x:f>ROUND(D268*INDEX('Assumptions'!$C$8:$N$8,1,MONTH(C268))*(1-'Products'!E10*E268),0)</x:f>
        <x:v>264</x:v>
      </x:c>
      <x:c r="G268" s="27" t="n">
        <x:f>F268*SUMIFS('Inventory'!$L$5:$L$100,'Inventory'!$A$5:$A$100,A268,'Inventory'!$B$5:$B$100,C268)</x:f>
        <x:v>117.22479185938944</x:v>
      </x:c>
      <x:c r="H268" s="27" t="n">
        <x:f>'Assumptions'!E170*(1+E268)</x:f>
        <x:v>267.8</x:v>
      </x:c>
      <x:c r="I268" s="27" t="n">
        <x:f>G268*H268</x:f>
        <x:v>31392.799259944495</x:v>
      </x:c>
      <x:c r="J268" s="27" t="n">
        <x:f>'Products'!D10*INDEX('Assumptions'!$C$16:$N$16,1,MONTH(C268))</x:f>
        <x:v>163.2</x:v>
      </x:c>
      <x:c r="K268" s="27" t="n">
        <x:f>G268*J268</x:f>
        <x:v>19131.086031452356</x:v>
      </x:c>
      <x:c r="L268" s="27" t="n">
        <x:f>I268-K268</x:f>
        <x:v>12261.713228492139</x:v>
      </x:c>
    </x:row>
    <x:row r="269" ht="23" customHeight="1">
      <x:c r="A269" s="34" t="str">
        <x:v>0006</x:v>
      </x:c>
      <x:c r="B269" s="7" t="str">
        <x:v>West</x:v>
      </x:c>
      <x:c r="C269" s="14" t="d">
        <x:v>2026-01-01T00:00:00.000Z</x:v>
      </x:c>
      <x:c r="D269" s="27" t="n">
        <x:f>SUMIFS('Orders'!$F$5:$F$3004,'Orders'!$D$5:$D$3004,A269,'Orders'!$E$5:$E$3004,B269,'Orders'!$C$5:$C$3004,C269)</x:f>
        <x:v>63</x:v>
      </x:c>
      <x:c r="E269" s="28" t="n">
        <x:f>0</x:f>
        <x:v>0</x:v>
      </x:c>
      <x:c r="F269" s="27" t="n">
        <x:f>D269</x:f>
        <x:v>63</x:v>
      </x:c>
      <x:c r="G269" s="27" t="n">
        <x:f>F269</x:f>
        <x:v>63</x:v>
      </x:c>
      <x:c r="H269" s="27" t="n">
        <x:f>IF(F269=0,0,I269/F269)</x:f>
        <x:v>260</x:v>
      </x:c>
      <x:c r="I269" s="27" t="n">
        <x:f>SUMIFS('Orders'!$I$5:$I$3004,'Orders'!$D$5:$D$3004,A269,'Orders'!$E$5:$E$3004,B269,'Orders'!$C$5:$C$3004,C269)</x:f>
        <x:v>16380</x:v>
      </x:c>
      <x:c r="J269" s="27" t="n">
        <x:f>'Products'!D10*INDEX('Assumptions'!$C$16:$N$16,1,MONTH(C269))</x:f>
        <x:v>160</x:v>
      </x:c>
      <x:c r="K269" s="27" t="n">
        <x:f>G269*J269</x:f>
        <x:v>10080</x:v>
      </x:c>
      <x:c r="L269" s="27" t="n">
        <x:f>I269-K269</x:f>
        <x:v>6300</x:v>
      </x:c>
    </x:row>
    <x:row r="270" ht="23" customHeight="1">
      <x:c r="A270" s="34" t="str">
        <x:v>0006</x:v>
      </x:c>
      <x:c r="B270" s="7" t="str">
        <x:v>West</x:v>
      </x:c>
      <x:c r="C270" s="14" t="d">
        <x:v>2026-02-01T00:00:00.000Z</x:v>
      </x:c>
      <x:c r="D270" s="27" t="n">
        <x:f>SUMIFS('Orders'!$F$5:$F$3004,'Orders'!$D$5:$D$3004,A270,'Orders'!$E$5:$E$3004,B270,'Orders'!$C$5:$C$3004,C270)</x:f>
        <x:v>77</x:v>
      </x:c>
      <x:c r="E270" s="28" t="n">
        <x:f>0</x:f>
        <x:v>0</x:v>
      </x:c>
      <x:c r="F270" s="27" t="n">
        <x:f>D270</x:f>
        <x:v>77</x:v>
      </x:c>
      <x:c r="G270" s="27" t="n">
        <x:f>F270</x:f>
        <x:v>77</x:v>
      </x:c>
      <x:c r="H270" s="27" t="n">
        <x:f>IF(F270=0,0,I270/F270)</x:f>
        <x:v>247</x:v>
      </x:c>
      <x:c r="I270" s="27" t="n">
        <x:f>SUMIFS('Orders'!$I$5:$I$3004,'Orders'!$D$5:$D$3004,A270,'Orders'!$E$5:$E$3004,B270,'Orders'!$C$5:$C$3004,C270)</x:f>
        <x:v>19019</x:v>
      </x:c>
      <x:c r="J270" s="27" t="n">
        <x:f>'Products'!D10*INDEX('Assumptions'!$C$16:$N$16,1,MONTH(C270))</x:f>
        <x:v>160</x:v>
      </x:c>
      <x:c r="K270" s="27" t="n">
        <x:f>G270*J270</x:f>
        <x:v>12320</x:v>
      </x:c>
      <x:c r="L270" s="27" t="n">
        <x:f>I270-K270</x:f>
        <x:v>6699</x:v>
      </x:c>
    </x:row>
    <x:row r="271" ht="23" customHeight="1">
      <x:c r="A271" s="34" t="str">
        <x:v>0006</x:v>
      </x:c>
      <x:c r="B271" s="7" t="str">
        <x:v>West</x:v>
      </x:c>
      <x:c r="C271" s="14" t="d">
        <x:v>2026-03-01T00:00:00.000Z</x:v>
      </x:c>
      <x:c r="D271" s="27" t="n">
        <x:f>SUMIFS('Orders'!$F$5:$F$3004,'Orders'!$D$5:$D$3004,A271,'Orders'!$E$5:$E$3004,B271,'Orders'!$C$5:$C$3004,C271)</x:f>
        <x:v>57</x:v>
      </x:c>
      <x:c r="E271" s="28" t="n">
        <x:f>0</x:f>
        <x:v>0</x:v>
      </x:c>
      <x:c r="F271" s="27" t="n">
        <x:f>D271</x:f>
        <x:v>57</x:v>
      </x:c>
      <x:c r="G271" s="27" t="n">
        <x:f>F271</x:f>
        <x:v>57</x:v>
      </x:c>
      <x:c r="H271" s="27" t="n">
        <x:f>IF(F271=0,0,I271/F271)</x:f>
        <x:v>254.79999999999998</x:v>
      </x:c>
      <x:c r="I271" s="27" t="n">
        <x:f>SUMIFS('Orders'!$I$5:$I$3004,'Orders'!$D$5:$D$3004,A271,'Orders'!$E$5:$E$3004,B271,'Orders'!$C$5:$C$3004,C271)</x:f>
        <x:v>14523.599999999999</x:v>
      </x:c>
      <x:c r="J271" s="27" t="n">
        <x:f>'Products'!D10*INDEX('Assumptions'!$C$16:$N$16,1,MONTH(C271))</x:f>
        <x:v>160</x:v>
      </x:c>
      <x:c r="K271" s="27" t="n">
        <x:f>G271*J271</x:f>
        <x:v>9120</x:v>
      </x:c>
      <x:c r="L271" s="27" t="n">
        <x:f>I271-K271</x:f>
        <x:v>5403.5999999999985</x:v>
      </x:c>
    </x:row>
    <x:row r="272" ht="23" customHeight="1">
      <x:c r="A272" s="34" t="str">
        <x:v>0006</x:v>
      </x:c>
      <x:c r="B272" s="7" t="str">
        <x:v>West</x:v>
      </x:c>
      <x:c r="C272" s="14" t="d">
        <x:v>2026-04-01T00:00:00.000Z</x:v>
      </x:c>
      <x:c r="D272" s="27" t="n">
        <x:f>SUMIFS('Orders'!$F$5:$F$3004,'Orders'!$D$5:$D$3004,A272,'Orders'!$E$5:$E$3004,B272,'Orders'!$C$5:$C$3004,C272)</x:f>
        <x:v>59</x:v>
      </x:c>
      <x:c r="E272" s="28" t="n">
        <x:f>0</x:f>
        <x:v>0</x:v>
      </x:c>
      <x:c r="F272" s="27" t="n">
        <x:f>D272</x:f>
        <x:v>59</x:v>
      </x:c>
      <x:c r="G272" s="27" t="n">
        <x:f>F272</x:f>
        <x:v>59</x:v>
      </x:c>
      <x:c r="H272" s="27" t="n">
        <x:f>IF(F272=0,0,I272/F272)</x:f>
        <x:v>260</x:v>
      </x:c>
      <x:c r="I272" s="27" t="n">
        <x:f>SUMIFS('Orders'!$I$5:$I$3004,'Orders'!$D$5:$D$3004,A272,'Orders'!$E$5:$E$3004,B272,'Orders'!$C$5:$C$3004,C272)</x:f>
        <x:v>15340</x:v>
      </x:c>
      <x:c r="J272" s="27" t="n">
        <x:f>'Products'!D10*INDEX('Assumptions'!$C$16:$N$16,1,MONTH(C272))</x:f>
        <x:v>160</x:v>
      </x:c>
      <x:c r="K272" s="27" t="n">
        <x:f>G272*J272</x:f>
        <x:v>9440</x:v>
      </x:c>
      <x:c r="L272" s="27" t="n">
        <x:f>I272-K272</x:f>
        <x:v>5900</x:v>
      </x:c>
    </x:row>
    <x:row r="273" ht="23" customHeight="1">
      <x:c r="A273" s="34" t="str">
        <x:v>0006</x:v>
      </x:c>
      <x:c r="B273" s="7" t="str">
        <x:v>West</x:v>
      </x:c>
      <x:c r="C273" s="14" t="d">
        <x:v>2026-05-01T00:00:00.000Z</x:v>
      </x:c>
      <x:c r="D273" s="27" t="n">
        <x:f>SUMIFS('Orders'!$F$5:$F$3004,'Orders'!$D$5:$D$3004,A273,'Orders'!$E$5:$E$3004,B273,'Orders'!$C$5:$C$3004,C273)</x:f>
        <x:v>62</x:v>
      </x:c>
      <x:c r="E273" s="28" t="n">
        <x:f>0</x:f>
        <x:v>0</x:v>
      </x:c>
      <x:c r="F273" s="27" t="n">
        <x:f>D273</x:f>
        <x:v>62</x:v>
      </x:c>
      <x:c r="G273" s="27" t="n">
        <x:f>F273</x:f>
        <x:v>62</x:v>
      </x:c>
      <x:c r="H273" s="27" t="n">
        <x:f>IF(F273=0,0,I273/F273)</x:f>
        <x:v>247</x:v>
      </x:c>
      <x:c r="I273" s="27" t="n">
        <x:f>SUMIFS('Orders'!$I$5:$I$3004,'Orders'!$D$5:$D$3004,A273,'Orders'!$E$5:$E$3004,B273,'Orders'!$C$5:$C$3004,C273)</x:f>
        <x:v>15314</x:v>
      </x:c>
      <x:c r="J273" s="27" t="n">
        <x:f>'Products'!D10*INDEX('Assumptions'!$C$16:$N$16,1,MONTH(C273))</x:f>
        <x:v>160</x:v>
      </x:c>
      <x:c r="K273" s="27" t="n">
        <x:f>G273*J273</x:f>
        <x:v>9920</x:v>
      </x:c>
      <x:c r="L273" s="27" t="n">
        <x:f>I273-K273</x:f>
        <x:v>5394</x:v>
      </x:c>
    </x:row>
    <x:row r="274" ht="23" customHeight="1">
      <x:c r="A274" s="34" t="str">
        <x:v>0006</x:v>
      </x:c>
      <x:c r="B274" s="7" t="str">
        <x:v>West</x:v>
      </x:c>
      <x:c r="C274" s="14" t="d">
        <x:v>2026-06-01T00:00:00.000Z</x:v>
      </x:c>
      <x:c r="D274" s="27" t="n">
        <x:f>SUMIFS('Orders'!$F$5:$F$3004,'Orders'!$D$5:$D$3004,A274,'Orders'!$E$5:$E$3004,B274,'Orders'!$C$5:$C$3004,C274)</x:f>
        <x:v>53</x:v>
      </x:c>
      <x:c r="E274" s="28" t="n">
        <x:f>0</x:f>
        <x:v>0</x:v>
      </x:c>
      <x:c r="F274" s="27" t="n">
        <x:f>D274</x:f>
        <x:v>53</x:v>
      </x:c>
      <x:c r="G274" s="27" t="n">
        <x:f>F274</x:f>
        <x:v>53</x:v>
      </x:c>
      <x:c r="H274" s="27" t="n">
        <x:f>IF(F274=0,0,I274/F274)</x:f>
        <x:v>254.79999999999995</x:v>
      </x:c>
      <x:c r="I274" s="27" t="n">
        <x:f>SUMIFS('Orders'!$I$5:$I$3004,'Orders'!$D$5:$D$3004,A274,'Orders'!$E$5:$E$3004,B274,'Orders'!$C$5:$C$3004,C274)</x:f>
        <x:v>13504.399999999998</x:v>
      </x:c>
      <x:c r="J274" s="27" t="n">
        <x:f>'Products'!D10*INDEX('Assumptions'!$C$16:$N$16,1,MONTH(C274))</x:f>
        <x:v>160</x:v>
      </x:c>
      <x:c r="K274" s="27" t="n">
        <x:f>G274*J274</x:f>
        <x:v>8480</x:v>
      </x:c>
      <x:c r="L274" s="27" t="n">
        <x:f>I274-K274</x:f>
        <x:v>5024.399999999998</x:v>
      </x:c>
    </x:row>
    <x:row r="275" ht="23" customHeight="1">
      <x:c r="A275" s="34" t="str">
        <x:v>0006</x:v>
      </x:c>
      <x:c r="B275" s="7" t="str">
        <x:v>West</x:v>
      </x:c>
      <x:c r="C275" s="14" t="d">
        <x:v>2026-07-01T00:00:00.000Z</x:v>
      </x:c>
      <x:c r="D275" s="27" t="n">
        <x:f>'Assumptions'!D171</x:f>
        <x:v>209</x:v>
      </x:c>
      <x:c r="E275" s="28" t="n">
        <x:f>INDEX('Assumptions'!$C$12:$N$12,1,MONTH(C275))</x:f>
        <x:v>0.03</x:v>
      </x:c>
      <x:c r="F275" s="27" t="n">
        <x:f>ROUND(D275*INDEX('Assumptions'!$C$8:$N$8,1,MONTH(C275))*(1-'Products'!E10*E275),0)</x:f>
        <x:v>203</x:v>
      </x:c>
      <x:c r="G275" s="27" t="n">
        <x:f>F275*SUMIFS('Inventory'!$L$5:$L$100,'Inventory'!$A$5:$A$100,A275,'Inventory'!$B$5:$B$100,C275)</x:f>
        <x:v>203</x:v>
      </x:c>
      <x:c r="H275" s="27" t="n">
        <x:f>'Assumptions'!E171*(1+E275)</x:f>
        <x:v>267.8</x:v>
      </x:c>
      <x:c r="I275" s="27" t="n">
        <x:f>G275*H275</x:f>
        <x:v>54363.4</x:v>
      </x:c>
      <x:c r="J275" s="27" t="n">
        <x:f>'Products'!D10*INDEX('Assumptions'!$C$16:$N$16,1,MONTH(C275))</x:f>
        <x:v>163.2</x:v>
      </x:c>
      <x:c r="K275" s="27" t="n">
        <x:f>G275*J275</x:f>
        <x:v>33129.6</x:v>
      </x:c>
      <x:c r="L275" s="27" t="n">
        <x:f>I275-K275</x:f>
        <x:v>21233.800000000003</x:v>
      </x:c>
    </x:row>
    <x:row r="276" ht="23" customHeight="1">
      <x:c r="A276" s="34" t="str">
        <x:v>0006</x:v>
      </x:c>
      <x:c r="B276" s="7" t="str">
        <x:v>West</x:v>
      </x:c>
      <x:c r="C276" s="14" t="d">
        <x:v>2026-08-01T00:00:00.000Z</x:v>
      </x:c>
      <x:c r="D276" s="27" t="n">
        <x:f>'Assumptions'!D172</x:f>
        <x:v>224</x:v>
      </x:c>
      <x:c r="E276" s="28" t="n">
        <x:f>INDEX('Assumptions'!$C$12:$N$12,1,MONTH(C276))</x:f>
        <x:v>0.03</x:v>
      </x:c>
      <x:c r="F276" s="27" t="n">
        <x:f>ROUND(D276*INDEX('Assumptions'!$C$8:$N$8,1,MONTH(C276))*(1-'Products'!E10*E276),0)</x:f>
        <x:v>218</x:v>
      </x:c>
      <x:c r="G276" s="27" t="n">
        <x:f>F276*SUMIFS('Inventory'!$L$5:$L$100,'Inventory'!$A$5:$A$100,A276,'Inventory'!$B$5:$B$100,C276)</x:f>
        <x:v>218</x:v>
      </x:c>
      <x:c r="H276" s="27" t="n">
        <x:f>'Assumptions'!E172*(1+E276)</x:f>
        <x:v>267.8</x:v>
      </x:c>
      <x:c r="I276" s="27" t="n">
        <x:f>G276*H276</x:f>
        <x:v>58380.4</x:v>
      </x:c>
      <x:c r="J276" s="27" t="n">
        <x:f>'Products'!D10*INDEX('Assumptions'!$C$16:$N$16,1,MONTH(C276))</x:f>
        <x:v>163.2</x:v>
      </x:c>
      <x:c r="K276" s="27" t="n">
        <x:f>G276*J276</x:f>
        <x:v>35577.6</x:v>
      </x:c>
      <x:c r="L276" s="27" t="n">
        <x:f>I276-K276</x:f>
        <x:v>22802.800000000003</x:v>
      </x:c>
    </x:row>
    <x:row r="277" ht="23" customHeight="1">
      <x:c r="A277" s="34" t="str">
        <x:v>0006</x:v>
      </x:c>
      <x:c r="B277" s="7" t="str">
        <x:v>West</x:v>
      </x:c>
      <x:c r="C277" s="14" t="d">
        <x:v>2026-09-01T00:00:00.000Z</x:v>
      </x:c>
      <x:c r="D277" s="27" t="n">
        <x:f>'Assumptions'!D173</x:f>
        <x:v>239</x:v>
      </x:c>
      <x:c r="E277" s="28" t="n">
        <x:f>INDEX('Assumptions'!$C$12:$N$12,1,MONTH(C277))</x:f>
        <x:v>0.03</x:v>
      </x:c>
      <x:c r="F277" s="27" t="n">
        <x:f>ROUND(D277*INDEX('Assumptions'!$C$8:$N$8,1,MONTH(C277))*(1-'Products'!E10*E277),0)</x:f>
        <x:v>232</x:v>
      </x:c>
      <x:c r="G277" s="27" t="n">
        <x:f>F277*SUMIFS('Inventory'!$L$5:$L$100,'Inventory'!$A$5:$A$100,A277,'Inventory'!$B$5:$B$100,C277)</x:f>
        <x:v>232</x:v>
      </x:c>
      <x:c r="H277" s="27" t="n">
        <x:f>'Assumptions'!E173*(1+E277)</x:f>
        <x:v>267.8</x:v>
      </x:c>
      <x:c r="I277" s="27" t="n">
        <x:f>G277*H277</x:f>
        <x:v>62129.600000000006</x:v>
      </x:c>
      <x:c r="J277" s="27" t="n">
        <x:f>'Products'!D10*INDEX('Assumptions'!$C$16:$N$16,1,MONTH(C277))</x:f>
        <x:v>163.2</x:v>
      </x:c>
      <x:c r="K277" s="27" t="n">
        <x:f>G277*J277</x:f>
        <x:v>37862.399999999994</x:v>
      </x:c>
      <x:c r="L277" s="27" t="n">
        <x:f>I277-K277</x:f>
        <x:v>24267.20000000001</x:v>
      </x:c>
    </x:row>
    <x:row r="278" ht="23" customHeight="1">
      <x:c r="A278" s="34" t="str">
        <x:v>0006</x:v>
      </x:c>
      <x:c r="B278" s="7" t="str">
        <x:v>West</x:v>
      </x:c>
      <x:c r="C278" s="14" t="d">
        <x:v>2026-10-01T00:00:00.000Z</x:v>
      </x:c>
      <x:c r="D278" s="27" t="n">
        <x:f>'Assumptions'!D174</x:f>
        <x:v>254</x:v>
      </x:c>
      <x:c r="E278" s="28" t="n">
        <x:f>INDEX('Assumptions'!$C$12:$N$12,1,MONTH(C278))</x:f>
        <x:v>0.03</x:v>
      </x:c>
      <x:c r="F278" s="27" t="n">
        <x:f>ROUND(D278*INDEX('Assumptions'!$C$8:$N$8,1,MONTH(C278))*(1-'Products'!E10*E278),0)</x:f>
        <x:v>247</x:v>
      </x:c>
      <x:c r="G278" s="27" t="n">
        <x:f>F278*SUMIFS('Inventory'!$L$5:$L$100,'Inventory'!$A$5:$A$100,A278,'Inventory'!$B$5:$B$100,C278)</x:f>
        <x:v>199.29283489096574</x:v>
      </x:c>
      <x:c r="H278" s="27" t="n">
        <x:f>'Assumptions'!E174*(1+E278)</x:f>
        <x:v>267.8</x:v>
      </x:c>
      <x:c r="I278" s="27" t="n">
        <x:f>G278*H278</x:f>
        <x:v>53370.62118380063</x:v>
      </x:c>
      <x:c r="J278" s="27" t="n">
        <x:f>'Products'!D10*INDEX('Assumptions'!$C$16:$N$16,1,MONTH(C278))</x:f>
        <x:v>163.2</x:v>
      </x:c>
      <x:c r="K278" s="27" t="n">
        <x:f>G278*J278</x:f>
        <x:v>32524.590654205607</x:v>
      </x:c>
      <x:c r="L278" s="27" t="n">
        <x:f>I278-K278</x:f>
        <x:v>20846.03052959502</x:v>
      </x:c>
    </x:row>
    <x:row r="279" ht="23" customHeight="1">
      <x:c r="A279" s="34" t="str">
        <x:v>0006</x:v>
      </x:c>
      <x:c r="B279" s="7" t="str">
        <x:v>West</x:v>
      </x:c>
      <x:c r="C279" s="14" t="d">
        <x:v>2026-11-01T00:00:00.000Z</x:v>
      </x:c>
      <x:c r="D279" s="27" t="n">
        <x:f>'Assumptions'!D175</x:f>
        <x:v>269</x:v>
      </x:c>
      <x:c r="E279" s="28" t="n">
        <x:f>INDEX('Assumptions'!$C$12:$N$12,1,MONTH(C279))</x:f>
        <x:v>0.03</x:v>
      </x:c>
      <x:c r="F279" s="27" t="n">
        <x:f>ROUND(D279*INDEX('Assumptions'!$C$8:$N$8,1,MONTH(C279))*(1-'Products'!E10*E279),0)</x:f>
        <x:v>261</x:v>
      </x:c>
      <x:c r="G279" s="27" t="n">
        <x:f>F279*SUMIFS('Inventory'!$L$5:$L$100,'Inventory'!$A$5:$A$100,A279,'Inventory'!$B$5:$B$100,C279)</x:f>
        <x:v>122.58317025440313</x:v>
      </x:c>
      <x:c r="H279" s="27" t="n">
        <x:f>'Assumptions'!E175*(1+E279)</x:f>
        <x:v>267.8</x:v>
      </x:c>
      <x:c r="I279" s="27" t="n">
        <x:f>G279*H279</x:f>
        <x:v>32827.77299412916</x:v>
      </x:c>
      <x:c r="J279" s="27" t="n">
        <x:f>'Products'!D10*INDEX('Assumptions'!$C$16:$N$16,1,MONTH(C279))</x:f>
        <x:v>163.2</x:v>
      </x:c>
      <x:c r="K279" s="27" t="n">
        <x:f>G279*J279</x:f>
        <x:v>20005.57338551859</x:v>
      </x:c>
      <x:c r="L279" s="27" t="n">
        <x:f>I279-K279</x:f>
        <x:v>12822.199608610572</x:v>
      </x:c>
    </x:row>
    <x:row r="280" ht="23" customHeight="1">
      <x:c r="A280" s="34" t="str">
        <x:v>0006</x:v>
      </x:c>
      <x:c r="B280" s="7" t="str">
        <x:v>West</x:v>
      </x:c>
      <x:c r="C280" s="14" t="d">
        <x:v>2026-12-01T00:00:00.000Z</x:v>
      </x:c>
      <x:c r="D280" s="27" t="n">
        <x:f>'Assumptions'!D176</x:f>
        <x:v>284</x:v>
      </x:c>
      <x:c r="E280" s="28" t="n">
        <x:f>INDEX('Assumptions'!$C$12:$N$12,1,MONTH(C280))</x:f>
        <x:v>0.03</x:v>
      </x:c>
      <x:c r="F280" s="27" t="n">
        <x:f>ROUND(D280*INDEX('Assumptions'!$C$8:$N$8,1,MONTH(C280))*(1-'Products'!E10*E280),0)</x:f>
        <x:v>276</x:v>
      </x:c>
      <x:c r="G280" s="27" t="n">
        <x:f>F280*SUMIFS('Inventory'!$L$5:$L$100,'Inventory'!$A$5:$A$100,A280,'Inventory'!$B$5:$B$100,C280)</x:f>
        <x:v>122.5531914893617</x:v>
      </x:c>
      <x:c r="H280" s="27" t="n">
        <x:f>'Assumptions'!E176*(1+E280)</x:f>
        <x:v>267.8</x:v>
      </x:c>
      <x:c r="I280" s="27" t="n">
        <x:f>G280*H280</x:f>
        <x:v>32819.744680851065</x:v>
      </x:c>
      <x:c r="J280" s="27" t="n">
        <x:f>'Products'!D10*INDEX('Assumptions'!$C$16:$N$16,1,MONTH(C280))</x:f>
        <x:v>163.2</x:v>
      </x:c>
      <x:c r="K280" s="27" t="n">
        <x:f>G280*J280</x:f>
        <x:v>20000.680851063826</x:v>
      </x:c>
      <x:c r="L280" s="27" t="n">
        <x:f>I280-K280</x:f>
        <x:v>12819.06382978724</x:v>
      </x:c>
    </x:row>
    <x:row r="281" ht="23" customHeight="1">
      <x:c r="A281" s="34" t="str">
        <x:v>0006</x:v>
      </x:c>
      <x:c r="B281" s="7" t="str">
        <x:v>North</x:v>
      </x:c>
      <x:c r="C281" s="14" t="d">
        <x:v>2026-01-01T00:00:00.000Z</x:v>
      </x:c>
      <x:c r="D281" s="27" t="n">
        <x:f>SUMIFS('Orders'!$F$5:$F$3004,'Orders'!$D$5:$D$3004,A281,'Orders'!$E$5:$E$3004,B281,'Orders'!$C$5:$C$3004,C281)</x:f>
        <x:v>74</x:v>
      </x:c>
      <x:c r="E281" s="28" t="n">
        <x:f>0</x:f>
        <x:v>0</x:v>
      </x:c>
      <x:c r="F281" s="27" t="n">
        <x:f>D281</x:f>
        <x:v>74</x:v>
      </x:c>
      <x:c r="G281" s="27" t="n">
        <x:f>F281</x:f>
        <x:v>74</x:v>
      </x:c>
      <x:c r="H281" s="27" t="n">
        <x:f>IF(F281=0,0,I281/F281)</x:f>
        <x:v>247</x:v>
      </x:c>
      <x:c r="I281" s="27" t="n">
        <x:f>SUMIFS('Orders'!$I$5:$I$3004,'Orders'!$D$5:$D$3004,A281,'Orders'!$E$5:$E$3004,B281,'Orders'!$C$5:$C$3004,C281)</x:f>
        <x:v>18278</x:v>
      </x:c>
      <x:c r="J281" s="27" t="n">
        <x:f>'Products'!D10*INDEX('Assumptions'!$C$16:$N$16,1,MONTH(C281))</x:f>
        <x:v>160</x:v>
      </x:c>
      <x:c r="K281" s="27" t="n">
        <x:f>G281*J281</x:f>
        <x:v>11840</x:v>
      </x:c>
      <x:c r="L281" s="27" t="n">
        <x:f>I281-K281</x:f>
        <x:v>6438</x:v>
      </x:c>
    </x:row>
    <x:row r="282" ht="23" customHeight="1">
      <x:c r="A282" s="34" t="str">
        <x:v>0006</x:v>
      </x:c>
      <x:c r="B282" s="7" t="str">
        <x:v>North</x:v>
      </x:c>
      <x:c r="C282" s="14" t="d">
        <x:v>2026-02-01T00:00:00.000Z</x:v>
      </x:c>
      <x:c r="D282" s="27" t="n">
        <x:f>SUMIFS('Orders'!$F$5:$F$3004,'Orders'!$D$5:$D$3004,A282,'Orders'!$E$5:$E$3004,B282,'Orders'!$C$5:$C$3004,C282)</x:f>
        <x:v>44</x:v>
      </x:c>
      <x:c r="E282" s="28" t="n">
        <x:f>0</x:f>
        <x:v>0</x:v>
      </x:c>
      <x:c r="F282" s="27" t="n">
        <x:f>D282</x:f>
        <x:v>44</x:v>
      </x:c>
      <x:c r="G282" s="27" t="n">
        <x:f>F282</x:f>
        <x:v>44</x:v>
      </x:c>
      <x:c r="H282" s="27" t="n">
        <x:f>IF(F282=0,0,I282/F282)</x:f>
        <x:v>254.79999999999993</x:v>
      </x:c>
      <x:c r="I282" s="27" t="n">
        <x:f>SUMIFS('Orders'!$I$5:$I$3004,'Orders'!$D$5:$D$3004,A282,'Orders'!$E$5:$E$3004,B282,'Orders'!$C$5:$C$3004,C282)</x:f>
        <x:v>11211.199999999997</x:v>
      </x:c>
      <x:c r="J282" s="27" t="n">
        <x:f>'Products'!D10*INDEX('Assumptions'!$C$16:$N$16,1,MONTH(C282))</x:f>
        <x:v>160</x:v>
      </x:c>
      <x:c r="K282" s="27" t="n">
        <x:f>G282*J282</x:f>
        <x:v>7040</x:v>
      </x:c>
      <x:c r="L282" s="27" t="n">
        <x:f>I282-K282</x:f>
        <x:v>4171.199999999997</x:v>
      </x:c>
    </x:row>
    <x:row r="283" ht="23" customHeight="1">
      <x:c r="A283" s="34" t="str">
        <x:v>0006</x:v>
      </x:c>
      <x:c r="B283" s="7" t="str">
        <x:v>North</x:v>
      </x:c>
      <x:c r="C283" s="14" t="d">
        <x:v>2026-03-01T00:00:00.000Z</x:v>
      </x:c>
      <x:c r="D283" s="27" t="n">
        <x:f>SUMIFS('Orders'!$F$5:$F$3004,'Orders'!$D$5:$D$3004,A283,'Orders'!$E$5:$E$3004,B283,'Orders'!$C$5:$C$3004,C283)</x:f>
        <x:v>40</x:v>
      </x:c>
      <x:c r="E283" s="28" t="n">
        <x:f>0</x:f>
        <x:v>0</x:v>
      </x:c>
      <x:c r="F283" s="27" t="n">
        <x:f>D283</x:f>
        <x:v>40</x:v>
      </x:c>
      <x:c r="G283" s="27" t="n">
        <x:f>F283</x:f>
        <x:v>40</x:v>
      </x:c>
      <x:c r="H283" s="27" t="n">
        <x:f>IF(F283=0,0,I283/F283)</x:f>
        <x:v>260</x:v>
      </x:c>
      <x:c r="I283" s="27" t="n">
        <x:f>SUMIFS('Orders'!$I$5:$I$3004,'Orders'!$D$5:$D$3004,A283,'Orders'!$E$5:$E$3004,B283,'Orders'!$C$5:$C$3004,C283)</x:f>
        <x:v>10400</x:v>
      </x:c>
      <x:c r="J283" s="27" t="n">
        <x:f>'Products'!D10*INDEX('Assumptions'!$C$16:$N$16,1,MONTH(C283))</x:f>
        <x:v>160</x:v>
      </x:c>
      <x:c r="K283" s="27" t="n">
        <x:f>G283*J283</x:f>
        <x:v>6400</x:v>
      </x:c>
      <x:c r="L283" s="27" t="n">
        <x:f>I283-K283</x:f>
        <x:v>4000</x:v>
      </x:c>
    </x:row>
    <x:row r="284" ht="23" customHeight="1">
      <x:c r="A284" s="34" t="str">
        <x:v>0006</x:v>
      </x:c>
      <x:c r="B284" s="7" t="str">
        <x:v>North</x:v>
      </x:c>
      <x:c r="C284" s="14" t="d">
        <x:v>2026-04-01T00:00:00.000Z</x:v>
      </x:c>
      <x:c r="D284" s="27" t="n">
        <x:f>SUMIFS('Orders'!$F$5:$F$3004,'Orders'!$D$5:$D$3004,A284,'Orders'!$E$5:$E$3004,B284,'Orders'!$C$5:$C$3004,C284)</x:f>
        <x:v>48</x:v>
      </x:c>
      <x:c r="E284" s="28" t="n">
        <x:f>0</x:f>
        <x:v>0</x:v>
      </x:c>
      <x:c r="F284" s="27" t="n">
        <x:f>D284</x:f>
        <x:v>48</x:v>
      </x:c>
      <x:c r="G284" s="27" t="n">
        <x:f>F284</x:f>
        <x:v>48</x:v>
      </x:c>
      <x:c r="H284" s="27" t="n">
        <x:f>IF(F284=0,0,I284/F284)</x:f>
        <x:v>247</x:v>
      </x:c>
      <x:c r="I284" s="27" t="n">
        <x:f>SUMIFS('Orders'!$I$5:$I$3004,'Orders'!$D$5:$D$3004,A284,'Orders'!$E$5:$E$3004,B284,'Orders'!$C$5:$C$3004,C284)</x:f>
        <x:v>11856</x:v>
      </x:c>
      <x:c r="J284" s="27" t="n">
        <x:f>'Products'!D10*INDEX('Assumptions'!$C$16:$N$16,1,MONTH(C284))</x:f>
        <x:v>160</x:v>
      </x:c>
      <x:c r="K284" s="27" t="n">
        <x:f>G284*J284</x:f>
        <x:v>7680</x:v>
      </x:c>
      <x:c r="L284" s="27" t="n">
        <x:f>I284-K284</x:f>
        <x:v>4176</x:v>
      </x:c>
    </x:row>
    <x:row r="285" ht="23" customHeight="1">
      <x:c r="A285" s="34" t="str">
        <x:v>0006</x:v>
      </x:c>
      <x:c r="B285" s="7" t="str">
        <x:v>North</x:v>
      </x:c>
      <x:c r="C285" s="14" t="d">
        <x:v>2026-05-01T00:00:00.000Z</x:v>
      </x:c>
      <x:c r="D285" s="27" t="n">
        <x:f>SUMIFS('Orders'!$F$5:$F$3004,'Orders'!$D$5:$D$3004,A285,'Orders'!$E$5:$E$3004,B285,'Orders'!$C$5:$C$3004,C285)</x:f>
        <x:v>78</x:v>
      </x:c>
      <x:c r="E285" s="28" t="n">
        <x:f>0</x:f>
        <x:v>0</x:v>
      </x:c>
      <x:c r="F285" s="27" t="n">
        <x:f>D285</x:f>
        <x:v>78</x:v>
      </x:c>
      <x:c r="G285" s="27" t="n">
        <x:f>F285</x:f>
        <x:v>78</x:v>
      </x:c>
      <x:c r="H285" s="27" t="n">
        <x:f>IF(F285=0,0,I285/F285)</x:f>
        <x:v>254.8</x:v>
      </x:c>
      <x:c r="I285" s="27" t="n">
        <x:f>SUMIFS('Orders'!$I$5:$I$3004,'Orders'!$D$5:$D$3004,A285,'Orders'!$E$5:$E$3004,B285,'Orders'!$C$5:$C$3004,C285)</x:f>
        <x:v>19874.4</x:v>
      </x:c>
      <x:c r="J285" s="27" t="n">
        <x:f>'Products'!D10*INDEX('Assumptions'!$C$16:$N$16,1,MONTH(C285))</x:f>
        <x:v>160</x:v>
      </x:c>
      <x:c r="K285" s="27" t="n">
        <x:f>G285*J285</x:f>
        <x:v>12480</x:v>
      </x:c>
      <x:c r="L285" s="27" t="n">
        <x:f>I285-K285</x:f>
        <x:v>7394.4000000000015</x:v>
      </x:c>
    </x:row>
    <x:row r="286" ht="23" customHeight="1">
      <x:c r="A286" s="34" t="str">
        <x:v>0006</x:v>
      </x:c>
      <x:c r="B286" s="7" t="str">
        <x:v>North</x:v>
      </x:c>
      <x:c r="C286" s="14" t="d">
        <x:v>2026-06-01T00:00:00.000Z</x:v>
      </x:c>
      <x:c r="D286" s="27" t="n">
        <x:f>SUMIFS('Orders'!$F$5:$F$3004,'Orders'!$D$5:$D$3004,A286,'Orders'!$E$5:$E$3004,B286,'Orders'!$C$5:$C$3004,C286)</x:f>
        <x:v>69</x:v>
      </x:c>
      <x:c r="E286" s="28" t="n">
        <x:f>0</x:f>
        <x:v>0</x:v>
      </x:c>
      <x:c r="F286" s="27" t="n">
        <x:f>D286</x:f>
        <x:v>69</x:v>
      </x:c>
      <x:c r="G286" s="27" t="n">
        <x:f>F286</x:f>
        <x:v>69</x:v>
      </x:c>
      <x:c r="H286" s="27" t="n">
        <x:f>IF(F286=0,0,I286/F286)</x:f>
        <x:v>260</x:v>
      </x:c>
      <x:c r="I286" s="27" t="n">
        <x:f>SUMIFS('Orders'!$I$5:$I$3004,'Orders'!$D$5:$D$3004,A286,'Orders'!$E$5:$E$3004,B286,'Orders'!$C$5:$C$3004,C286)</x:f>
        <x:v>17940</x:v>
      </x:c>
      <x:c r="J286" s="27" t="n">
        <x:f>'Products'!D10*INDEX('Assumptions'!$C$16:$N$16,1,MONTH(C286))</x:f>
        <x:v>160</x:v>
      </x:c>
      <x:c r="K286" s="27" t="n">
        <x:f>G286*J286</x:f>
        <x:v>11040</x:v>
      </x:c>
      <x:c r="L286" s="27" t="n">
        <x:f>I286-K286</x:f>
        <x:v>6900</x:v>
      </x:c>
    </x:row>
    <x:row r="287" ht="23" customHeight="1">
      <x:c r="A287" s="34" t="str">
        <x:v>0006</x:v>
      </x:c>
      <x:c r="B287" s="7" t="str">
        <x:v>North</x:v>
      </x:c>
      <x:c r="C287" s="14" t="d">
        <x:v>2026-07-01T00:00:00.000Z</x:v>
      </x:c>
      <x:c r="D287" s="27" t="n">
        <x:f>'Assumptions'!D177</x:f>
        <x:v>221</x:v>
      </x:c>
      <x:c r="E287" s="28" t="n">
        <x:f>INDEX('Assumptions'!$C$12:$N$12,1,MONTH(C287))</x:f>
        <x:v>0.03</x:v>
      </x:c>
      <x:c r="F287" s="27" t="n">
        <x:f>ROUND(D287*INDEX('Assumptions'!$C$8:$N$8,1,MONTH(C287))*(1-'Products'!E10*E287),0)</x:f>
        <x:v>215</x:v>
      </x:c>
      <x:c r="G287" s="27" t="n">
        <x:f>F287*SUMIFS('Inventory'!$L$5:$L$100,'Inventory'!$A$5:$A$100,A287,'Inventory'!$B$5:$B$100,C287)</x:f>
        <x:v>215</x:v>
      </x:c>
      <x:c r="H287" s="27" t="n">
        <x:f>'Assumptions'!E177*(1+E287)</x:f>
        <x:v>267.8</x:v>
      </x:c>
      <x:c r="I287" s="27" t="n">
        <x:f>G287*H287</x:f>
        <x:v>57577</x:v>
      </x:c>
      <x:c r="J287" s="27" t="n">
        <x:f>'Products'!D10*INDEX('Assumptions'!$C$16:$N$16,1,MONTH(C287))</x:f>
        <x:v>163.2</x:v>
      </x:c>
      <x:c r="K287" s="27" t="n">
        <x:f>G287*J287</x:f>
        <x:v>35088</x:v>
      </x:c>
      <x:c r="L287" s="27" t="n">
        <x:f>I287-K287</x:f>
        <x:v>22489</x:v>
      </x:c>
    </x:row>
    <x:row r="288" ht="23" customHeight="1">
      <x:c r="A288" s="34" t="str">
        <x:v>0006</x:v>
      </x:c>
      <x:c r="B288" s="7" t="str">
        <x:v>North</x:v>
      </x:c>
      <x:c r="C288" s="14" t="d">
        <x:v>2026-08-01T00:00:00.000Z</x:v>
      </x:c>
      <x:c r="D288" s="27" t="n">
        <x:f>'Assumptions'!D178</x:f>
        <x:v>236</x:v>
      </x:c>
      <x:c r="E288" s="28" t="n">
        <x:f>INDEX('Assumptions'!$C$12:$N$12,1,MONTH(C288))</x:f>
        <x:v>0.03</x:v>
      </x:c>
      <x:c r="F288" s="27" t="n">
        <x:f>ROUND(D288*INDEX('Assumptions'!$C$8:$N$8,1,MONTH(C288))*(1-'Products'!E10*E288),0)</x:f>
        <x:v>229</x:v>
      </x:c>
      <x:c r="G288" s="27" t="n">
        <x:f>F288*SUMIFS('Inventory'!$L$5:$L$100,'Inventory'!$A$5:$A$100,A288,'Inventory'!$B$5:$B$100,C288)</x:f>
        <x:v>229</x:v>
      </x:c>
      <x:c r="H288" s="27" t="n">
        <x:f>'Assumptions'!E178*(1+E288)</x:f>
        <x:v>267.8</x:v>
      </x:c>
      <x:c r="I288" s="27" t="n">
        <x:f>G288*H288</x:f>
        <x:v>61326.200000000004</x:v>
      </x:c>
      <x:c r="J288" s="27" t="n">
        <x:f>'Products'!D10*INDEX('Assumptions'!$C$16:$N$16,1,MONTH(C288))</x:f>
        <x:v>163.2</x:v>
      </x:c>
      <x:c r="K288" s="27" t="n">
        <x:f>G288*J288</x:f>
        <x:v>37372.799999999996</x:v>
      </x:c>
      <x:c r="L288" s="27" t="n">
        <x:f>I288-K288</x:f>
        <x:v>23953.40000000001</x:v>
      </x:c>
    </x:row>
    <x:row r="289" ht="23" customHeight="1">
      <x:c r="A289" s="34" t="str">
        <x:v>0006</x:v>
      </x:c>
      <x:c r="B289" s="7" t="str">
        <x:v>North</x:v>
      </x:c>
      <x:c r="C289" s="14" t="d">
        <x:v>2026-09-01T00:00:00.000Z</x:v>
      </x:c>
      <x:c r="D289" s="27" t="n">
        <x:f>'Assumptions'!D179</x:f>
        <x:v>251</x:v>
      </x:c>
      <x:c r="E289" s="28" t="n">
        <x:f>INDEX('Assumptions'!$C$12:$N$12,1,MONTH(C289))</x:f>
        <x:v>0.03</x:v>
      </x:c>
      <x:c r="F289" s="27" t="n">
        <x:f>ROUND(D289*INDEX('Assumptions'!$C$8:$N$8,1,MONTH(C289))*(1-'Products'!E10*E289),0)</x:f>
        <x:v>244</x:v>
      </x:c>
      <x:c r="G289" s="27" t="n">
        <x:f>F289*SUMIFS('Inventory'!$L$5:$L$100,'Inventory'!$A$5:$A$100,A289,'Inventory'!$B$5:$B$100,C289)</x:f>
        <x:v>244</x:v>
      </x:c>
      <x:c r="H289" s="27" t="n">
        <x:f>'Assumptions'!E179*(1+E289)</x:f>
        <x:v>267.8</x:v>
      </x:c>
      <x:c r="I289" s="27" t="n">
        <x:f>G289*H289</x:f>
        <x:v>65343.200000000004</x:v>
      </x:c>
      <x:c r="J289" s="27" t="n">
        <x:f>'Products'!D10*INDEX('Assumptions'!$C$16:$N$16,1,MONTH(C289))</x:f>
        <x:v>163.2</x:v>
      </x:c>
      <x:c r="K289" s="27" t="n">
        <x:f>G289*J289</x:f>
        <x:v>39820.799999999996</x:v>
      </x:c>
      <x:c r="L289" s="27" t="n">
        <x:f>I289-K289</x:f>
        <x:v>25522.40000000001</x:v>
      </x:c>
    </x:row>
    <x:row r="290" ht="23" customHeight="1">
      <x:c r="A290" s="34" t="str">
        <x:v>0006</x:v>
      </x:c>
      <x:c r="B290" s="7" t="str">
        <x:v>North</x:v>
      </x:c>
      <x:c r="C290" s="14" t="d">
        <x:v>2026-10-01T00:00:00.000Z</x:v>
      </x:c>
      <x:c r="D290" s="27" t="n">
        <x:f>'Assumptions'!D180</x:f>
        <x:v>266</x:v>
      </x:c>
      <x:c r="E290" s="28" t="n">
        <x:f>INDEX('Assumptions'!$C$12:$N$12,1,MONTH(C290))</x:f>
        <x:v>0.03</x:v>
      </x:c>
      <x:c r="F290" s="27" t="n">
        <x:f>ROUND(D290*INDEX('Assumptions'!$C$8:$N$8,1,MONTH(C290))*(1-'Products'!E10*E290),0)</x:f>
        <x:v>258</x:v>
      </x:c>
      <x:c r="G290" s="27" t="n">
        <x:f>F290*SUMIFS('Inventory'!$L$5:$L$100,'Inventory'!$A$5:$A$100,A290,'Inventory'!$B$5:$B$100,C290)</x:f>
        <x:v>208.16822429906543</x:v>
      </x:c>
      <x:c r="H290" s="27" t="n">
        <x:f>'Assumptions'!E180*(1+E290)</x:f>
        <x:v>267.8</x:v>
      </x:c>
      <x:c r="I290" s="27" t="n">
        <x:f>G290*H290</x:f>
        <x:v>55747.450467289724</x:v>
      </x:c>
      <x:c r="J290" s="27" t="n">
        <x:f>'Products'!D10*INDEX('Assumptions'!$C$16:$N$16,1,MONTH(C290))</x:f>
        <x:v>163.2</x:v>
      </x:c>
      <x:c r="K290" s="27" t="n">
        <x:f>G290*J290</x:f>
        <x:v>33973.05420560748</x:v>
      </x:c>
      <x:c r="L290" s="27" t="n">
        <x:f>I290-K290</x:f>
        <x:v>21774.396261682246</x:v>
      </x:c>
    </x:row>
    <x:row r="291" ht="23" customHeight="1">
      <x:c r="A291" s="34" t="str">
        <x:v>0006</x:v>
      </x:c>
      <x:c r="B291" s="7" t="str">
        <x:v>North</x:v>
      </x:c>
      <x:c r="C291" s="14" t="d">
        <x:v>2026-11-01T00:00:00.000Z</x:v>
      </x:c>
      <x:c r="D291" s="27" t="n">
        <x:f>'Assumptions'!D181</x:f>
        <x:v>281</x:v>
      </x:c>
      <x:c r="E291" s="28" t="n">
        <x:f>INDEX('Assumptions'!$C$12:$N$12,1,MONTH(C291))</x:f>
        <x:v>0.03</x:v>
      </x:c>
      <x:c r="F291" s="27" t="n">
        <x:f>ROUND(D291*INDEX('Assumptions'!$C$8:$N$8,1,MONTH(C291))*(1-'Products'!E10*E291),0)</x:f>
        <x:v>273</x:v>
      </x:c>
      <x:c r="G291" s="27" t="n">
        <x:f>F291*SUMIFS('Inventory'!$L$5:$L$100,'Inventory'!$A$5:$A$100,A291,'Inventory'!$B$5:$B$100,C291)</x:f>
        <x:v>128.21917808219177</x:v>
      </x:c>
      <x:c r="H291" s="27" t="n">
        <x:f>'Assumptions'!E181*(1+E291)</x:f>
        <x:v>267.8</x:v>
      </x:c>
      <x:c r="I291" s="27" t="n">
        <x:f>G291*H291</x:f>
        <x:v>34337.09589041096</x:v>
      </x:c>
      <x:c r="J291" s="27" t="n">
        <x:f>'Products'!D10*INDEX('Assumptions'!$C$16:$N$16,1,MONTH(C291))</x:f>
        <x:v>163.2</x:v>
      </x:c>
      <x:c r="K291" s="27" t="n">
        <x:f>G291*J291</x:f>
        <x:v>20925.369863013697</x:v>
      </x:c>
      <x:c r="L291" s="27" t="n">
        <x:f>I291-K291</x:f>
        <x:v>13411.72602739726</x:v>
      </x:c>
    </x:row>
    <x:row r="292" ht="23" customHeight="1">
      <x:c r="A292" s="34" t="str">
        <x:v>0006</x:v>
      </x:c>
      <x:c r="B292" s="7" t="str">
        <x:v>North</x:v>
      </x:c>
      <x:c r="C292" s="14" t="d">
        <x:v>2026-12-01T00:00:00.000Z</x:v>
      </x:c>
      <x:c r="D292" s="27" t="n">
        <x:f>'Assumptions'!D182</x:f>
        <x:v>296</x:v>
      </x:c>
      <x:c r="E292" s="28" t="n">
        <x:f>INDEX('Assumptions'!$C$12:$N$12,1,MONTH(C292))</x:f>
        <x:v>0.03</x:v>
      </x:c>
      <x:c r="F292" s="27" t="n">
        <x:f>ROUND(D292*INDEX('Assumptions'!$C$8:$N$8,1,MONTH(C292))*(1-'Products'!E10*E292),0)</x:f>
        <x:v>288</x:v>
      </x:c>
      <x:c r="G292" s="27" t="n">
        <x:f>F292*SUMIFS('Inventory'!$L$5:$L$100,'Inventory'!$A$5:$A$100,A292,'Inventory'!$B$5:$B$100,C292)</x:f>
        <x:v>127.88159111933395</x:v>
      </x:c>
      <x:c r="H292" s="27" t="n">
        <x:f>'Assumptions'!E182*(1+E292)</x:f>
        <x:v>267.8</x:v>
      </x:c>
      <x:c r="I292" s="27" t="n">
        <x:f>G292*H292</x:f>
        <x:v>34246.69010175763</x:v>
      </x:c>
      <x:c r="J292" s="27" t="n">
        <x:f>'Products'!D10*INDEX('Assumptions'!$C$16:$N$16,1,MONTH(C292))</x:f>
        <x:v>163.2</x:v>
      </x:c>
      <x:c r="K292" s="27" t="n">
        <x:f>G292*J292</x:f>
        <x:v>20870.2756706753</x:v>
      </x:c>
      <x:c r="L292" s="27" t="n">
        <x:f>I292-K292</x:f>
        <x:v>13376.414431082332</x:v>
      </x:c>
    </x:row>
    <x:row r="293" ht="23" customHeight="1">
      <x:c r="A293" s="34" t="str">
        <x:v>0007</x:v>
      </x:c>
      <x:c r="B293" s="7" t="str">
        <x:v>Central</x:v>
      </x:c>
      <x:c r="C293" s="14" t="d">
        <x:v>2026-01-01T00:00:00.000Z</x:v>
      </x:c>
      <x:c r="D293" s="27" t="n">
        <x:f>SUMIFS('Orders'!$F$5:$F$3004,'Orders'!$D$5:$D$3004,A293,'Orders'!$E$5:$E$3004,B293,'Orders'!$C$5:$C$3004,C293)</x:f>
        <x:v>66</x:v>
      </x:c>
      <x:c r="E293" s="28" t="n">
        <x:f>0</x:f>
        <x:v>0</x:v>
      </x:c>
      <x:c r="F293" s="27" t="n">
        <x:f>D293</x:f>
        <x:v>66</x:v>
      </x:c>
      <x:c r="G293" s="27" t="n">
        <x:f>F293</x:f>
        <x:v>66</x:v>
      </x:c>
      <x:c r="H293" s="27" t="n">
        <x:f>IF(F293=0,0,I293/F293)</x:f>
        <x:v>280</x:v>
      </x:c>
      <x:c r="I293" s="27" t="n">
        <x:f>SUMIFS('Orders'!$I$5:$I$3004,'Orders'!$D$5:$D$3004,A293,'Orders'!$E$5:$E$3004,B293,'Orders'!$C$5:$C$3004,C293)</x:f>
        <x:v>18480</x:v>
      </x:c>
      <x:c r="J293" s="27" t="n">
        <x:f>'Products'!D11*INDEX('Assumptions'!$C$16:$N$16,1,MONTH(C293))</x:f>
        <x:v>173</x:v>
      </x:c>
      <x:c r="K293" s="27" t="n">
        <x:f>G293*J293</x:f>
        <x:v>11418</x:v>
      </x:c>
      <x:c r="L293" s="27" t="n">
        <x:f>I293-K293</x:f>
        <x:v>7062</x:v>
      </x:c>
    </x:row>
    <x:row r="294" ht="23" customHeight="1">
      <x:c r="A294" s="34" t="str">
        <x:v>0007</x:v>
      </x:c>
      <x:c r="B294" s="7" t="str">
        <x:v>Central</x:v>
      </x:c>
      <x:c r="C294" s="14" t="d">
        <x:v>2026-02-01T00:00:00.000Z</x:v>
      </x:c>
      <x:c r="D294" s="27" t="n">
        <x:f>SUMIFS('Orders'!$F$5:$F$3004,'Orders'!$D$5:$D$3004,A294,'Orders'!$E$5:$E$3004,B294,'Orders'!$C$5:$C$3004,C294)</x:f>
        <x:v>64</x:v>
      </x:c>
      <x:c r="E294" s="28" t="n">
        <x:f>0</x:f>
        <x:v>0</x:v>
      </x:c>
      <x:c r="F294" s="27" t="n">
        <x:f>D294</x:f>
        <x:v>64</x:v>
      </x:c>
      <x:c r="G294" s="27" t="n">
        <x:f>F294</x:f>
        <x:v>64</x:v>
      </x:c>
      <x:c r="H294" s="27" t="n">
        <x:f>IF(F294=0,0,I294/F294)</x:f>
        <x:v>266</x:v>
      </x:c>
      <x:c r="I294" s="27" t="n">
        <x:f>SUMIFS('Orders'!$I$5:$I$3004,'Orders'!$D$5:$D$3004,A294,'Orders'!$E$5:$E$3004,B294,'Orders'!$C$5:$C$3004,C294)</x:f>
        <x:v>17024</x:v>
      </x:c>
      <x:c r="J294" s="27" t="n">
        <x:f>'Products'!D11*INDEX('Assumptions'!$C$16:$N$16,1,MONTH(C294))</x:f>
        <x:v>173</x:v>
      </x:c>
      <x:c r="K294" s="27" t="n">
        <x:f>G294*J294</x:f>
        <x:v>11072</x:v>
      </x:c>
      <x:c r="L294" s="27" t="n">
        <x:f>I294-K294</x:f>
        <x:v>5952</x:v>
      </x:c>
    </x:row>
    <x:row r="295" ht="23" customHeight="1">
      <x:c r="A295" s="34" t="str">
        <x:v>0007</x:v>
      </x:c>
      <x:c r="B295" s="7" t="str">
        <x:v>Central</x:v>
      </x:c>
      <x:c r="C295" s="14" t="d">
        <x:v>2026-03-01T00:00:00.000Z</x:v>
      </x:c>
      <x:c r="D295" s="27" t="n">
        <x:f>SUMIFS('Orders'!$F$5:$F$3004,'Orders'!$D$5:$D$3004,A295,'Orders'!$E$5:$E$3004,B295,'Orders'!$C$5:$C$3004,C295)</x:f>
        <x:v>77</x:v>
      </x:c>
      <x:c r="E295" s="28" t="n">
        <x:f>0</x:f>
        <x:v>0</x:v>
      </x:c>
      <x:c r="F295" s="27" t="n">
        <x:f>D295</x:f>
        <x:v>77</x:v>
      </x:c>
      <x:c r="G295" s="27" t="n">
        <x:f>F295</x:f>
        <x:v>77</x:v>
      </x:c>
      <x:c r="H295" s="27" t="n">
        <x:f>IF(F295=0,0,I295/F295)</x:f>
        <x:v>274.3999999999999</x:v>
      </x:c>
      <x:c r="I295" s="27" t="n">
        <x:f>SUMIFS('Orders'!$I$5:$I$3004,'Orders'!$D$5:$D$3004,A295,'Orders'!$E$5:$E$3004,B295,'Orders'!$C$5:$C$3004,C295)</x:f>
        <x:v>21128.799999999996</x:v>
      </x:c>
      <x:c r="J295" s="27" t="n">
        <x:f>'Products'!D11*INDEX('Assumptions'!$C$16:$N$16,1,MONTH(C295))</x:f>
        <x:v>173</x:v>
      </x:c>
      <x:c r="K295" s="27" t="n">
        <x:f>G295*J295</x:f>
        <x:v>13321</x:v>
      </x:c>
      <x:c r="L295" s="27" t="n">
        <x:f>I295-K295</x:f>
        <x:v>7807.799999999996</x:v>
      </x:c>
    </x:row>
    <x:row r="296" ht="23" customHeight="1">
      <x:c r="A296" s="34" t="str">
        <x:v>0007</x:v>
      </x:c>
      <x:c r="B296" s="7" t="str">
        <x:v>Central</x:v>
      </x:c>
      <x:c r="C296" s="14" t="d">
        <x:v>2026-04-01T00:00:00.000Z</x:v>
      </x:c>
      <x:c r="D296" s="27" t="n">
        <x:f>SUMIFS('Orders'!$F$5:$F$3004,'Orders'!$D$5:$D$3004,A296,'Orders'!$E$5:$E$3004,B296,'Orders'!$C$5:$C$3004,C296)</x:f>
        <x:v>53</x:v>
      </x:c>
      <x:c r="E296" s="28" t="n">
        <x:f>0</x:f>
        <x:v>0</x:v>
      </x:c>
      <x:c r="F296" s="27" t="n">
        <x:f>D296</x:f>
        <x:v>53</x:v>
      </x:c>
      <x:c r="G296" s="27" t="n">
        <x:f>F296</x:f>
        <x:v>53</x:v>
      </x:c>
      <x:c r="H296" s="27" t="n">
        <x:f>IF(F296=0,0,I296/F296)</x:f>
        <x:v>280</x:v>
      </x:c>
      <x:c r="I296" s="27" t="n">
        <x:f>SUMIFS('Orders'!$I$5:$I$3004,'Orders'!$D$5:$D$3004,A296,'Orders'!$E$5:$E$3004,B296,'Orders'!$C$5:$C$3004,C296)</x:f>
        <x:v>14840</x:v>
      </x:c>
      <x:c r="J296" s="27" t="n">
        <x:f>'Products'!D11*INDEX('Assumptions'!$C$16:$N$16,1,MONTH(C296))</x:f>
        <x:v>173</x:v>
      </x:c>
      <x:c r="K296" s="27" t="n">
        <x:f>G296*J296</x:f>
        <x:v>9169</x:v>
      </x:c>
      <x:c r="L296" s="27" t="n">
        <x:f>I296-K296</x:f>
        <x:v>5671</x:v>
      </x:c>
    </x:row>
    <x:row r="297" ht="23" customHeight="1">
      <x:c r="A297" s="34" t="str">
        <x:v>0007</x:v>
      </x:c>
      <x:c r="B297" s="7" t="str">
        <x:v>Central</x:v>
      </x:c>
      <x:c r="C297" s="14" t="d">
        <x:v>2026-05-01T00:00:00.000Z</x:v>
      </x:c>
      <x:c r="D297" s="27" t="n">
        <x:f>SUMIFS('Orders'!$F$5:$F$3004,'Orders'!$D$5:$D$3004,A297,'Orders'!$E$5:$E$3004,B297,'Orders'!$C$5:$C$3004,C297)</x:f>
        <x:v>40</x:v>
      </x:c>
      <x:c r="E297" s="28" t="n">
        <x:f>0</x:f>
        <x:v>0</x:v>
      </x:c>
      <x:c r="F297" s="27" t="n">
        <x:f>D297</x:f>
        <x:v>40</x:v>
      </x:c>
      <x:c r="G297" s="27" t="n">
        <x:f>F297</x:f>
        <x:v>40</x:v>
      </x:c>
      <x:c r="H297" s="27" t="n">
        <x:f>IF(F297=0,0,I297/F297)</x:f>
        <x:v>266</x:v>
      </x:c>
      <x:c r="I297" s="27" t="n">
        <x:f>SUMIFS('Orders'!$I$5:$I$3004,'Orders'!$D$5:$D$3004,A297,'Orders'!$E$5:$E$3004,B297,'Orders'!$C$5:$C$3004,C297)</x:f>
        <x:v>10640</x:v>
      </x:c>
      <x:c r="J297" s="27" t="n">
        <x:f>'Products'!D11*INDEX('Assumptions'!$C$16:$N$16,1,MONTH(C297))</x:f>
        <x:v>173</x:v>
      </x:c>
      <x:c r="K297" s="27" t="n">
        <x:f>G297*J297</x:f>
        <x:v>6920</x:v>
      </x:c>
      <x:c r="L297" s="27" t="n">
        <x:f>I297-K297</x:f>
        <x:v>3720</x:v>
      </x:c>
    </x:row>
    <x:row r="298" ht="23" customHeight="1">
      <x:c r="A298" s="34" t="str">
        <x:v>0007</x:v>
      </x:c>
      <x:c r="B298" s="7" t="str">
        <x:v>Central</x:v>
      </x:c>
      <x:c r="C298" s="14" t="d">
        <x:v>2026-06-01T00:00:00.000Z</x:v>
      </x:c>
      <x:c r="D298" s="27" t="n">
        <x:f>SUMIFS('Orders'!$F$5:$F$3004,'Orders'!$D$5:$D$3004,A298,'Orders'!$E$5:$E$3004,B298,'Orders'!$C$5:$C$3004,C298)</x:f>
        <x:v>48</x:v>
      </x:c>
      <x:c r="E298" s="28" t="n">
        <x:f>0</x:f>
        <x:v>0</x:v>
      </x:c>
      <x:c r="F298" s="27" t="n">
        <x:f>D298</x:f>
        <x:v>48</x:v>
      </x:c>
      <x:c r="G298" s="27" t="n">
        <x:f>F298</x:f>
        <x:v>48</x:v>
      </x:c>
      <x:c r="H298" s="27" t="n">
        <x:f>IF(F298=0,0,I298/F298)</x:f>
        <x:v>274.4</x:v>
      </x:c>
      <x:c r="I298" s="27" t="n">
        <x:f>SUMIFS('Orders'!$I$5:$I$3004,'Orders'!$D$5:$D$3004,A298,'Orders'!$E$5:$E$3004,B298,'Orders'!$C$5:$C$3004,C298)</x:f>
        <x:v>13171.199999999999</x:v>
      </x:c>
      <x:c r="J298" s="27" t="n">
        <x:f>'Products'!D11*INDEX('Assumptions'!$C$16:$N$16,1,MONTH(C298))</x:f>
        <x:v>173</x:v>
      </x:c>
      <x:c r="K298" s="27" t="n">
        <x:f>G298*J298</x:f>
        <x:v>8304</x:v>
      </x:c>
      <x:c r="L298" s="27" t="n">
        <x:f>I298-K298</x:f>
        <x:v>4867.199999999999</x:v>
      </x:c>
    </x:row>
    <x:row r="299" ht="23" customHeight="1">
      <x:c r="A299" s="34" t="str">
        <x:v>0007</x:v>
      </x:c>
      <x:c r="B299" s="7" t="str">
        <x:v>Central</x:v>
      </x:c>
      <x:c r="C299" s="14" t="d">
        <x:v>2026-07-01T00:00:00.000Z</x:v>
      </x:c>
      <x:c r="D299" s="27" t="n">
        <x:f>'Assumptions'!D183</x:f>
        <x:v>194</x:v>
      </x:c>
      <x:c r="E299" s="28" t="n">
        <x:f>INDEX('Assumptions'!$C$12:$N$12,1,MONTH(C299))</x:f>
        <x:v>0.03</x:v>
      </x:c>
      <x:c r="F299" s="27" t="n">
        <x:f>ROUND(D299*INDEX('Assumptions'!$C$8:$N$8,1,MONTH(C299))*(1-'Products'!E11*E299),0)</x:f>
        <x:v>188</x:v>
      </x:c>
      <x:c r="G299" s="27" t="n">
        <x:f>F299*SUMIFS('Inventory'!$L$5:$L$100,'Inventory'!$A$5:$A$100,A299,'Inventory'!$B$5:$B$100,C299)</x:f>
        <x:v>188</x:v>
      </x:c>
      <x:c r="H299" s="27" t="n">
        <x:f>'Assumptions'!E183*(1+E299)</x:f>
        <x:v>288.40000000000003</x:v>
      </x:c>
      <x:c r="I299" s="27" t="n">
        <x:f>G299*H299</x:f>
        <x:v>54219.200000000004</x:v>
      </x:c>
      <x:c r="J299" s="27" t="n">
        <x:f>'Products'!D11*INDEX('Assumptions'!$C$16:$N$16,1,MONTH(C299))</x:f>
        <x:v>176.46</x:v>
      </x:c>
      <x:c r="K299" s="27" t="n">
        <x:f>G299*J299</x:f>
        <x:v>33174.48</x:v>
      </x:c>
      <x:c r="L299" s="27" t="n">
        <x:f>I299-K299</x:f>
        <x:v>21044.72</x:v>
      </x:c>
    </x:row>
    <x:row r="300" ht="23" customHeight="1">
      <x:c r="A300" s="34" t="str">
        <x:v>0007</x:v>
      </x:c>
      <x:c r="B300" s="7" t="str">
        <x:v>Central</x:v>
      </x:c>
      <x:c r="C300" s="14" t="d">
        <x:v>2026-08-01T00:00:00.000Z</x:v>
      </x:c>
      <x:c r="D300" s="27" t="n">
        <x:f>'Assumptions'!D184</x:f>
        <x:v>209</x:v>
      </x:c>
      <x:c r="E300" s="28" t="n">
        <x:f>INDEX('Assumptions'!$C$12:$N$12,1,MONTH(C300))</x:f>
        <x:v>0.03</x:v>
      </x:c>
      <x:c r="F300" s="27" t="n">
        <x:f>ROUND(D300*INDEX('Assumptions'!$C$8:$N$8,1,MONTH(C300))*(1-'Products'!E11*E300),0)</x:f>
        <x:v>203</x:v>
      </x:c>
      <x:c r="G300" s="27" t="n">
        <x:f>F300*SUMIFS('Inventory'!$L$5:$L$100,'Inventory'!$A$5:$A$100,A300,'Inventory'!$B$5:$B$100,C300)</x:f>
        <x:v>203</x:v>
      </x:c>
      <x:c r="H300" s="27" t="n">
        <x:f>'Assumptions'!E184*(1+E300)</x:f>
        <x:v>288.40000000000003</x:v>
      </x:c>
      <x:c r="I300" s="27" t="n">
        <x:f>G300*H300</x:f>
        <x:v>58545.200000000004</x:v>
      </x:c>
      <x:c r="J300" s="27" t="n">
        <x:f>'Products'!D11*INDEX('Assumptions'!$C$16:$N$16,1,MONTH(C300))</x:f>
        <x:v>176.46</x:v>
      </x:c>
      <x:c r="K300" s="27" t="n">
        <x:f>G300*J300</x:f>
        <x:v>35821.380000000005</x:v>
      </x:c>
      <x:c r="L300" s="27" t="n">
        <x:f>I300-K300</x:f>
        <x:v>22723.82</x:v>
      </x:c>
    </x:row>
    <x:row r="301" ht="23" customHeight="1">
      <x:c r="A301" s="34" t="str">
        <x:v>0007</x:v>
      </x:c>
      <x:c r="B301" s="7" t="str">
        <x:v>Central</x:v>
      </x:c>
      <x:c r="C301" s="14" t="d">
        <x:v>2026-09-01T00:00:00.000Z</x:v>
      </x:c>
      <x:c r="D301" s="27" t="n">
        <x:f>'Assumptions'!D185</x:f>
        <x:v>224</x:v>
      </x:c>
      <x:c r="E301" s="28" t="n">
        <x:f>INDEX('Assumptions'!$C$12:$N$12,1,MONTH(C301))</x:f>
        <x:v>0.03</x:v>
      </x:c>
      <x:c r="F301" s="27" t="n">
        <x:f>ROUND(D301*INDEX('Assumptions'!$C$8:$N$8,1,MONTH(C301))*(1-'Products'!E11*E301),0)</x:f>
        <x:v>217</x:v>
      </x:c>
      <x:c r="G301" s="27" t="n">
        <x:f>F301*SUMIFS('Inventory'!$L$5:$L$100,'Inventory'!$A$5:$A$100,A301,'Inventory'!$B$5:$B$100,C301)</x:f>
        <x:v>191.32089552238804</x:v>
      </x:c>
      <x:c r="H301" s="27" t="n">
        <x:f>'Assumptions'!E185*(1+E301)</x:f>
        <x:v>288.40000000000003</x:v>
      </x:c>
      <x:c r="I301" s="27" t="n">
        <x:f>G301*H301</x:f>
        <x:v>55176.94626865672</x:v>
      </x:c>
      <x:c r="J301" s="27" t="n">
        <x:f>'Products'!D11*INDEX('Assumptions'!$C$16:$N$16,1,MONTH(C301))</x:f>
        <x:v>176.46</x:v>
      </x:c>
      <x:c r="K301" s="27" t="n">
        <x:f>G301*J301</x:f>
        <x:v>33760.4852238806</x:v>
      </x:c>
      <x:c r="L301" s="27" t="n">
        <x:f>I301-K301</x:f>
        <x:v>21416.461044776122</x:v>
      </x:c>
    </x:row>
    <x:row r="302" ht="23" customHeight="1">
      <x:c r="A302" s="34" t="str">
        <x:v>0007</x:v>
      </x:c>
      <x:c r="B302" s="7" t="str">
        <x:v>Central</x:v>
      </x:c>
      <x:c r="C302" s="14" t="d">
        <x:v>2026-10-01T00:00:00.000Z</x:v>
      </x:c>
      <x:c r="D302" s="27" t="n">
        <x:f>'Assumptions'!D186</x:f>
        <x:v>239</x:v>
      </x:c>
      <x:c r="E302" s="28" t="n">
        <x:f>INDEX('Assumptions'!$C$12:$N$12,1,MONTH(C302))</x:f>
        <x:v>0.03</x:v>
      </x:c>
      <x:c r="F302" s="27" t="n">
        <x:f>ROUND(D302*INDEX('Assumptions'!$C$8:$N$8,1,MONTH(C302))*(1-'Products'!E11*E302),0)</x:f>
        <x:v>232</x:v>
      </x:c>
      <x:c r="G302" s="27" t="n">
        <x:f>F302*SUMIFS('Inventory'!$L$5:$L$100,'Inventory'!$A$5:$A$100,A302,'Inventory'!$B$5:$B$100,C302)</x:f>
        <x:v>115.88365095285857</x:v>
      </x:c>
      <x:c r="H302" s="27" t="n">
        <x:f>'Assumptions'!E186*(1+E302)</x:f>
        <x:v>288.40000000000003</x:v>
      </x:c>
      <x:c r="I302" s="27" t="n">
        <x:f>G302*H302</x:f>
        <x:v>33420.844934804416</x:v>
      </x:c>
      <x:c r="J302" s="27" t="n">
        <x:f>'Products'!D11*INDEX('Assumptions'!$C$16:$N$16,1,MONTH(C302))</x:f>
        <x:v>176.46</x:v>
      </x:c>
      <x:c r="K302" s="27" t="n">
        <x:f>G302*J302</x:f>
        <x:v>20448.829047141426</x:v>
      </x:c>
      <x:c r="L302" s="27" t="n">
        <x:f>I302-K302</x:f>
        <x:v>12972.01588766299</x:v>
      </x:c>
    </x:row>
    <x:row r="303" ht="23" customHeight="1">
      <x:c r="A303" s="34" t="str">
        <x:v>0007</x:v>
      </x:c>
      <x:c r="B303" s="7" t="str">
        <x:v>Central</x:v>
      </x:c>
      <x:c r="C303" s="14" t="d">
        <x:v>2026-11-01T00:00:00.000Z</x:v>
      </x:c>
      <x:c r="D303" s="27" t="n">
        <x:f>'Assumptions'!D187</x:f>
        <x:v>254</x:v>
      </x:c>
      <x:c r="E303" s="28" t="n">
        <x:f>INDEX('Assumptions'!$C$12:$N$12,1,MONTH(C303))</x:f>
        <x:v>0.03</x:v>
      </x:c>
      <x:c r="F303" s="27" t="n">
        <x:f>ROUND(D303*INDEX('Assumptions'!$C$8:$N$8,1,MONTH(C303))*(1-'Products'!E11*E303),0)</x:f>
        <x:v>246</x:v>
      </x:c>
      <x:c r="G303" s="27" t="n">
        <x:f>F303*SUMIFS('Inventory'!$L$5:$L$100,'Inventory'!$A$5:$A$100,A303,'Inventory'!$B$5:$B$100,C303)</x:f>
        <x:v>116.2314990512334</x:v>
      </x:c>
      <x:c r="H303" s="27" t="n">
        <x:f>'Assumptions'!E187*(1+E303)</x:f>
        <x:v>288.40000000000003</x:v>
      </x:c>
      <x:c r="I303" s="27" t="n">
        <x:f>G303*H303</x:f>
        <x:v>33521.164326375714</x:v>
      </x:c>
      <x:c r="J303" s="27" t="n">
        <x:f>'Products'!D11*INDEX('Assumptions'!$C$16:$N$16,1,MONTH(C303))</x:f>
        <x:v>176.46</x:v>
      </x:c>
      <x:c r="K303" s="27" t="n">
        <x:f>G303*J303</x:f>
        <x:v>20510.210322580646</x:v>
      </x:c>
      <x:c r="L303" s="27" t="n">
        <x:f>I303-K303</x:f>
        <x:v>13010.954003795068</x:v>
      </x:c>
    </x:row>
    <x:row r="304" ht="23" customHeight="1">
      <x:c r="A304" s="34" t="str">
        <x:v>0007</x:v>
      </x:c>
      <x:c r="B304" s="7" t="str">
        <x:v>Central</x:v>
      </x:c>
      <x:c r="C304" s="14" t="d">
        <x:v>2026-12-01T00:00:00.000Z</x:v>
      </x:c>
      <x:c r="D304" s="27" t="n">
        <x:f>'Assumptions'!D188</x:f>
        <x:v>269</x:v>
      </x:c>
      <x:c r="E304" s="28" t="n">
        <x:f>INDEX('Assumptions'!$C$12:$N$12,1,MONTH(C304))</x:f>
        <x:v>0.03</x:v>
      </x:c>
      <x:c r="F304" s="27" t="n">
        <x:f>ROUND(D304*INDEX('Assumptions'!$C$8:$N$8,1,MONTH(C304))*(1-'Products'!E11*E304),0)</x:f>
        <x:v>261</x:v>
      </x:c>
      <x:c r="G304" s="27" t="n">
        <x:f>F304*SUMIFS('Inventory'!$L$5:$L$100,'Inventory'!$A$5:$A$100,A304,'Inventory'!$B$5:$B$100,C304)</x:f>
        <x:v>116.78167115902966</x:v>
      </x:c>
      <x:c r="H304" s="27" t="n">
        <x:f>'Assumptions'!E188*(1+E304)</x:f>
        <x:v>288.40000000000003</x:v>
      </x:c>
      <x:c r="I304" s="27" t="n">
        <x:f>G304*H304</x:f>
        <x:v>33679.83396226416</x:v>
      </x:c>
      <x:c r="J304" s="27" t="n">
        <x:f>'Products'!D11*INDEX('Assumptions'!$C$16:$N$16,1,MONTH(C304))</x:f>
        <x:v>176.46</x:v>
      </x:c>
      <x:c r="K304" s="27" t="n">
        <x:f>G304*J304</x:f>
        <x:v>20607.293692722375</x:v>
      </x:c>
      <x:c r="L304" s="27" t="n">
        <x:f>I304-K304</x:f>
        <x:v>13072.540269541783</x:v>
      </x:c>
    </x:row>
    <x:row r="305" ht="23" customHeight="1">
      <x:c r="A305" s="34" t="str">
        <x:v>0007</x:v>
      </x:c>
      <x:c r="B305" s="7" t="str">
        <x:v>East</x:v>
      </x:c>
      <x:c r="C305" s="14" t="d">
        <x:v>2026-01-01T00:00:00.000Z</x:v>
      </x:c>
      <x:c r="D305" s="27" t="n">
        <x:f>SUMIFS('Orders'!$F$5:$F$3004,'Orders'!$D$5:$D$3004,A305,'Orders'!$E$5:$E$3004,B305,'Orders'!$C$5:$C$3004,C305)</x:f>
        <x:v>71</x:v>
      </x:c>
      <x:c r="E305" s="28" t="n">
        <x:f>0</x:f>
        <x:v>0</x:v>
      </x:c>
      <x:c r="F305" s="27" t="n">
        <x:f>D305</x:f>
        <x:v>71</x:v>
      </x:c>
      <x:c r="G305" s="27" t="n">
        <x:f>F305</x:f>
        <x:v>71</x:v>
      </x:c>
      <x:c r="H305" s="27" t="n">
        <x:f>IF(F305=0,0,I305/F305)</x:f>
        <x:v>266</x:v>
      </x:c>
      <x:c r="I305" s="27" t="n">
        <x:f>SUMIFS('Orders'!$I$5:$I$3004,'Orders'!$D$5:$D$3004,A305,'Orders'!$E$5:$E$3004,B305,'Orders'!$C$5:$C$3004,C305)</x:f>
        <x:v>18886</x:v>
      </x:c>
      <x:c r="J305" s="27" t="n">
        <x:f>'Products'!D11*INDEX('Assumptions'!$C$16:$N$16,1,MONTH(C305))</x:f>
        <x:v>173</x:v>
      </x:c>
      <x:c r="K305" s="27" t="n">
        <x:f>G305*J305</x:f>
        <x:v>12283</x:v>
      </x:c>
      <x:c r="L305" s="27" t="n">
        <x:f>I305-K305</x:f>
        <x:v>6603</x:v>
      </x:c>
    </x:row>
    <x:row r="306" ht="23" customHeight="1">
      <x:c r="A306" s="34" t="str">
        <x:v>0007</x:v>
      </x:c>
      <x:c r="B306" s="7" t="str">
        <x:v>East</x:v>
      </x:c>
      <x:c r="C306" s="14" t="d">
        <x:v>2026-02-01T00:00:00.000Z</x:v>
      </x:c>
      <x:c r="D306" s="27" t="n">
        <x:f>SUMIFS('Orders'!$F$5:$F$3004,'Orders'!$D$5:$D$3004,A306,'Orders'!$E$5:$E$3004,B306,'Orders'!$C$5:$C$3004,C306)</x:f>
        <x:v>54</x:v>
      </x:c>
      <x:c r="E306" s="28" t="n">
        <x:f>0</x:f>
        <x:v>0</x:v>
      </x:c>
      <x:c r="F306" s="27" t="n">
        <x:f>D306</x:f>
        <x:v>54</x:v>
      </x:c>
      <x:c r="G306" s="27" t="n">
        <x:f>F306</x:f>
        <x:v>54</x:v>
      </x:c>
      <x:c r="H306" s="27" t="n">
        <x:f>IF(F306=0,0,I306/F306)</x:f>
        <x:v>274.40000000000003</x:v>
      </x:c>
      <x:c r="I306" s="27" t="n">
        <x:f>SUMIFS('Orders'!$I$5:$I$3004,'Orders'!$D$5:$D$3004,A306,'Orders'!$E$5:$E$3004,B306,'Orders'!$C$5:$C$3004,C306)</x:f>
        <x:v>14817.6</x:v>
      </x:c>
      <x:c r="J306" s="27" t="n">
        <x:f>'Products'!D11*INDEX('Assumptions'!$C$16:$N$16,1,MONTH(C306))</x:f>
        <x:v>173</x:v>
      </x:c>
      <x:c r="K306" s="27" t="n">
        <x:f>G306*J306</x:f>
        <x:v>9342</x:v>
      </x:c>
      <x:c r="L306" s="27" t="n">
        <x:f>I306-K306</x:f>
        <x:v>5475.6</x:v>
      </x:c>
    </x:row>
    <x:row r="307" ht="23" customHeight="1">
      <x:c r="A307" s="34" t="str">
        <x:v>0007</x:v>
      </x:c>
      <x:c r="B307" s="7" t="str">
        <x:v>East</x:v>
      </x:c>
      <x:c r="C307" s="14" t="d">
        <x:v>2026-03-01T00:00:00.000Z</x:v>
      </x:c>
      <x:c r="D307" s="27" t="n">
        <x:f>SUMIFS('Orders'!$F$5:$F$3004,'Orders'!$D$5:$D$3004,A307,'Orders'!$E$5:$E$3004,B307,'Orders'!$C$5:$C$3004,C307)</x:f>
        <x:v>50</x:v>
      </x:c>
      <x:c r="E307" s="28" t="n">
        <x:f>0</x:f>
        <x:v>0</x:v>
      </x:c>
      <x:c r="F307" s="27" t="n">
        <x:f>D307</x:f>
        <x:v>50</x:v>
      </x:c>
      <x:c r="G307" s="27" t="n">
        <x:f>F307</x:f>
        <x:v>50</x:v>
      </x:c>
      <x:c r="H307" s="27" t="n">
        <x:f>IF(F307=0,0,I307/F307)</x:f>
        <x:v>280</x:v>
      </x:c>
      <x:c r="I307" s="27" t="n">
        <x:f>SUMIFS('Orders'!$I$5:$I$3004,'Orders'!$D$5:$D$3004,A307,'Orders'!$E$5:$E$3004,B307,'Orders'!$C$5:$C$3004,C307)</x:f>
        <x:v>14000</x:v>
      </x:c>
      <x:c r="J307" s="27" t="n">
        <x:f>'Products'!D11*INDEX('Assumptions'!$C$16:$N$16,1,MONTH(C307))</x:f>
        <x:v>173</x:v>
      </x:c>
      <x:c r="K307" s="27" t="n">
        <x:f>G307*J307</x:f>
        <x:v>8650</x:v>
      </x:c>
      <x:c r="L307" s="27" t="n">
        <x:f>I307-K307</x:f>
        <x:v>5350</x:v>
      </x:c>
    </x:row>
    <x:row r="308" ht="23" customHeight="1">
      <x:c r="A308" s="34" t="str">
        <x:v>0007</x:v>
      </x:c>
      <x:c r="B308" s="7" t="str">
        <x:v>East</x:v>
      </x:c>
      <x:c r="C308" s="14" t="d">
        <x:v>2026-04-01T00:00:00.000Z</x:v>
      </x:c>
      <x:c r="D308" s="27" t="n">
        <x:f>SUMIFS('Orders'!$F$5:$F$3004,'Orders'!$D$5:$D$3004,A308,'Orders'!$E$5:$E$3004,B308,'Orders'!$C$5:$C$3004,C308)</x:f>
        <x:v>65</x:v>
      </x:c>
      <x:c r="E308" s="28" t="n">
        <x:f>0</x:f>
        <x:v>0</x:v>
      </x:c>
      <x:c r="F308" s="27" t="n">
        <x:f>D308</x:f>
        <x:v>65</x:v>
      </x:c>
      <x:c r="G308" s="27" t="n">
        <x:f>F308</x:f>
        <x:v>65</x:v>
      </x:c>
      <x:c r="H308" s="27" t="n">
        <x:f>IF(F308=0,0,I308/F308)</x:f>
        <x:v>266</x:v>
      </x:c>
      <x:c r="I308" s="27" t="n">
        <x:f>SUMIFS('Orders'!$I$5:$I$3004,'Orders'!$D$5:$D$3004,A308,'Orders'!$E$5:$E$3004,B308,'Orders'!$C$5:$C$3004,C308)</x:f>
        <x:v>17290</x:v>
      </x:c>
      <x:c r="J308" s="27" t="n">
        <x:f>'Products'!D11*INDEX('Assumptions'!$C$16:$N$16,1,MONTH(C308))</x:f>
        <x:v>173</x:v>
      </x:c>
      <x:c r="K308" s="27" t="n">
        <x:f>G308*J308</x:f>
        <x:v>11245</x:v>
      </x:c>
      <x:c r="L308" s="27" t="n">
        <x:f>I308-K308</x:f>
        <x:v>6045</x:v>
      </x:c>
    </x:row>
    <x:row r="309" ht="23" customHeight="1">
      <x:c r="A309" s="34" t="str">
        <x:v>0007</x:v>
      </x:c>
      <x:c r="B309" s="7" t="str">
        <x:v>East</x:v>
      </x:c>
      <x:c r="C309" s="14" t="d">
        <x:v>2026-05-01T00:00:00.000Z</x:v>
      </x:c>
      <x:c r="D309" s="27" t="n">
        <x:f>SUMIFS('Orders'!$F$5:$F$3004,'Orders'!$D$5:$D$3004,A309,'Orders'!$E$5:$E$3004,B309,'Orders'!$C$5:$C$3004,C309)</x:f>
        <x:v>54</x:v>
      </x:c>
      <x:c r="E309" s="28" t="n">
        <x:f>0</x:f>
        <x:v>0</x:v>
      </x:c>
      <x:c r="F309" s="27" t="n">
        <x:f>D309</x:f>
        <x:v>54</x:v>
      </x:c>
      <x:c r="G309" s="27" t="n">
        <x:f>F309</x:f>
        <x:v>54</x:v>
      </x:c>
      <x:c r="H309" s="27" t="n">
        <x:f>IF(F309=0,0,I309/F309)</x:f>
        <x:v>274.4</x:v>
      </x:c>
      <x:c r="I309" s="27" t="n">
        <x:f>SUMIFS('Orders'!$I$5:$I$3004,'Orders'!$D$5:$D$3004,A309,'Orders'!$E$5:$E$3004,B309,'Orders'!$C$5:$C$3004,C309)</x:f>
        <x:v>14817.599999999999</x:v>
      </x:c>
      <x:c r="J309" s="27" t="n">
        <x:f>'Products'!D11*INDEX('Assumptions'!$C$16:$N$16,1,MONTH(C309))</x:f>
        <x:v>173</x:v>
      </x:c>
      <x:c r="K309" s="27" t="n">
        <x:f>G309*J309</x:f>
        <x:v>9342</x:v>
      </x:c>
      <x:c r="L309" s="27" t="n">
        <x:f>I309-K309</x:f>
        <x:v>5475.5999999999985</x:v>
      </x:c>
    </x:row>
    <x:row r="310" ht="23" customHeight="1">
      <x:c r="A310" s="34" t="str">
        <x:v>0007</x:v>
      </x:c>
      <x:c r="B310" s="7" t="str">
        <x:v>East</x:v>
      </x:c>
      <x:c r="C310" s="14" t="d">
        <x:v>2026-06-01T00:00:00.000Z</x:v>
      </x:c>
      <x:c r="D310" s="27" t="n">
        <x:f>SUMIFS('Orders'!$F$5:$F$3004,'Orders'!$D$5:$D$3004,A310,'Orders'!$E$5:$E$3004,B310,'Orders'!$C$5:$C$3004,C310)</x:f>
        <x:v>47</x:v>
      </x:c>
      <x:c r="E310" s="28" t="n">
        <x:f>0</x:f>
        <x:v>0</x:v>
      </x:c>
      <x:c r="F310" s="27" t="n">
        <x:f>D310</x:f>
        <x:v>47</x:v>
      </x:c>
      <x:c r="G310" s="27" t="n">
        <x:f>F310</x:f>
        <x:v>47</x:v>
      </x:c>
      <x:c r="H310" s="27" t="n">
        <x:f>IF(F310=0,0,I310/F310)</x:f>
        <x:v>280</x:v>
      </x:c>
      <x:c r="I310" s="27" t="n">
        <x:f>SUMIFS('Orders'!$I$5:$I$3004,'Orders'!$D$5:$D$3004,A310,'Orders'!$E$5:$E$3004,B310,'Orders'!$C$5:$C$3004,C310)</x:f>
        <x:v>13160</x:v>
      </x:c>
      <x:c r="J310" s="27" t="n">
        <x:f>'Products'!D11*INDEX('Assumptions'!$C$16:$N$16,1,MONTH(C310))</x:f>
        <x:v>173</x:v>
      </x:c>
      <x:c r="K310" s="27" t="n">
        <x:f>G310*J310</x:f>
        <x:v>8131</x:v>
      </x:c>
      <x:c r="L310" s="27" t="n">
        <x:f>I310-K310</x:f>
        <x:v>5029</x:v>
      </x:c>
    </x:row>
    <x:row r="311" ht="23" customHeight="1">
      <x:c r="A311" s="34" t="str">
        <x:v>0007</x:v>
      </x:c>
      <x:c r="B311" s="7" t="str">
        <x:v>East</x:v>
      </x:c>
      <x:c r="C311" s="14" t="d">
        <x:v>2026-07-01T00:00:00.000Z</x:v>
      </x:c>
      <x:c r="D311" s="27" t="n">
        <x:f>'Assumptions'!D189</x:f>
        <x:v>206</x:v>
      </x:c>
      <x:c r="E311" s="28" t="n">
        <x:f>INDEX('Assumptions'!$C$12:$N$12,1,MONTH(C311))</x:f>
        <x:v>0.03</x:v>
      </x:c>
      <x:c r="F311" s="27" t="n">
        <x:f>ROUND(D311*INDEX('Assumptions'!$C$8:$N$8,1,MONTH(C311))*(1-'Products'!E11*E311),0)</x:f>
        <x:v>200</x:v>
      </x:c>
      <x:c r="G311" s="27" t="n">
        <x:f>F311*SUMIFS('Inventory'!$L$5:$L$100,'Inventory'!$A$5:$A$100,A311,'Inventory'!$B$5:$B$100,C311)</x:f>
        <x:v>200</x:v>
      </x:c>
      <x:c r="H311" s="27" t="n">
        <x:f>'Assumptions'!E189*(1+E311)</x:f>
        <x:v>288.40000000000003</x:v>
      </x:c>
      <x:c r="I311" s="27" t="n">
        <x:f>G311*H311</x:f>
        <x:v>57680.00000000001</x:v>
      </x:c>
      <x:c r="J311" s="27" t="n">
        <x:f>'Products'!D11*INDEX('Assumptions'!$C$16:$N$16,1,MONTH(C311))</x:f>
        <x:v>176.46</x:v>
      </x:c>
      <x:c r="K311" s="27" t="n">
        <x:f>G311*J311</x:f>
        <x:v>35292</x:v>
      </x:c>
      <x:c r="L311" s="27" t="n">
        <x:f>I311-K311</x:f>
        <x:v>22388.000000000007</x:v>
      </x:c>
    </x:row>
    <x:row r="312" ht="23" customHeight="1">
      <x:c r="A312" s="34" t="str">
        <x:v>0007</x:v>
      </x:c>
      <x:c r="B312" s="7" t="str">
        <x:v>East</x:v>
      </x:c>
      <x:c r="C312" s="14" t="d">
        <x:v>2026-08-01T00:00:00.000Z</x:v>
      </x:c>
      <x:c r="D312" s="27" t="n">
        <x:f>'Assumptions'!D190</x:f>
        <x:v>221</x:v>
      </x:c>
      <x:c r="E312" s="28" t="n">
        <x:f>INDEX('Assumptions'!$C$12:$N$12,1,MONTH(C312))</x:f>
        <x:v>0.03</x:v>
      </x:c>
      <x:c r="F312" s="27" t="n">
        <x:f>ROUND(D312*INDEX('Assumptions'!$C$8:$N$8,1,MONTH(C312))*(1-'Products'!E11*E312),0)</x:f>
        <x:v>214</x:v>
      </x:c>
      <x:c r="G312" s="27" t="n">
        <x:f>F312*SUMIFS('Inventory'!$L$5:$L$100,'Inventory'!$A$5:$A$100,A312,'Inventory'!$B$5:$B$100,C312)</x:f>
        <x:v>214</x:v>
      </x:c>
      <x:c r="H312" s="27" t="n">
        <x:f>'Assumptions'!E190*(1+E312)</x:f>
        <x:v>288.40000000000003</x:v>
      </x:c>
      <x:c r="I312" s="27" t="n">
        <x:f>G312*H312</x:f>
        <x:v>61717.600000000006</x:v>
      </x:c>
      <x:c r="J312" s="27" t="n">
        <x:f>'Products'!D11*INDEX('Assumptions'!$C$16:$N$16,1,MONTH(C312))</x:f>
        <x:v>176.46</x:v>
      </x:c>
      <x:c r="K312" s="27" t="n">
        <x:f>G312*J312</x:f>
        <x:v>37762.44</x:v>
      </x:c>
      <x:c r="L312" s="27" t="n">
        <x:f>I312-K312</x:f>
        <x:v>23955.160000000003</x:v>
      </x:c>
    </x:row>
    <x:row r="313" ht="23" customHeight="1">
      <x:c r="A313" s="34" t="str">
        <x:v>0007</x:v>
      </x:c>
      <x:c r="B313" s="7" t="str">
        <x:v>East</x:v>
      </x:c>
      <x:c r="C313" s="14" t="d">
        <x:v>2026-09-01T00:00:00.000Z</x:v>
      </x:c>
      <x:c r="D313" s="27" t="n">
        <x:f>'Assumptions'!D191</x:f>
        <x:v>236</x:v>
      </x:c>
      <x:c r="E313" s="28" t="n">
        <x:f>INDEX('Assumptions'!$C$12:$N$12,1,MONTH(C313))</x:f>
        <x:v>0.03</x:v>
      </x:c>
      <x:c r="F313" s="27" t="n">
        <x:f>ROUND(D313*INDEX('Assumptions'!$C$8:$N$8,1,MONTH(C313))*(1-'Products'!E11*E313),0)</x:f>
        <x:v>229</x:v>
      </x:c>
      <x:c r="G313" s="27" t="n">
        <x:f>F313*SUMIFS('Inventory'!$L$5:$L$100,'Inventory'!$A$5:$A$100,A313,'Inventory'!$B$5:$B$100,C313)</x:f>
        <x:v>201.9008528784648</x:v>
      </x:c>
      <x:c r="H313" s="27" t="n">
        <x:f>'Assumptions'!E191*(1+E313)</x:f>
        <x:v>288.40000000000003</x:v>
      </x:c>
      <x:c r="I313" s="27" t="n">
        <x:f>G313*H313</x:f>
        <x:v>58228.205970149254</x:v>
      </x:c>
      <x:c r="J313" s="27" t="n">
        <x:f>'Products'!D11*INDEX('Assumptions'!$C$16:$N$16,1,MONTH(C313))</x:f>
        <x:v>176.46</x:v>
      </x:c>
      <x:c r="K313" s="27" t="n">
        <x:f>G313*J313</x:f>
        <x:v>35627.4244989339</x:v>
      </x:c>
      <x:c r="L313" s="27" t="n">
        <x:f>I313-K313</x:f>
        <x:v>22600.781471215356</x:v>
      </x:c>
    </x:row>
    <x:row r="314" ht="23" customHeight="1">
      <x:c r="A314" s="34" t="str">
        <x:v>0007</x:v>
      </x:c>
      <x:c r="B314" s="7" t="str">
        <x:v>East</x:v>
      </x:c>
      <x:c r="C314" s="14" t="d">
        <x:v>2026-10-01T00:00:00.000Z</x:v>
      </x:c>
      <x:c r="D314" s="27" t="n">
        <x:f>'Assumptions'!D192</x:f>
        <x:v>251</x:v>
      </x:c>
      <x:c r="E314" s="28" t="n">
        <x:f>INDEX('Assumptions'!$C$12:$N$12,1,MONTH(C314))</x:f>
        <x:v>0.03</x:v>
      </x:c>
      <x:c r="F314" s="27" t="n">
        <x:f>ROUND(D314*INDEX('Assumptions'!$C$8:$N$8,1,MONTH(C314))*(1-'Products'!E11*E314),0)</x:f>
        <x:v>243</x:v>
      </x:c>
      <x:c r="G314" s="27" t="n">
        <x:f>F314*SUMIFS('Inventory'!$L$5:$L$100,'Inventory'!$A$5:$A$100,A314,'Inventory'!$B$5:$B$100,C314)</x:f>
        <x:v>121.37813440320963</x:v>
      </x:c>
      <x:c r="H314" s="27" t="n">
        <x:f>'Assumptions'!E192*(1+E314)</x:f>
        <x:v>288.40000000000003</x:v>
      </x:c>
      <x:c r="I314" s="27" t="n">
        <x:f>G314*H314</x:f>
        <x:v>35005.45396188566</x:v>
      </x:c>
      <x:c r="J314" s="27" t="n">
        <x:f>'Products'!D11*INDEX('Assumptions'!$C$16:$N$16,1,MONTH(C314))</x:f>
        <x:v>176.46</x:v>
      </x:c>
      <x:c r="K314" s="27" t="n">
        <x:f>G314*J314</x:f>
        <x:v>21418.385596790373</x:v>
      </x:c>
      <x:c r="L314" s="27" t="n">
        <x:f>I314-K314</x:f>
        <x:v>13587.068365095285</x:v>
      </x:c>
    </x:row>
    <x:row r="315" ht="23" customHeight="1">
      <x:c r="A315" s="34" t="str">
        <x:v>0007</x:v>
      </x:c>
      <x:c r="B315" s="7" t="str">
        <x:v>East</x:v>
      </x:c>
      <x:c r="C315" s="14" t="d">
        <x:v>2026-11-01T00:00:00.000Z</x:v>
      </x:c>
      <x:c r="D315" s="27" t="n">
        <x:f>'Assumptions'!D193</x:f>
        <x:v>266</x:v>
      </x:c>
      <x:c r="E315" s="28" t="n">
        <x:f>INDEX('Assumptions'!$C$12:$N$12,1,MONTH(C315))</x:f>
        <x:v>0.03</x:v>
      </x:c>
      <x:c r="F315" s="27" t="n">
        <x:f>ROUND(D315*INDEX('Assumptions'!$C$8:$N$8,1,MONTH(C315))*(1-'Products'!E11*E315),0)</x:f>
        <x:v>258</x:v>
      </x:c>
      <x:c r="G315" s="27" t="n">
        <x:f>F315*SUMIFS('Inventory'!$L$5:$L$100,'Inventory'!$A$5:$A$100,A315,'Inventory'!$B$5:$B$100,C315)</x:f>
        <x:v>121.90132827324477</x:v>
      </x:c>
      <x:c r="H315" s="27" t="n">
        <x:f>'Assumptions'!E193*(1+E315)</x:f>
        <x:v>288.40000000000003</x:v>
      </x:c>
      <x:c r="I315" s="27" t="n">
        <x:f>G315*H315</x:f>
        <x:v>35156.343074003795</x:v>
      </x:c>
      <x:c r="J315" s="27" t="n">
        <x:f>'Products'!D11*INDEX('Assumptions'!$C$16:$N$16,1,MONTH(C315))</x:f>
        <x:v>176.46</x:v>
      </x:c>
      <x:c r="K315" s="27" t="n">
        <x:f>G315*J315</x:f>
        <x:v>21510.708387096773</x:v>
      </x:c>
      <x:c r="L315" s="27" t="n">
        <x:f>I315-K315</x:f>
        <x:v>13645.634686907022</x:v>
      </x:c>
    </x:row>
    <x:row r="316" ht="23" customHeight="1">
      <x:c r="A316" s="34" t="str">
        <x:v>0007</x:v>
      </x:c>
      <x:c r="B316" s="7" t="str">
        <x:v>East</x:v>
      </x:c>
      <x:c r="C316" s="14" t="d">
        <x:v>2026-12-01T00:00:00.000Z</x:v>
      </x:c>
      <x:c r="D316" s="27" t="n">
        <x:f>'Assumptions'!D194</x:f>
        <x:v>281</x:v>
      </x:c>
      <x:c r="E316" s="28" t="n">
        <x:f>INDEX('Assumptions'!$C$12:$N$12,1,MONTH(C316))</x:f>
        <x:v>0.03</x:v>
      </x:c>
      <x:c r="F316" s="27" t="n">
        <x:f>ROUND(D316*INDEX('Assumptions'!$C$8:$N$8,1,MONTH(C316))*(1-'Products'!E11*E316),0)</x:f>
        <x:v>272</x:v>
      </x:c>
      <x:c r="G316" s="27" t="n">
        <x:f>F316*SUMIFS('Inventory'!$L$5:$L$100,'Inventory'!$A$5:$A$100,A316,'Inventory'!$B$5:$B$100,C316)</x:f>
        <x:v>121.70350404312669</x:v>
      </x:c>
      <x:c r="H316" s="27" t="n">
        <x:f>'Assumptions'!E194*(1+E316)</x:f>
        <x:v>288.40000000000003</x:v>
      </x:c>
      <x:c r="I316" s="27" t="n">
        <x:f>G316*H316</x:f>
        <x:v>35099.290566037744</x:v>
      </x:c>
      <x:c r="J316" s="27" t="n">
        <x:f>'Products'!D11*INDEX('Assumptions'!$C$16:$N$16,1,MONTH(C316))</x:f>
        <x:v>176.46</x:v>
      </x:c>
      <x:c r="K316" s="27" t="n">
        <x:f>G316*J316</x:f>
        <x:v>21475.800323450138</x:v>
      </x:c>
      <x:c r="L316" s="27" t="n">
        <x:f>I316-K316</x:f>
        <x:v>13623.490242587606</x:v>
      </x:c>
    </x:row>
    <x:row r="317" ht="23" customHeight="1">
      <x:c r="A317" s="34" t="str">
        <x:v>0007</x:v>
      </x:c>
      <x:c r="B317" s="7" t="str">
        <x:v>West</x:v>
      </x:c>
      <x:c r="C317" s="14" t="d">
        <x:v>2026-01-01T00:00:00.000Z</x:v>
      </x:c>
      <x:c r="D317" s="27" t="n">
        <x:f>SUMIFS('Orders'!$F$5:$F$3004,'Orders'!$D$5:$D$3004,A317,'Orders'!$E$5:$E$3004,B317,'Orders'!$C$5:$C$3004,C317)</x:f>
        <x:v>56</x:v>
      </x:c>
      <x:c r="E317" s="28" t="n">
        <x:f>0</x:f>
        <x:v>0</x:v>
      </x:c>
      <x:c r="F317" s="27" t="n">
        <x:f>D317</x:f>
        <x:v>56</x:v>
      </x:c>
      <x:c r="G317" s="27" t="n">
        <x:f>F317</x:f>
        <x:v>56</x:v>
      </x:c>
      <x:c r="H317" s="27" t="n">
        <x:f>IF(F317=0,0,I317/F317)</x:f>
        <x:v>274.40000000000003</x:v>
      </x:c>
      <x:c r="I317" s="27" t="n">
        <x:f>SUMIFS('Orders'!$I$5:$I$3004,'Orders'!$D$5:$D$3004,A317,'Orders'!$E$5:$E$3004,B317,'Orders'!$C$5:$C$3004,C317)</x:f>
        <x:v>15366.400000000001</x:v>
      </x:c>
      <x:c r="J317" s="27" t="n">
        <x:f>'Products'!D11*INDEX('Assumptions'!$C$16:$N$16,1,MONTH(C317))</x:f>
        <x:v>173</x:v>
      </x:c>
      <x:c r="K317" s="27" t="n">
        <x:f>G317*J317</x:f>
        <x:v>9688</x:v>
      </x:c>
      <x:c r="L317" s="27" t="n">
        <x:f>I317-K317</x:f>
        <x:v>5678.4000000000015</x:v>
      </x:c>
    </x:row>
    <x:row r="318" ht="23" customHeight="1">
      <x:c r="A318" s="34" t="str">
        <x:v>0007</x:v>
      </x:c>
      <x:c r="B318" s="7" t="str">
        <x:v>West</x:v>
      </x:c>
      <x:c r="C318" s="14" t="d">
        <x:v>2026-02-01T00:00:00.000Z</x:v>
      </x:c>
      <x:c r="D318" s="27" t="n">
        <x:f>SUMIFS('Orders'!$F$5:$F$3004,'Orders'!$D$5:$D$3004,A318,'Orders'!$E$5:$E$3004,B318,'Orders'!$C$5:$C$3004,C318)</x:f>
        <x:v>56</x:v>
      </x:c>
      <x:c r="E318" s="28" t="n">
        <x:f>0</x:f>
        <x:v>0</x:v>
      </x:c>
      <x:c r="F318" s="27" t="n">
        <x:f>D318</x:f>
        <x:v>56</x:v>
      </x:c>
      <x:c r="G318" s="27" t="n">
        <x:f>F318</x:f>
        <x:v>56</x:v>
      </x:c>
      <x:c r="H318" s="27" t="n">
        <x:f>IF(F318=0,0,I318/F318)</x:f>
        <x:v>280</x:v>
      </x:c>
      <x:c r="I318" s="27" t="n">
        <x:f>SUMIFS('Orders'!$I$5:$I$3004,'Orders'!$D$5:$D$3004,A318,'Orders'!$E$5:$E$3004,B318,'Orders'!$C$5:$C$3004,C318)</x:f>
        <x:v>15680</x:v>
      </x:c>
      <x:c r="J318" s="27" t="n">
        <x:f>'Products'!D11*INDEX('Assumptions'!$C$16:$N$16,1,MONTH(C318))</x:f>
        <x:v>173</x:v>
      </x:c>
      <x:c r="K318" s="27" t="n">
        <x:f>G318*J318</x:f>
        <x:v>9688</x:v>
      </x:c>
      <x:c r="L318" s="27" t="n">
        <x:f>I318-K318</x:f>
        <x:v>5992</x:v>
      </x:c>
    </x:row>
    <x:row r="319" ht="23" customHeight="1">
      <x:c r="A319" s="34" t="str">
        <x:v>0007</x:v>
      </x:c>
      <x:c r="B319" s="7" t="str">
        <x:v>West</x:v>
      </x:c>
      <x:c r="C319" s="14" t="d">
        <x:v>2026-03-01T00:00:00.000Z</x:v>
      </x:c>
      <x:c r="D319" s="27" t="n">
        <x:f>SUMIFS('Orders'!$F$5:$F$3004,'Orders'!$D$5:$D$3004,A319,'Orders'!$E$5:$E$3004,B319,'Orders'!$C$5:$C$3004,C319)</x:f>
        <x:v>73</x:v>
      </x:c>
      <x:c r="E319" s="28" t="n">
        <x:f>0</x:f>
        <x:v>0</x:v>
      </x:c>
      <x:c r="F319" s="27" t="n">
        <x:f>D319</x:f>
        <x:v>73</x:v>
      </x:c>
      <x:c r="G319" s="27" t="n">
        <x:f>F319</x:f>
        <x:v>73</x:v>
      </x:c>
      <x:c r="H319" s="27" t="n">
        <x:f>IF(F319=0,0,I319/F319)</x:f>
        <x:v>266</x:v>
      </x:c>
      <x:c r="I319" s="27" t="n">
        <x:f>SUMIFS('Orders'!$I$5:$I$3004,'Orders'!$D$5:$D$3004,A319,'Orders'!$E$5:$E$3004,B319,'Orders'!$C$5:$C$3004,C319)</x:f>
        <x:v>19418</x:v>
      </x:c>
      <x:c r="J319" s="27" t="n">
        <x:f>'Products'!D11*INDEX('Assumptions'!$C$16:$N$16,1,MONTH(C319))</x:f>
        <x:v>173</x:v>
      </x:c>
      <x:c r="K319" s="27" t="n">
        <x:f>G319*J319</x:f>
        <x:v>12629</x:v>
      </x:c>
      <x:c r="L319" s="27" t="n">
        <x:f>I319-K319</x:f>
        <x:v>6789</x:v>
      </x:c>
    </x:row>
    <x:row r="320" ht="23" customHeight="1">
      <x:c r="A320" s="34" t="str">
        <x:v>0007</x:v>
      </x:c>
      <x:c r="B320" s="7" t="str">
        <x:v>West</x:v>
      </x:c>
      <x:c r="C320" s="14" t="d">
        <x:v>2026-04-01T00:00:00.000Z</x:v>
      </x:c>
      <x:c r="D320" s="27" t="n">
        <x:f>SUMIFS('Orders'!$F$5:$F$3004,'Orders'!$D$5:$D$3004,A320,'Orders'!$E$5:$E$3004,B320,'Orders'!$C$5:$C$3004,C320)</x:f>
        <x:v>72</x:v>
      </x:c>
      <x:c r="E320" s="28" t="n">
        <x:f>0</x:f>
        <x:v>0</x:v>
      </x:c>
      <x:c r="F320" s="27" t="n">
        <x:f>D320</x:f>
        <x:v>72</x:v>
      </x:c>
      <x:c r="G320" s="27" t="n">
        <x:f>F320</x:f>
        <x:v>72</x:v>
      </x:c>
      <x:c r="H320" s="27" t="n">
        <x:f>IF(F320=0,0,I320/F320)</x:f>
        <x:v>274.40000000000003</x:v>
      </x:c>
      <x:c r="I320" s="27" t="n">
        <x:f>SUMIFS('Orders'!$I$5:$I$3004,'Orders'!$D$5:$D$3004,A320,'Orders'!$E$5:$E$3004,B320,'Orders'!$C$5:$C$3004,C320)</x:f>
        <x:v>19756.800000000003</x:v>
      </x:c>
      <x:c r="J320" s="27" t="n">
        <x:f>'Products'!D11*INDEX('Assumptions'!$C$16:$N$16,1,MONTH(C320))</x:f>
        <x:v>173</x:v>
      </x:c>
      <x:c r="K320" s="27" t="n">
        <x:f>G320*J320</x:f>
        <x:v>12456</x:v>
      </x:c>
      <x:c r="L320" s="27" t="n">
        <x:f>I320-K320</x:f>
        <x:v>7300.800000000003</x:v>
      </x:c>
    </x:row>
    <x:row r="321" ht="23" customHeight="1">
      <x:c r="A321" s="34" t="str">
        <x:v>0007</x:v>
      </x:c>
      <x:c r="B321" s="7" t="str">
        <x:v>West</x:v>
      </x:c>
      <x:c r="C321" s="14" t="d">
        <x:v>2026-05-01T00:00:00.000Z</x:v>
      </x:c>
      <x:c r="D321" s="27" t="n">
        <x:f>SUMIFS('Orders'!$F$5:$F$3004,'Orders'!$D$5:$D$3004,A321,'Orders'!$E$5:$E$3004,B321,'Orders'!$C$5:$C$3004,C321)</x:f>
        <x:v>58</x:v>
      </x:c>
      <x:c r="E321" s="28" t="n">
        <x:f>0</x:f>
        <x:v>0</x:v>
      </x:c>
      <x:c r="F321" s="27" t="n">
        <x:f>D321</x:f>
        <x:v>58</x:v>
      </x:c>
      <x:c r="G321" s="27" t="n">
        <x:f>F321</x:f>
        <x:v>58</x:v>
      </x:c>
      <x:c r="H321" s="27" t="n">
        <x:f>IF(F321=0,0,I321/F321)</x:f>
        <x:v>280</x:v>
      </x:c>
      <x:c r="I321" s="27" t="n">
        <x:f>SUMIFS('Orders'!$I$5:$I$3004,'Orders'!$D$5:$D$3004,A321,'Orders'!$E$5:$E$3004,B321,'Orders'!$C$5:$C$3004,C321)</x:f>
        <x:v>16240</x:v>
      </x:c>
      <x:c r="J321" s="27" t="n">
        <x:f>'Products'!D11*INDEX('Assumptions'!$C$16:$N$16,1,MONTH(C321))</x:f>
        <x:v>173</x:v>
      </x:c>
      <x:c r="K321" s="27" t="n">
        <x:f>G321*J321</x:f>
        <x:v>10034</x:v>
      </x:c>
      <x:c r="L321" s="27" t="n">
        <x:f>I321-K321</x:f>
        <x:v>6206</x:v>
      </x:c>
    </x:row>
    <x:row r="322" ht="23" customHeight="1">
      <x:c r="A322" s="34" t="str">
        <x:v>0007</x:v>
      </x:c>
      <x:c r="B322" s="7" t="str">
        <x:v>West</x:v>
      </x:c>
      <x:c r="C322" s="14" t="d">
        <x:v>2026-06-01T00:00:00.000Z</x:v>
      </x:c>
      <x:c r="D322" s="27" t="n">
        <x:f>SUMIFS('Orders'!$F$5:$F$3004,'Orders'!$D$5:$D$3004,A322,'Orders'!$E$5:$E$3004,B322,'Orders'!$C$5:$C$3004,C322)</x:f>
        <x:v>38</x:v>
      </x:c>
      <x:c r="E322" s="28" t="n">
        <x:f>0</x:f>
        <x:v>0</x:v>
      </x:c>
      <x:c r="F322" s="27" t="n">
        <x:f>D322</x:f>
        <x:v>38</x:v>
      </x:c>
      <x:c r="G322" s="27" t="n">
        <x:f>F322</x:f>
        <x:v>38</x:v>
      </x:c>
      <x:c r="H322" s="27" t="n">
        <x:f>IF(F322=0,0,I322/F322)</x:f>
        <x:v>266</x:v>
      </x:c>
      <x:c r="I322" s="27" t="n">
        <x:f>SUMIFS('Orders'!$I$5:$I$3004,'Orders'!$D$5:$D$3004,A322,'Orders'!$E$5:$E$3004,B322,'Orders'!$C$5:$C$3004,C322)</x:f>
        <x:v>10108</x:v>
      </x:c>
      <x:c r="J322" s="27" t="n">
        <x:f>'Products'!D11*INDEX('Assumptions'!$C$16:$N$16,1,MONTH(C322))</x:f>
        <x:v>173</x:v>
      </x:c>
      <x:c r="K322" s="27" t="n">
        <x:f>G322*J322</x:f>
        <x:v>6574</x:v>
      </x:c>
      <x:c r="L322" s="27" t="n">
        <x:f>I322-K322</x:f>
        <x:v>3534</x:v>
      </x:c>
    </x:row>
    <x:row r="323" ht="23" customHeight="1">
      <x:c r="A323" s="34" t="str">
        <x:v>0007</x:v>
      </x:c>
      <x:c r="B323" s="7" t="str">
        <x:v>West</x:v>
      </x:c>
      <x:c r="C323" s="14" t="d">
        <x:v>2026-07-01T00:00:00.000Z</x:v>
      </x:c>
      <x:c r="D323" s="27" t="n">
        <x:f>'Assumptions'!D195</x:f>
        <x:v>218</x:v>
      </x:c>
      <x:c r="E323" s="28" t="n">
        <x:f>INDEX('Assumptions'!$C$12:$N$12,1,MONTH(C323))</x:f>
        <x:v>0.03</x:v>
      </x:c>
      <x:c r="F323" s="27" t="n">
        <x:f>ROUND(D323*INDEX('Assumptions'!$C$8:$N$8,1,MONTH(C323))*(1-'Products'!E11*E323),0)</x:f>
        <x:v>211</x:v>
      </x:c>
      <x:c r="G323" s="27" t="n">
        <x:f>F323*SUMIFS('Inventory'!$L$5:$L$100,'Inventory'!$A$5:$A$100,A323,'Inventory'!$B$5:$B$100,C323)</x:f>
        <x:v>211</x:v>
      </x:c>
      <x:c r="H323" s="27" t="n">
        <x:f>'Assumptions'!E195*(1+E323)</x:f>
        <x:v>288.40000000000003</x:v>
      </x:c>
      <x:c r="I323" s="27" t="n">
        <x:f>G323*H323</x:f>
        <x:v>60852.40000000001</x:v>
      </x:c>
      <x:c r="J323" s="27" t="n">
        <x:f>'Products'!D11*INDEX('Assumptions'!$C$16:$N$16,1,MONTH(C323))</x:f>
        <x:v>176.46</x:v>
      </x:c>
      <x:c r="K323" s="27" t="n">
        <x:f>G323*J323</x:f>
        <x:v>37233.060000000005</x:v>
      </x:c>
      <x:c r="L323" s="27" t="n">
        <x:f>I323-K323</x:f>
        <x:v>23619.340000000004</x:v>
      </x:c>
    </x:row>
    <x:row r="324" ht="23" customHeight="1">
      <x:c r="A324" s="34" t="str">
        <x:v>0007</x:v>
      </x:c>
      <x:c r="B324" s="7" t="str">
        <x:v>West</x:v>
      </x:c>
      <x:c r="C324" s="14" t="d">
        <x:v>2026-08-01T00:00:00.000Z</x:v>
      </x:c>
      <x:c r="D324" s="27" t="n">
        <x:f>'Assumptions'!D196</x:f>
        <x:v>233</x:v>
      </x:c>
      <x:c r="E324" s="28" t="n">
        <x:f>INDEX('Assumptions'!$C$12:$N$12,1,MONTH(C324))</x:f>
        <x:v>0.03</x:v>
      </x:c>
      <x:c r="F324" s="27" t="n">
        <x:f>ROUND(D324*INDEX('Assumptions'!$C$8:$N$8,1,MONTH(C324))*(1-'Products'!E11*E324),0)</x:f>
        <x:v>226</x:v>
      </x:c>
      <x:c r="G324" s="27" t="n">
        <x:f>F324*SUMIFS('Inventory'!$L$5:$L$100,'Inventory'!$A$5:$A$100,A324,'Inventory'!$B$5:$B$100,C324)</x:f>
        <x:v>226</x:v>
      </x:c>
      <x:c r="H324" s="27" t="n">
        <x:f>'Assumptions'!E196*(1+E324)</x:f>
        <x:v>288.40000000000003</x:v>
      </x:c>
      <x:c r="I324" s="27" t="n">
        <x:f>G324*H324</x:f>
        <x:v>65178.40000000001</x:v>
      </x:c>
      <x:c r="J324" s="27" t="n">
        <x:f>'Products'!D11*INDEX('Assumptions'!$C$16:$N$16,1,MONTH(C324))</x:f>
        <x:v>176.46</x:v>
      </x:c>
      <x:c r="K324" s="27" t="n">
        <x:f>G324*J324</x:f>
        <x:v>39879.96</x:v>
      </x:c>
      <x:c r="L324" s="27" t="n">
        <x:f>I324-K324</x:f>
        <x:v>25298.44000000001</x:v>
      </x:c>
    </x:row>
    <x:row r="325" ht="23" customHeight="1">
      <x:c r="A325" s="34" t="str">
        <x:v>0007</x:v>
      </x:c>
      <x:c r="B325" s="7" t="str">
        <x:v>West</x:v>
      </x:c>
      <x:c r="C325" s="14" t="d">
        <x:v>2026-09-01T00:00:00.000Z</x:v>
      </x:c>
      <x:c r="D325" s="27" t="n">
        <x:f>'Assumptions'!D197</x:f>
        <x:v>248</x:v>
      </x:c>
      <x:c r="E325" s="28" t="n">
        <x:f>INDEX('Assumptions'!$C$12:$N$12,1,MONTH(C325))</x:f>
        <x:v>0.03</x:v>
      </x:c>
      <x:c r="F325" s="27" t="n">
        <x:f>ROUND(D325*INDEX('Assumptions'!$C$8:$N$8,1,MONTH(C325))*(1-'Products'!E11*E325),0)</x:f>
        <x:v>240</x:v>
      </x:c>
      <x:c r="G325" s="27" t="n">
        <x:f>F325*SUMIFS('Inventory'!$L$5:$L$100,'Inventory'!$A$5:$A$100,A325,'Inventory'!$B$5:$B$100,C325)</x:f>
        <x:v>211.59914712153517</x:v>
      </x:c>
      <x:c r="H325" s="27" t="n">
        <x:f>'Assumptions'!E197*(1+E325)</x:f>
        <x:v>288.40000000000003</x:v>
      </x:c>
      <x:c r="I325" s="27" t="n">
        <x:f>G325*H325</x:f>
        <x:v>61025.19402985075</x:v>
      </x:c>
      <x:c r="J325" s="27" t="n">
        <x:f>'Products'!D11*INDEX('Assumptions'!$C$16:$N$16,1,MONTH(C325))</x:f>
        <x:v>176.46</x:v>
      </x:c>
      <x:c r="K325" s="27" t="n">
        <x:f>G325*J325</x:f>
        <x:v>37338.7855010661</x:v>
      </x:c>
      <x:c r="L325" s="27" t="n">
        <x:f>I325-K325</x:f>
        <x:v>23686.408528784646</x:v>
      </x:c>
    </x:row>
    <x:row r="326" ht="23" customHeight="1">
      <x:c r="A326" s="34" t="str">
        <x:v>0007</x:v>
      </x:c>
      <x:c r="B326" s="7" t="str">
        <x:v>West</x:v>
      </x:c>
      <x:c r="C326" s="14" t="d">
        <x:v>2026-10-01T00:00:00.000Z</x:v>
      </x:c>
      <x:c r="D326" s="27" t="n">
        <x:f>'Assumptions'!D198</x:f>
        <x:v>263</x:v>
      </x:c>
      <x:c r="E326" s="28" t="n">
        <x:f>INDEX('Assumptions'!$C$12:$N$12,1,MONTH(C326))</x:f>
        <x:v>0.03</x:v>
      </x:c>
      <x:c r="F326" s="27" t="n">
        <x:f>ROUND(D326*INDEX('Assumptions'!$C$8:$N$8,1,MONTH(C326))*(1-'Products'!E11*E326),0)</x:f>
        <x:v>255</x:v>
      </x:c>
      <x:c r="G326" s="27" t="n">
        <x:f>F326*SUMIFS('Inventory'!$L$5:$L$100,'Inventory'!$A$5:$A$100,A326,'Inventory'!$B$5:$B$100,C326)</x:f>
        <x:v>127.37211634904713</x:v>
      </x:c>
      <x:c r="H326" s="27" t="n">
        <x:f>'Assumptions'!E198*(1+E326)</x:f>
        <x:v>288.40000000000003</x:v>
      </x:c>
      <x:c r="I326" s="27" t="n">
        <x:f>G326*H326</x:f>
        <x:v>36734.1183550652</x:v>
      </x:c>
      <x:c r="J326" s="27" t="n">
        <x:f>'Products'!D11*INDEX('Assumptions'!$C$16:$N$16,1,MONTH(C326))</x:f>
        <x:v>176.46</x:v>
      </x:c>
      <x:c r="K326" s="27" t="n">
        <x:f>G326*J326</x:f>
        <x:v>22476.083650952856</x:v>
      </x:c>
      <x:c r="L326" s="27" t="n">
        <x:f>I326-K326</x:f>
        <x:v>14258.034704112342</x:v>
      </x:c>
    </x:row>
    <x:row r="327" ht="23" customHeight="1">
      <x:c r="A327" s="34" t="str">
        <x:v>0007</x:v>
      </x:c>
      <x:c r="B327" s="7" t="str">
        <x:v>West</x:v>
      </x:c>
      <x:c r="C327" s="14" t="d">
        <x:v>2026-11-01T00:00:00.000Z</x:v>
      </x:c>
      <x:c r="D327" s="27" t="n">
        <x:f>'Assumptions'!D199</x:f>
        <x:v>278</x:v>
      </x:c>
      <x:c r="E327" s="28" t="n">
        <x:f>INDEX('Assumptions'!$C$12:$N$12,1,MONTH(C327))</x:f>
        <x:v>0.03</x:v>
      </x:c>
      <x:c r="F327" s="27" t="n">
        <x:f>ROUND(D327*INDEX('Assumptions'!$C$8:$N$8,1,MONTH(C327))*(1-'Products'!E11*E327),0)</x:f>
        <x:v>269</x:v>
      </x:c>
      <x:c r="G327" s="27" t="n">
        <x:f>F327*SUMIFS('Inventory'!$L$5:$L$100,'Inventory'!$A$5:$A$100,A327,'Inventory'!$B$5:$B$100,C327)</x:f>
        <x:v>127.09867172675521</x:v>
      </x:c>
      <x:c r="H327" s="27" t="n">
        <x:f>'Assumptions'!E199*(1+E327)</x:f>
        <x:v>288.40000000000003</x:v>
      </x:c>
      <x:c r="I327" s="27" t="n">
        <x:f>G327*H327</x:f>
        <x:v>36655.25692599621</x:v>
      </x:c>
      <x:c r="J327" s="27" t="n">
        <x:f>'Products'!D11*INDEX('Assumptions'!$C$16:$N$16,1,MONTH(C327))</x:f>
        <x:v>176.46</x:v>
      </x:c>
      <x:c r="K327" s="27" t="n">
        <x:f>G327*J327</x:f>
        <x:v>22427.831612903225</x:v>
      </x:c>
      <x:c r="L327" s="27" t="n">
        <x:f>I327-K327</x:f>
        <x:v>14227.425313092986</x:v>
      </x:c>
    </x:row>
    <x:row r="328" ht="23" customHeight="1">
      <x:c r="A328" s="34" t="str">
        <x:v>0007</x:v>
      </x:c>
      <x:c r="B328" s="7" t="str">
        <x:v>West</x:v>
      </x:c>
      <x:c r="C328" s="14" t="d">
        <x:v>2026-12-01T00:00:00.000Z</x:v>
      </x:c>
      <x:c r="D328" s="27" t="n">
        <x:f>'Assumptions'!D200</x:f>
        <x:v>293</x:v>
      </x:c>
      <x:c r="E328" s="28" t="n">
        <x:f>INDEX('Assumptions'!$C$12:$N$12,1,MONTH(C328))</x:f>
        <x:v>0.03</x:v>
      </x:c>
      <x:c r="F328" s="27" t="n">
        <x:f>ROUND(D328*INDEX('Assumptions'!$C$8:$N$8,1,MONTH(C328))*(1-'Products'!E11*E328),0)</x:f>
        <x:v>284</x:v>
      </x:c>
      <x:c r="G328" s="27" t="n">
        <x:f>F328*SUMIFS('Inventory'!$L$5:$L$100,'Inventory'!$A$5:$A$100,A328,'Inventory'!$B$5:$B$100,C328)</x:f>
        <x:v>127.07277628032345</x:v>
      </x:c>
      <x:c r="H328" s="27" t="n">
        <x:f>'Assumptions'!E200*(1+E328)</x:f>
        <x:v>288.40000000000003</x:v>
      </x:c>
      <x:c r="I328" s="27" t="n">
        <x:f>G328*H328</x:f>
        <x:v>36647.788679245285</x:v>
      </x:c>
      <x:c r="J328" s="27" t="n">
        <x:f>'Products'!D11*INDEX('Assumptions'!$C$16:$N$16,1,MONTH(C328))</x:f>
        <x:v>176.46</x:v>
      </x:c>
      <x:c r="K328" s="27" t="n">
        <x:f>G328*J328</x:f>
        <x:v>22423.262102425877</x:v>
      </x:c>
      <x:c r="L328" s="27" t="n">
        <x:f>I328-K328</x:f>
        <x:v>14224.526576819408</x:v>
      </x:c>
    </x:row>
    <x:row r="329" ht="23" customHeight="1">
      <x:c r="A329" s="34" t="str">
        <x:v>0007</x:v>
      </x:c>
      <x:c r="B329" s="7" t="str">
        <x:v>North</x:v>
      </x:c>
      <x:c r="C329" s="14" t="d">
        <x:v>2026-01-01T00:00:00.000Z</x:v>
      </x:c>
      <x:c r="D329" s="27" t="n">
        <x:f>SUMIFS('Orders'!$F$5:$F$3004,'Orders'!$D$5:$D$3004,A329,'Orders'!$E$5:$E$3004,B329,'Orders'!$C$5:$C$3004,C329)</x:f>
        <x:v>67</x:v>
      </x:c>
      <x:c r="E329" s="28" t="n">
        <x:f>0</x:f>
        <x:v>0</x:v>
      </x:c>
      <x:c r="F329" s="27" t="n">
        <x:f>D329</x:f>
        <x:v>67</x:v>
      </x:c>
      <x:c r="G329" s="27" t="n">
        <x:f>F329</x:f>
        <x:v>67</x:v>
      </x:c>
      <x:c r="H329" s="27" t="n">
        <x:f>IF(F329=0,0,I329/F329)</x:f>
        <x:v>280</x:v>
      </x:c>
      <x:c r="I329" s="27" t="n">
        <x:f>SUMIFS('Orders'!$I$5:$I$3004,'Orders'!$D$5:$D$3004,A329,'Orders'!$E$5:$E$3004,B329,'Orders'!$C$5:$C$3004,C329)</x:f>
        <x:v>18760</x:v>
      </x:c>
      <x:c r="J329" s="27" t="n">
        <x:f>'Products'!D11*INDEX('Assumptions'!$C$16:$N$16,1,MONTH(C329))</x:f>
        <x:v>173</x:v>
      </x:c>
      <x:c r="K329" s="27" t="n">
        <x:f>G329*J329</x:f>
        <x:v>11591</x:v>
      </x:c>
      <x:c r="L329" s="27" t="n">
        <x:f>I329-K329</x:f>
        <x:v>7169</x:v>
      </x:c>
    </x:row>
    <x:row r="330" ht="23" customHeight="1">
      <x:c r="A330" s="34" t="str">
        <x:v>0007</x:v>
      </x:c>
      <x:c r="B330" s="7" t="str">
        <x:v>North</x:v>
      </x:c>
      <x:c r="C330" s="14" t="d">
        <x:v>2026-02-01T00:00:00.000Z</x:v>
      </x:c>
      <x:c r="D330" s="27" t="n">
        <x:f>SUMIFS('Orders'!$F$5:$F$3004,'Orders'!$D$5:$D$3004,A330,'Orders'!$E$5:$E$3004,B330,'Orders'!$C$5:$C$3004,C330)</x:f>
        <x:v>62</x:v>
      </x:c>
      <x:c r="E330" s="28" t="n">
        <x:f>0</x:f>
        <x:v>0</x:v>
      </x:c>
      <x:c r="F330" s="27" t="n">
        <x:f>D330</x:f>
        <x:v>62</x:v>
      </x:c>
      <x:c r="G330" s="27" t="n">
        <x:f>F330</x:f>
        <x:v>62</x:v>
      </x:c>
      <x:c r="H330" s="27" t="n">
        <x:f>IF(F330=0,0,I330/F330)</x:f>
        <x:v>266</x:v>
      </x:c>
      <x:c r="I330" s="27" t="n">
        <x:f>SUMIFS('Orders'!$I$5:$I$3004,'Orders'!$D$5:$D$3004,A330,'Orders'!$E$5:$E$3004,B330,'Orders'!$C$5:$C$3004,C330)</x:f>
        <x:v>16492</x:v>
      </x:c>
      <x:c r="J330" s="27" t="n">
        <x:f>'Products'!D11*INDEX('Assumptions'!$C$16:$N$16,1,MONTH(C330))</x:f>
        <x:v>173</x:v>
      </x:c>
      <x:c r="K330" s="27" t="n">
        <x:f>G330*J330</x:f>
        <x:v>10726</x:v>
      </x:c>
      <x:c r="L330" s="27" t="n">
        <x:f>I330-K330</x:f>
        <x:v>5766</x:v>
      </x:c>
    </x:row>
    <x:row r="331" ht="23" customHeight="1">
      <x:c r="A331" s="34" t="str">
        <x:v>0007</x:v>
      </x:c>
      <x:c r="B331" s="7" t="str">
        <x:v>North</x:v>
      </x:c>
      <x:c r="C331" s="14" t="d">
        <x:v>2026-03-01T00:00:00.000Z</x:v>
      </x:c>
      <x:c r="D331" s="27" t="n">
        <x:f>SUMIFS('Orders'!$F$5:$F$3004,'Orders'!$D$5:$D$3004,A331,'Orders'!$E$5:$E$3004,B331,'Orders'!$C$5:$C$3004,C331)</x:f>
        <x:v>73</x:v>
      </x:c>
      <x:c r="E331" s="28" t="n">
        <x:f>0</x:f>
        <x:v>0</x:v>
      </x:c>
      <x:c r="F331" s="27" t="n">
        <x:f>D331</x:f>
        <x:v>73</x:v>
      </x:c>
      <x:c r="G331" s="27" t="n">
        <x:f>F331</x:f>
        <x:v>73</x:v>
      </x:c>
      <x:c r="H331" s="27" t="n">
        <x:f>IF(F331=0,0,I331/F331)</x:f>
        <x:v>274.40000000000003</x:v>
      </x:c>
      <x:c r="I331" s="27" t="n">
        <x:f>SUMIFS('Orders'!$I$5:$I$3004,'Orders'!$D$5:$D$3004,A331,'Orders'!$E$5:$E$3004,B331,'Orders'!$C$5:$C$3004,C331)</x:f>
        <x:v>20031.200000000004</x:v>
      </x:c>
      <x:c r="J331" s="27" t="n">
        <x:f>'Products'!D11*INDEX('Assumptions'!$C$16:$N$16,1,MONTH(C331))</x:f>
        <x:v>173</x:v>
      </x:c>
      <x:c r="K331" s="27" t="n">
        <x:f>G331*J331</x:f>
        <x:v>12629</x:v>
      </x:c>
      <x:c r="L331" s="27" t="n">
        <x:f>I331-K331</x:f>
        <x:v>7402.200000000004</x:v>
      </x:c>
    </x:row>
    <x:row r="332" ht="23" customHeight="1">
      <x:c r="A332" s="34" t="str">
        <x:v>0007</x:v>
      </x:c>
      <x:c r="B332" s="7" t="str">
        <x:v>North</x:v>
      </x:c>
      <x:c r="C332" s="14" t="d">
        <x:v>2026-04-01T00:00:00.000Z</x:v>
      </x:c>
      <x:c r="D332" s="27" t="n">
        <x:f>SUMIFS('Orders'!$F$5:$F$3004,'Orders'!$D$5:$D$3004,A332,'Orders'!$E$5:$E$3004,B332,'Orders'!$C$5:$C$3004,C332)</x:f>
        <x:v>59</x:v>
      </x:c>
      <x:c r="E332" s="28" t="n">
        <x:f>0</x:f>
        <x:v>0</x:v>
      </x:c>
      <x:c r="F332" s="27" t="n">
        <x:f>D332</x:f>
        <x:v>59</x:v>
      </x:c>
      <x:c r="G332" s="27" t="n">
        <x:f>F332</x:f>
        <x:v>59</x:v>
      </x:c>
      <x:c r="H332" s="27" t="n">
        <x:f>IF(F332=0,0,I332/F332)</x:f>
        <x:v>280</x:v>
      </x:c>
      <x:c r="I332" s="27" t="n">
        <x:f>SUMIFS('Orders'!$I$5:$I$3004,'Orders'!$D$5:$D$3004,A332,'Orders'!$E$5:$E$3004,B332,'Orders'!$C$5:$C$3004,C332)</x:f>
        <x:v>16520</x:v>
      </x:c>
      <x:c r="J332" s="27" t="n">
        <x:f>'Products'!D11*INDEX('Assumptions'!$C$16:$N$16,1,MONTH(C332))</x:f>
        <x:v>173</x:v>
      </x:c>
      <x:c r="K332" s="27" t="n">
        <x:f>G332*J332</x:f>
        <x:v>10207</x:v>
      </x:c>
      <x:c r="L332" s="27" t="n">
        <x:f>I332-K332</x:f>
        <x:v>6313</x:v>
      </x:c>
    </x:row>
    <x:row r="333" ht="23" customHeight="1">
      <x:c r="A333" s="34" t="str">
        <x:v>0007</x:v>
      </x:c>
      <x:c r="B333" s="7" t="str">
        <x:v>North</x:v>
      </x:c>
      <x:c r="C333" s="14" t="d">
        <x:v>2026-05-01T00:00:00.000Z</x:v>
      </x:c>
      <x:c r="D333" s="27" t="n">
        <x:f>SUMIFS('Orders'!$F$5:$F$3004,'Orders'!$D$5:$D$3004,A333,'Orders'!$E$5:$E$3004,B333,'Orders'!$C$5:$C$3004,C333)</x:f>
        <x:v>63</x:v>
      </x:c>
      <x:c r="E333" s="28" t="n">
        <x:f>0</x:f>
        <x:v>0</x:v>
      </x:c>
      <x:c r="F333" s="27" t="n">
        <x:f>D333</x:f>
        <x:v>63</x:v>
      </x:c>
      <x:c r="G333" s="27" t="n">
        <x:f>F333</x:f>
        <x:v>63</x:v>
      </x:c>
      <x:c r="H333" s="27" t="n">
        <x:f>IF(F333=0,0,I333/F333)</x:f>
        <x:v>266</x:v>
      </x:c>
      <x:c r="I333" s="27" t="n">
        <x:f>SUMIFS('Orders'!$I$5:$I$3004,'Orders'!$D$5:$D$3004,A333,'Orders'!$E$5:$E$3004,B333,'Orders'!$C$5:$C$3004,C333)</x:f>
        <x:v>16758</x:v>
      </x:c>
      <x:c r="J333" s="27" t="n">
        <x:f>'Products'!D11*INDEX('Assumptions'!$C$16:$N$16,1,MONTH(C333))</x:f>
        <x:v>173</x:v>
      </x:c>
      <x:c r="K333" s="27" t="n">
        <x:f>G333*J333</x:f>
        <x:v>10899</x:v>
      </x:c>
      <x:c r="L333" s="27" t="n">
        <x:f>I333-K333</x:f>
        <x:v>5859</x:v>
      </x:c>
    </x:row>
    <x:row r="334" ht="23" customHeight="1">
      <x:c r="A334" s="34" t="str">
        <x:v>0007</x:v>
      </x:c>
      <x:c r="B334" s="7" t="str">
        <x:v>North</x:v>
      </x:c>
      <x:c r="C334" s="14" t="d">
        <x:v>2026-06-01T00:00:00.000Z</x:v>
      </x:c>
      <x:c r="D334" s="27" t="n">
        <x:f>SUMIFS('Orders'!$F$5:$F$3004,'Orders'!$D$5:$D$3004,A334,'Orders'!$E$5:$E$3004,B334,'Orders'!$C$5:$C$3004,C334)</x:f>
        <x:v>50</x:v>
      </x:c>
      <x:c r="E334" s="28" t="n">
        <x:f>0</x:f>
        <x:v>0</x:v>
      </x:c>
      <x:c r="F334" s="27" t="n">
        <x:f>D334</x:f>
        <x:v>50</x:v>
      </x:c>
      <x:c r="G334" s="27" t="n">
        <x:f>F334</x:f>
        <x:v>50</x:v>
      </x:c>
      <x:c r="H334" s="27" t="n">
        <x:f>IF(F334=0,0,I334/F334)</x:f>
        <x:v>274.4</x:v>
      </x:c>
      <x:c r="I334" s="27" t="n">
        <x:f>SUMIFS('Orders'!$I$5:$I$3004,'Orders'!$D$5:$D$3004,A334,'Orders'!$E$5:$E$3004,B334,'Orders'!$C$5:$C$3004,C334)</x:f>
        <x:v>13719.999999999998</x:v>
      </x:c>
      <x:c r="J334" s="27" t="n">
        <x:f>'Products'!D11*INDEX('Assumptions'!$C$16:$N$16,1,MONTH(C334))</x:f>
        <x:v>173</x:v>
      </x:c>
      <x:c r="K334" s="27" t="n">
        <x:f>G334*J334</x:f>
        <x:v>8650</x:v>
      </x:c>
      <x:c r="L334" s="27" t="n">
        <x:f>I334-K334</x:f>
        <x:v>5069.999999999998</x:v>
      </x:c>
    </x:row>
    <x:row r="335" ht="23" customHeight="1">
      <x:c r="A335" s="34" t="str">
        <x:v>0007</x:v>
      </x:c>
      <x:c r="B335" s="7" t="str">
        <x:v>North</x:v>
      </x:c>
      <x:c r="C335" s="14" t="d">
        <x:v>2026-07-01T00:00:00.000Z</x:v>
      </x:c>
      <x:c r="D335" s="27" t="n">
        <x:f>'Assumptions'!D201</x:f>
        <x:v>230</x:v>
      </x:c>
      <x:c r="E335" s="28" t="n">
        <x:f>INDEX('Assumptions'!$C$12:$N$12,1,MONTH(C335))</x:f>
        <x:v>0.03</x:v>
      </x:c>
      <x:c r="F335" s="27" t="n">
        <x:f>ROUND(D335*INDEX('Assumptions'!$C$8:$N$8,1,MONTH(C335))*(1-'Products'!E11*E335),0)</x:f>
        <x:v>223</x:v>
      </x:c>
      <x:c r="G335" s="27" t="n">
        <x:f>F335*SUMIFS('Inventory'!$L$5:$L$100,'Inventory'!$A$5:$A$100,A335,'Inventory'!$B$5:$B$100,C335)</x:f>
        <x:v>223</x:v>
      </x:c>
      <x:c r="H335" s="27" t="n">
        <x:f>'Assumptions'!E201*(1+E335)</x:f>
        <x:v>288.40000000000003</x:v>
      </x:c>
      <x:c r="I335" s="27" t="n">
        <x:f>G335*H335</x:f>
        <x:v>64313.200000000004</x:v>
      </x:c>
      <x:c r="J335" s="27" t="n">
        <x:f>'Products'!D11*INDEX('Assumptions'!$C$16:$N$16,1,MONTH(C335))</x:f>
        <x:v>176.46</x:v>
      </x:c>
      <x:c r="K335" s="27" t="n">
        <x:f>G335*J335</x:f>
        <x:v>39350.58</x:v>
      </x:c>
      <x:c r="L335" s="27" t="n">
        <x:f>I335-K335</x:f>
        <x:v>24962.620000000003</x:v>
      </x:c>
    </x:row>
    <x:row r="336" ht="23" customHeight="1">
      <x:c r="A336" s="34" t="str">
        <x:v>0007</x:v>
      </x:c>
      <x:c r="B336" s="7" t="str">
        <x:v>North</x:v>
      </x:c>
      <x:c r="C336" s="14" t="d">
        <x:v>2026-08-01T00:00:00.000Z</x:v>
      </x:c>
      <x:c r="D336" s="27" t="n">
        <x:f>'Assumptions'!D202</x:f>
        <x:v>245</x:v>
      </x:c>
      <x:c r="E336" s="28" t="n">
        <x:f>INDEX('Assumptions'!$C$12:$N$12,1,MONTH(C336))</x:f>
        <x:v>0.03</x:v>
      </x:c>
      <x:c r="F336" s="27" t="n">
        <x:f>ROUND(D336*INDEX('Assumptions'!$C$8:$N$8,1,MONTH(C336))*(1-'Products'!E11*E336),0)</x:f>
        <x:v>238</x:v>
      </x:c>
      <x:c r="G336" s="27" t="n">
        <x:f>F336*SUMIFS('Inventory'!$L$5:$L$100,'Inventory'!$A$5:$A$100,A336,'Inventory'!$B$5:$B$100,C336)</x:f>
        <x:v>238</x:v>
      </x:c>
      <x:c r="H336" s="27" t="n">
        <x:f>'Assumptions'!E202*(1+E336)</x:f>
        <x:v>288.40000000000003</x:v>
      </x:c>
      <x:c r="I336" s="27" t="n">
        <x:f>G336*H336</x:f>
        <x:v>68639.20000000001</x:v>
      </x:c>
      <x:c r="J336" s="27" t="n">
        <x:f>'Products'!D11*INDEX('Assumptions'!$C$16:$N$16,1,MONTH(C336))</x:f>
        <x:v>176.46</x:v>
      </x:c>
      <x:c r="K336" s="27" t="n">
        <x:f>G336*J336</x:f>
        <x:v>41997.48</x:v>
      </x:c>
      <x:c r="L336" s="27" t="n">
        <x:f>I336-K336</x:f>
        <x:v>26641.72000000001</x:v>
      </x:c>
    </x:row>
    <x:row r="337" ht="23" customHeight="1">
      <x:c r="A337" s="34" t="str">
        <x:v>0007</x:v>
      </x:c>
      <x:c r="B337" s="7" t="str">
        <x:v>North</x:v>
      </x:c>
      <x:c r="C337" s="14" t="d">
        <x:v>2026-09-01T00:00:00.000Z</x:v>
      </x:c>
      <x:c r="D337" s="27" t="n">
        <x:f>'Assumptions'!D203</x:f>
        <x:v>260</x:v>
      </x:c>
      <x:c r="E337" s="28" t="n">
        <x:f>INDEX('Assumptions'!$C$12:$N$12,1,MONTH(C337))</x:f>
        <x:v>0.03</x:v>
      </x:c>
      <x:c r="F337" s="27" t="n">
        <x:f>ROUND(D337*INDEX('Assumptions'!$C$8:$N$8,1,MONTH(C337))*(1-'Products'!E11*E337),0)</x:f>
        <x:v>252</x:v>
      </x:c>
      <x:c r="G337" s="27" t="n">
        <x:f>F337*SUMIFS('Inventory'!$L$5:$L$100,'Inventory'!$A$5:$A$100,A337,'Inventory'!$B$5:$B$100,C337)</x:f>
        <x:v>222.17910447761193</x:v>
      </x:c>
      <x:c r="H337" s="27" t="n">
        <x:f>'Assumptions'!E203*(1+E337)</x:f>
        <x:v>288.40000000000003</x:v>
      </x:c>
      <x:c r="I337" s="27" t="n">
        <x:f>G337*H337</x:f>
        <x:v>64076.45373134329</x:v>
      </x:c>
      <x:c r="J337" s="27" t="n">
        <x:f>'Products'!D11*INDEX('Assumptions'!$C$16:$N$16,1,MONTH(C337))</x:f>
        <x:v>176.46</x:v>
      </x:c>
      <x:c r="K337" s="27" t="n">
        <x:f>G337*J337</x:f>
        <x:v>39205.7247761194</x:v>
      </x:c>
      <x:c r="L337" s="27" t="n">
        <x:f>I337-K337</x:f>
        <x:v>24870.728955223887</x:v>
      </x:c>
    </x:row>
    <x:row r="338" ht="23" customHeight="1">
      <x:c r="A338" s="34" t="str">
        <x:v>0007</x:v>
      </x:c>
      <x:c r="B338" s="7" t="str">
        <x:v>North</x:v>
      </x:c>
      <x:c r="C338" s="14" t="d">
        <x:v>2026-10-01T00:00:00.000Z</x:v>
      </x:c>
      <x:c r="D338" s="27" t="n">
        <x:f>'Assumptions'!D204</x:f>
        <x:v>275</x:v>
      </x:c>
      <x:c r="E338" s="28" t="n">
        <x:f>INDEX('Assumptions'!$C$12:$N$12,1,MONTH(C338))</x:f>
        <x:v>0.03</x:v>
      </x:c>
      <x:c r="F338" s="27" t="n">
        <x:f>ROUND(D338*INDEX('Assumptions'!$C$8:$N$8,1,MONTH(C338))*(1-'Products'!E11*E338),0)</x:f>
        <x:v>267</x:v>
      </x:c>
      <x:c r="G338" s="27" t="n">
        <x:f>F338*SUMIFS('Inventory'!$L$5:$L$100,'Inventory'!$A$5:$A$100,A338,'Inventory'!$B$5:$B$100,C338)</x:f>
        <x:v>133.36609829488464</x:v>
      </x:c>
      <x:c r="H338" s="27" t="n">
        <x:f>'Assumptions'!E204*(1+E338)</x:f>
        <x:v>288.40000000000003</x:v>
      </x:c>
      <x:c r="I338" s="27" t="n">
        <x:f>G338*H338</x:f>
        <x:v>38462.78274824473</x:v>
      </x:c>
      <x:c r="J338" s="27" t="n">
        <x:f>'Products'!D11*INDEX('Assumptions'!$C$16:$N$16,1,MONTH(C338))</x:f>
        <x:v>176.46</x:v>
      </x:c>
      <x:c r="K338" s="27" t="n">
        <x:f>G338*J338</x:f>
        <x:v>23533.781705115343</x:v>
      </x:c>
      <x:c r="L338" s="27" t="n">
        <x:f>I338-K338</x:f>
        <x:v>14929.001043129389</x:v>
      </x:c>
    </x:row>
    <x:row r="339" ht="23" customHeight="1">
      <x:c r="A339" s="34" t="str">
        <x:v>0007</x:v>
      </x:c>
      <x:c r="B339" s="7" t="str">
        <x:v>North</x:v>
      </x:c>
      <x:c r="C339" s="14" t="d">
        <x:v>2026-11-01T00:00:00.000Z</x:v>
      </x:c>
      <x:c r="D339" s="27" t="n">
        <x:f>'Assumptions'!D205</x:f>
        <x:v>290</x:v>
      </x:c>
      <x:c r="E339" s="28" t="n">
        <x:f>INDEX('Assumptions'!$C$12:$N$12,1,MONTH(C339))</x:f>
        <x:v>0.03</x:v>
      </x:c>
      <x:c r="F339" s="27" t="n">
        <x:f>ROUND(D339*INDEX('Assumptions'!$C$8:$N$8,1,MONTH(C339))*(1-'Products'!E11*E339),0)</x:f>
        <x:v>281</x:v>
      </x:c>
      <x:c r="G339" s="27" t="n">
        <x:f>F339*SUMIFS('Inventory'!$L$5:$L$100,'Inventory'!$A$5:$A$100,A339,'Inventory'!$B$5:$B$100,C339)</x:f>
        <x:v>132.7685009487666</x:v>
      </x:c>
      <x:c r="H339" s="27" t="n">
        <x:f>'Assumptions'!E205*(1+E339)</x:f>
        <x:v>288.40000000000003</x:v>
      </x:c>
      <x:c r="I339" s="27" t="n">
        <x:f>G339*H339</x:f>
        <x:v>38290.43567362429</x:v>
      </x:c>
      <x:c r="J339" s="27" t="n">
        <x:f>'Products'!D11*INDEX('Assumptions'!$C$16:$N$16,1,MONTH(C339))</x:f>
        <x:v>176.46</x:v>
      </x:c>
      <x:c r="K339" s="27" t="n">
        <x:f>G339*J339</x:f>
        <x:v>23428.32967741935</x:v>
      </x:c>
      <x:c r="L339" s="27" t="n">
        <x:f>I339-K339</x:f>
        <x:v>14862.10599620494</x:v>
      </x:c>
    </x:row>
    <x:row r="340" ht="23" customHeight="1">
      <x:c r="A340" s="34" t="str">
        <x:v>0007</x:v>
      </x:c>
      <x:c r="B340" s="7" t="str">
        <x:v>North</x:v>
      </x:c>
      <x:c r="C340" s="14" t="d">
        <x:v>2026-12-01T00:00:00.000Z</x:v>
      </x:c>
      <x:c r="D340" s="27" t="n">
        <x:f>'Assumptions'!D206</x:f>
        <x:v>305</x:v>
      </x:c>
      <x:c r="E340" s="28" t="n">
        <x:f>INDEX('Assumptions'!$C$12:$N$12,1,MONTH(C340))</x:f>
        <x:v>0.03</x:v>
      </x:c>
      <x:c r="F340" s="27" t="n">
        <x:f>ROUND(D340*INDEX('Assumptions'!$C$8:$N$8,1,MONTH(C340))*(1-'Products'!E11*E340),0)</x:f>
        <x:v>296</x:v>
      </x:c>
      <x:c r="G340" s="27" t="n">
        <x:f>F340*SUMIFS('Inventory'!$L$5:$L$100,'Inventory'!$A$5:$A$100,A340,'Inventory'!$B$5:$B$100,C340)</x:f>
        <x:v>132.44204851752022</x:v>
      </x:c>
      <x:c r="H340" s="27" t="n">
        <x:f>'Assumptions'!E206*(1+E340)</x:f>
        <x:v>288.40000000000003</x:v>
      </x:c>
      <x:c r="I340" s="27" t="n">
        <x:f>G340*H340</x:f>
        <x:v>38196.28679245283</x:v>
      </x:c>
      <x:c r="J340" s="27" t="n">
        <x:f>'Products'!D11*INDEX('Assumptions'!$C$16:$N$16,1,MONTH(C340))</x:f>
        <x:v>176.46</x:v>
      </x:c>
      <x:c r="K340" s="27" t="n">
        <x:f>G340*J340</x:f>
        <x:v>23370.72388140162</x:v>
      </x:c>
      <x:c r="L340" s="27" t="n">
        <x:f>I340-K340</x:f>
        <x:v>14825.562911051213</x:v>
      </x:c>
    </x:row>
    <x:row r="341" ht="23" customHeight="1">
      <x:c r="A341" s="34" t="str">
        <x:v>0008</x:v>
      </x:c>
      <x:c r="B341" s="7" t="str">
        <x:v>Central</x:v>
      </x:c>
      <x:c r="C341" s="14" t="d">
        <x:v>2026-01-01T00:00:00.000Z</x:v>
      </x:c>
      <x:c r="D341" s="27" t="n">
        <x:f>SUMIFS('Orders'!$F$5:$F$3004,'Orders'!$D$5:$D$3004,A341,'Orders'!$E$5:$E$3004,B341,'Orders'!$C$5:$C$3004,C341)</x:f>
        <x:v>62</x:v>
      </x:c>
      <x:c r="E341" s="28" t="n">
        <x:f>0</x:f>
        <x:v>0</x:v>
      </x:c>
      <x:c r="F341" s="27" t="n">
        <x:f>D341</x:f>
        <x:v>62</x:v>
      </x:c>
      <x:c r="G341" s="27" t="n">
        <x:f>F341</x:f>
        <x:v>62</x:v>
      </x:c>
      <x:c r="H341" s="27" t="n">
        <x:f>IF(F341=0,0,I341/F341)</x:f>
        <x:v>294</x:v>
      </x:c>
      <x:c r="I341" s="27" t="n">
        <x:f>SUMIFS('Orders'!$I$5:$I$3004,'Orders'!$D$5:$D$3004,A341,'Orders'!$E$5:$E$3004,B341,'Orders'!$C$5:$C$3004,C341)</x:f>
        <x:v>18228</x:v>
      </x:c>
      <x:c r="J341" s="27" t="n">
        <x:f>'Products'!D12*INDEX('Assumptions'!$C$16:$N$16,1,MONTH(C341))</x:f>
        <x:v>186</x:v>
      </x:c>
      <x:c r="K341" s="27" t="n">
        <x:f>G341*J341</x:f>
        <x:v>11532</x:v>
      </x:c>
      <x:c r="L341" s="27" t="n">
        <x:f>I341-K341</x:f>
        <x:v>6696</x:v>
      </x:c>
    </x:row>
    <x:row r="342" ht="23" customHeight="1">
      <x:c r="A342" s="34" t="str">
        <x:v>0008</x:v>
      </x:c>
      <x:c r="B342" s="7" t="str">
        <x:v>Central</x:v>
      </x:c>
      <x:c r="C342" s="14" t="d">
        <x:v>2026-02-01T00:00:00.000Z</x:v>
      </x:c>
      <x:c r="D342" s="27" t="n">
        <x:f>SUMIFS('Orders'!$F$5:$F$3004,'Orders'!$D$5:$D$3004,A342,'Orders'!$E$5:$E$3004,B342,'Orders'!$C$5:$C$3004,C342)</x:f>
        <x:v>51</x:v>
      </x:c>
      <x:c r="E342" s="28" t="n">
        <x:f>0</x:f>
        <x:v>0</x:v>
      </x:c>
      <x:c r="F342" s="27" t="n">
        <x:f>D342</x:f>
        <x:v>51</x:v>
      </x:c>
      <x:c r="G342" s="27" t="n">
        <x:f>F342</x:f>
        <x:v>51</x:v>
      </x:c>
      <x:c r="H342" s="27" t="n">
        <x:f>IF(F342=0,0,I342/F342)</x:f>
        <x:v>300</x:v>
      </x:c>
      <x:c r="I342" s="27" t="n">
        <x:f>SUMIFS('Orders'!$I$5:$I$3004,'Orders'!$D$5:$D$3004,A342,'Orders'!$E$5:$E$3004,B342,'Orders'!$C$5:$C$3004,C342)</x:f>
        <x:v>15300</x:v>
      </x:c>
      <x:c r="J342" s="27" t="n">
        <x:f>'Products'!D12*INDEX('Assumptions'!$C$16:$N$16,1,MONTH(C342))</x:f>
        <x:v>186</x:v>
      </x:c>
      <x:c r="K342" s="27" t="n">
        <x:f>G342*J342</x:f>
        <x:v>9486</x:v>
      </x:c>
      <x:c r="L342" s="27" t="n">
        <x:f>I342-K342</x:f>
        <x:v>5814</x:v>
      </x:c>
    </x:row>
    <x:row r="343" ht="23" customHeight="1">
      <x:c r="A343" s="34" t="str">
        <x:v>0008</x:v>
      </x:c>
      <x:c r="B343" s="7" t="str">
        <x:v>Central</x:v>
      </x:c>
      <x:c r="C343" s="14" t="d">
        <x:v>2026-03-01T00:00:00.000Z</x:v>
      </x:c>
      <x:c r="D343" s="27" t="n">
        <x:f>SUMIFS('Orders'!$F$5:$F$3004,'Orders'!$D$5:$D$3004,A343,'Orders'!$E$5:$E$3004,B343,'Orders'!$C$5:$C$3004,C343)</x:f>
        <x:v>49</x:v>
      </x:c>
      <x:c r="E343" s="28" t="n">
        <x:f>0</x:f>
        <x:v>0</x:v>
      </x:c>
      <x:c r="F343" s="27" t="n">
        <x:f>D343</x:f>
        <x:v>49</x:v>
      </x:c>
      <x:c r="G343" s="27" t="n">
        <x:f>F343</x:f>
        <x:v>49</x:v>
      </x:c>
      <x:c r="H343" s="27" t="n">
        <x:f>IF(F343=0,0,I343/F343)</x:f>
        <x:v>285</x:v>
      </x:c>
      <x:c r="I343" s="27" t="n">
        <x:f>SUMIFS('Orders'!$I$5:$I$3004,'Orders'!$D$5:$D$3004,A343,'Orders'!$E$5:$E$3004,B343,'Orders'!$C$5:$C$3004,C343)</x:f>
        <x:v>13965</x:v>
      </x:c>
      <x:c r="J343" s="27" t="n">
        <x:f>'Products'!D12*INDEX('Assumptions'!$C$16:$N$16,1,MONTH(C343))</x:f>
        <x:v>186</x:v>
      </x:c>
      <x:c r="K343" s="27" t="n">
        <x:f>G343*J343</x:f>
        <x:v>9114</x:v>
      </x:c>
      <x:c r="L343" s="27" t="n">
        <x:f>I343-K343</x:f>
        <x:v>4851</x:v>
      </x:c>
    </x:row>
    <x:row r="344" ht="23" customHeight="1">
      <x:c r="A344" s="34" t="str">
        <x:v>0008</x:v>
      </x:c>
      <x:c r="B344" s="7" t="str">
        <x:v>Central</x:v>
      </x:c>
      <x:c r="C344" s="14" t="d">
        <x:v>2026-04-01T00:00:00.000Z</x:v>
      </x:c>
      <x:c r="D344" s="27" t="n">
        <x:f>SUMIFS('Orders'!$F$5:$F$3004,'Orders'!$D$5:$D$3004,A344,'Orders'!$E$5:$E$3004,B344,'Orders'!$C$5:$C$3004,C344)</x:f>
        <x:v>68</x:v>
      </x:c>
      <x:c r="E344" s="28" t="n">
        <x:f>0</x:f>
        <x:v>0</x:v>
      </x:c>
      <x:c r="F344" s="27" t="n">
        <x:f>D344</x:f>
        <x:v>68</x:v>
      </x:c>
      <x:c r="G344" s="27" t="n">
        <x:f>F344</x:f>
        <x:v>68</x:v>
      </x:c>
      <x:c r="H344" s="27" t="n">
        <x:f>IF(F344=0,0,I344/F344)</x:f>
        <x:v>294</x:v>
      </x:c>
      <x:c r="I344" s="27" t="n">
        <x:f>SUMIFS('Orders'!$I$5:$I$3004,'Orders'!$D$5:$D$3004,A344,'Orders'!$E$5:$E$3004,B344,'Orders'!$C$5:$C$3004,C344)</x:f>
        <x:v>19992</x:v>
      </x:c>
      <x:c r="J344" s="27" t="n">
        <x:f>'Products'!D12*INDEX('Assumptions'!$C$16:$N$16,1,MONTH(C344))</x:f>
        <x:v>186</x:v>
      </x:c>
      <x:c r="K344" s="27" t="n">
        <x:f>G344*J344</x:f>
        <x:v>12648</x:v>
      </x:c>
      <x:c r="L344" s="27" t="n">
        <x:f>I344-K344</x:f>
        <x:v>7344</x:v>
      </x:c>
    </x:row>
    <x:row r="345" ht="23" customHeight="1">
      <x:c r="A345" s="34" t="str">
        <x:v>0008</x:v>
      </x:c>
      <x:c r="B345" s="7" t="str">
        <x:v>Central</x:v>
      </x:c>
      <x:c r="C345" s="14" t="d">
        <x:v>2026-05-01T00:00:00.000Z</x:v>
      </x:c>
      <x:c r="D345" s="27" t="n">
        <x:f>SUMIFS('Orders'!$F$5:$F$3004,'Orders'!$D$5:$D$3004,A345,'Orders'!$E$5:$E$3004,B345,'Orders'!$C$5:$C$3004,C345)</x:f>
        <x:v>70</x:v>
      </x:c>
      <x:c r="E345" s="28" t="n">
        <x:f>0</x:f>
        <x:v>0</x:v>
      </x:c>
      <x:c r="F345" s="27" t="n">
        <x:f>D345</x:f>
        <x:v>70</x:v>
      </x:c>
      <x:c r="G345" s="27" t="n">
        <x:f>F345</x:f>
        <x:v>70</x:v>
      </x:c>
      <x:c r="H345" s="27" t="n">
        <x:f>IF(F345=0,0,I345/F345)</x:f>
        <x:v>300</x:v>
      </x:c>
      <x:c r="I345" s="27" t="n">
        <x:f>SUMIFS('Orders'!$I$5:$I$3004,'Orders'!$D$5:$D$3004,A345,'Orders'!$E$5:$E$3004,B345,'Orders'!$C$5:$C$3004,C345)</x:f>
        <x:v>21000</x:v>
      </x:c>
      <x:c r="J345" s="27" t="n">
        <x:f>'Products'!D12*INDEX('Assumptions'!$C$16:$N$16,1,MONTH(C345))</x:f>
        <x:v>186</x:v>
      </x:c>
      <x:c r="K345" s="27" t="n">
        <x:f>G345*J345</x:f>
        <x:v>13020</x:v>
      </x:c>
      <x:c r="L345" s="27" t="n">
        <x:f>I345-K345</x:f>
        <x:v>7980</x:v>
      </x:c>
    </x:row>
    <x:row r="346" ht="23" customHeight="1">
      <x:c r="A346" s="34" t="str">
        <x:v>0008</x:v>
      </x:c>
      <x:c r="B346" s="7" t="str">
        <x:v>Central</x:v>
      </x:c>
      <x:c r="C346" s="14" t="d">
        <x:v>2026-06-01T00:00:00.000Z</x:v>
      </x:c>
      <x:c r="D346" s="27" t="n">
        <x:f>SUMIFS('Orders'!$F$5:$F$3004,'Orders'!$D$5:$D$3004,A346,'Orders'!$E$5:$E$3004,B346,'Orders'!$C$5:$C$3004,C346)</x:f>
        <x:v>70</x:v>
      </x:c>
      <x:c r="E346" s="28" t="n">
        <x:f>0</x:f>
        <x:v>0</x:v>
      </x:c>
      <x:c r="F346" s="27" t="n">
        <x:f>D346</x:f>
        <x:v>70</x:v>
      </x:c>
      <x:c r="G346" s="27" t="n">
        <x:f>F346</x:f>
        <x:v>70</x:v>
      </x:c>
      <x:c r="H346" s="27" t="n">
        <x:f>IF(F346=0,0,I346/F346)</x:f>
        <x:v>285</x:v>
      </x:c>
      <x:c r="I346" s="27" t="n">
        <x:f>SUMIFS('Orders'!$I$5:$I$3004,'Orders'!$D$5:$D$3004,A346,'Orders'!$E$5:$E$3004,B346,'Orders'!$C$5:$C$3004,C346)</x:f>
        <x:v>19950</x:v>
      </x:c>
      <x:c r="J346" s="27" t="n">
        <x:f>'Products'!D12*INDEX('Assumptions'!$C$16:$N$16,1,MONTH(C346))</x:f>
        <x:v>186</x:v>
      </x:c>
      <x:c r="K346" s="27" t="n">
        <x:f>G346*J346</x:f>
        <x:v>13020</x:v>
      </x:c>
      <x:c r="L346" s="27" t="n">
        <x:f>I346-K346</x:f>
        <x:v>6930</x:v>
      </x:c>
    </x:row>
    <x:row r="347" ht="23" customHeight="1">
      <x:c r="A347" s="34" t="str">
        <x:v>0008</x:v>
      </x:c>
      <x:c r="B347" s="7" t="str">
        <x:v>Central</x:v>
      </x:c>
      <x:c r="C347" s="14" t="d">
        <x:v>2026-07-01T00:00:00.000Z</x:v>
      </x:c>
      <x:c r="D347" s="27" t="n">
        <x:f>'Assumptions'!D207</x:f>
        <x:v>203</x:v>
      </x:c>
      <x:c r="E347" s="28" t="n">
        <x:f>INDEX('Assumptions'!$C$12:$N$12,1,MONTH(C347))</x:f>
        <x:v>0.03</x:v>
      </x:c>
      <x:c r="F347" s="27" t="n">
        <x:f>ROUND(D347*INDEX('Assumptions'!$C$8:$N$8,1,MONTH(C347))*(1-'Products'!E12*E347),0)</x:f>
        <x:v>196</x:v>
      </x:c>
      <x:c r="G347" s="27" t="n">
        <x:f>F347*SUMIFS('Inventory'!$L$5:$L$100,'Inventory'!$A$5:$A$100,A347,'Inventory'!$B$5:$B$100,C347)</x:f>
        <x:v>196</x:v>
      </x:c>
      <x:c r="H347" s="27" t="n">
        <x:f>'Assumptions'!E207*(1+E347)</x:f>
        <x:v>309</x:v>
      </x:c>
      <x:c r="I347" s="27" t="n">
        <x:f>G347*H347</x:f>
        <x:v>60564</x:v>
      </x:c>
      <x:c r="J347" s="27" t="n">
        <x:f>'Products'!D12*INDEX('Assumptions'!$C$16:$N$16,1,MONTH(C347))</x:f>
        <x:v>189.72</x:v>
      </x:c>
      <x:c r="K347" s="27" t="n">
        <x:f>G347*J347</x:f>
        <x:v>37185.12</x:v>
      </x:c>
      <x:c r="L347" s="27" t="n">
        <x:f>I347-K347</x:f>
        <x:v>23378.879999999997</x:v>
      </x:c>
    </x:row>
    <x:row r="348" ht="23" customHeight="1">
      <x:c r="A348" s="34" t="str">
        <x:v>0008</x:v>
      </x:c>
      <x:c r="B348" s="7" t="str">
        <x:v>Central</x:v>
      </x:c>
      <x:c r="C348" s="14" t="d">
        <x:v>2026-08-01T00:00:00.000Z</x:v>
      </x:c>
      <x:c r="D348" s="27" t="n">
        <x:f>'Assumptions'!D208</x:f>
        <x:v>218</x:v>
      </x:c>
      <x:c r="E348" s="28" t="n">
        <x:f>INDEX('Assumptions'!$C$12:$N$12,1,MONTH(C348))</x:f>
        <x:v>0.03</x:v>
      </x:c>
      <x:c r="F348" s="27" t="n">
        <x:f>ROUND(D348*INDEX('Assumptions'!$C$8:$N$8,1,MONTH(C348))*(1-'Products'!E12*E348),0)</x:f>
        <x:v>211</x:v>
      </x:c>
      <x:c r="G348" s="27" t="n">
        <x:f>F348*SUMIFS('Inventory'!$L$5:$L$100,'Inventory'!$A$5:$A$100,A348,'Inventory'!$B$5:$B$100,C348)</x:f>
        <x:v>211</x:v>
      </x:c>
      <x:c r="H348" s="27" t="n">
        <x:f>'Assumptions'!E208*(1+E348)</x:f>
        <x:v>309</x:v>
      </x:c>
      <x:c r="I348" s="27" t="n">
        <x:f>G348*H348</x:f>
        <x:v>65199</x:v>
      </x:c>
      <x:c r="J348" s="27" t="n">
        <x:f>'Products'!D12*INDEX('Assumptions'!$C$16:$N$16,1,MONTH(C348))</x:f>
        <x:v>189.72</x:v>
      </x:c>
      <x:c r="K348" s="27" t="n">
        <x:f>G348*J348</x:f>
        <x:v>40030.92</x:v>
      </x:c>
      <x:c r="L348" s="27" t="n">
        <x:f>I348-K348</x:f>
        <x:v>25168.08</x:v>
      </x:c>
    </x:row>
    <x:row r="349" ht="23" customHeight="1">
      <x:c r="A349" s="34" t="str">
        <x:v>0008</x:v>
      </x:c>
      <x:c r="B349" s="7" t="str">
        <x:v>Central</x:v>
      </x:c>
      <x:c r="C349" s="14" t="d">
        <x:v>2026-09-01T00:00:00.000Z</x:v>
      </x:c>
      <x:c r="D349" s="27" t="n">
        <x:f>'Assumptions'!D209</x:f>
        <x:v>233</x:v>
      </x:c>
      <x:c r="E349" s="28" t="n">
        <x:f>INDEX('Assumptions'!$C$12:$N$12,1,MONTH(C349))</x:f>
        <x:v>0.03</x:v>
      </x:c>
      <x:c r="F349" s="27" t="n">
        <x:f>ROUND(D349*INDEX('Assumptions'!$C$8:$N$8,1,MONTH(C349))*(1-'Products'!E12*E349),0)</x:f>
        <x:v>225</x:v>
      </x:c>
      <x:c r="G349" s="27" t="n">
        <x:f>F349*SUMIFS('Inventory'!$L$5:$L$100,'Inventory'!$A$5:$A$100,A349,'Inventory'!$B$5:$B$100,C349)</x:f>
        <x:v>225</x:v>
      </x:c>
      <x:c r="H349" s="27" t="n">
        <x:f>'Assumptions'!E209*(1+E349)</x:f>
        <x:v>309</x:v>
      </x:c>
      <x:c r="I349" s="27" t="n">
        <x:f>G349*H349</x:f>
        <x:v>69525</x:v>
      </x:c>
      <x:c r="J349" s="27" t="n">
        <x:f>'Products'!D12*INDEX('Assumptions'!$C$16:$N$16,1,MONTH(C349))</x:f>
        <x:v>189.72</x:v>
      </x:c>
      <x:c r="K349" s="27" t="n">
        <x:f>G349*J349</x:f>
        <x:v>42687</x:v>
      </x:c>
      <x:c r="L349" s="27" t="n">
        <x:f>I349-K349</x:f>
        <x:v>26838</x:v>
      </x:c>
    </x:row>
    <x:row r="350" ht="23" customHeight="1">
      <x:c r="A350" s="34" t="str">
        <x:v>0008</x:v>
      </x:c>
      <x:c r="B350" s="7" t="str">
        <x:v>Central</x:v>
      </x:c>
      <x:c r="C350" s="14" t="d">
        <x:v>2026-10-01T00:00:00.000Z</x:v>
      </x:c>
      <x:c r="D350" s="27" t="n">
        <x:f>'Assumptions'!D210</x:f>
        <x:v>248</x:v>
      </x:c>
      <x:c r="E350" s="28" t="n">
        <x:f>INDEX('Assumptions'!$C$12:$N$12,1,MONTH(C350))</x:f>
        <x:v>0.03</x:v>
      </x:c>
      <x:c r="F350" s="27" t="n">
        <x:f>ROUND(D350*INDEX('Assumptions'!$C$8:$N$8,1,MONTH(C350))*(1-'Products'!E12*E350),0)</x:f>
        <x:v>240</x:v>
      </x:c>
      <x:c r="G350" s="27" t="n">
        <x:f>F350*SUMIFS('Inventory'!$L$5:$L$100,'Inventory'!$A$5:$A$100,A350,'Inventory'!$B$5:$B$100,C350)</x:f>
        <x:v>230.67055393586006</x:v>
      </x:c>
      <x:c r="H350" s="27" t="n">
        <x:f>'Assumptions'!E210*(1+E350)</x:f>
        <x:v>309</x:v>
      </x:c>
      <x:c r="I350" s="27" t="n">
        <x:f>G350*H350</x:f>
        <x:v>71277.20116618076</x:v>
      </x:c>
      <x:c r="J350" s="27" t="n">
        <x:f>'Products'!D12*INDEX('Assumptions'!$C$16:$N$16,1,MONTH(C350))</x:f>
        <x:v>189.72</x:v>
      </x:c>
      <x:c r="K350" s="27" t="n">
        <x:f>G350*J350</x:f>
        <x:v>43762.81749271137</x:v>
      </x:c>
      <x:c r="L350" s="27" t="n">
        <x:f>I350-K350</x:f>
        <x:v>27514.38367346939</x:v>
      </x:c>
    </x:row>
    <x:row r="351" ht="23" customHeight="1">
      <x:c r="A351" s="34" t="str">
        <x:v>0008</x:v>
      </x:c>
      <x:c r="B351" s="7" t="str">
        <x:v>Central</x:v>
      </x:c>
      <x:c r="C351" s="14" t="d">
        <x:v>2026-11-01T00:00:00.000Z</x:v>
      </x:c>
      <x:c r="D351" s="27" t="n">
        <x:f>'Assumptions'!D211</x:f>
        <x:v>263</x:v>
      </x:c>
      <x:c r="E351" s="28" t="n">
        <x:f>INDEX('Assumptions'!$C$12:$N$12,1,MONTH(C351))</x:f>
        <x:v>0.03</x:v>
      </x:c>
      <x:c r="F351" s="27" t="n">
        <x:f>ROUND(D351*INDEX('Assumptions'!$C$8:$N$8,1,MONTH(C351))*(1-'Products'!E12*E351),0)</x:f>
        <x:v>254</x:v>
      </x:c>
      <x:c r="G351" s="27" t="n">
        <x:f>F351*SUMIFS('Inventory'!$L$5:$L$100,'Inventory'!$A$5:$A$100,A351,'Inventory'!$B$5:$B$100,C351)</x:f>
        <x:v>120.57405703771849</x:v>
      </x:c>
      <x:c r="H351" s="27" t="n">
        <x:f>'Assumptions'!E211*(1+E351)</x:f>
        <x:v>309</x:v>
      </x:c>
      <x:c r="I351" s="27" t="n">
        <x:f>G351*H351</x:f>
        <x:v>37257.38362465501</x:v>
      </x:c>
      <x:c r="J351" s="27" t="n">
        <x:f>'Products'!D12*INDEX('Assumptions'!$C$16:$N$16,1,MONTH(C351))</x:f>
        <x:v>189.72</x:v>
      </x:c>
      <x:c r="K351" s="27" t="n">
        <x:f>G351*J351</x:f>
        <x:v>22875.31010119595</x:v>
      </x:c>
      <x:c r="L351" s="27" t="n">
        <x:f>I351-K351</x:f>
        <x:v>14382.073523459061</x:v>
      </x:c>
    </x:row>
    <x:row r="352" ht="23" customHeight="1">
      <x:c r="A352" s="34" t="str">
        <x:v>0008</x:v>
      </x:c>
      <x:c r="B352" s="7" t="str">
        <x:v>Central</x:v>
      </x:c>
      <x:c r="C352" s="14" t="d">
        <x:v>2026-12-01T00:00:00.000Z</x:v>
      </x:c>
      <x:c r="D352" s="27" t="n">
        <x:f>'Assumptions'!D212</x:f>
        <x:v>278</x:v>
      </x:c>
      <x:c r="E352" s="28" t="n">
        <x:f>INDEX('Assumptions'!$C$12:$N$12,1,MONTH(C352))</x:f>
        <x:v>0.03</x:v>
      </x:c>
      <x:c r="F352" s="27" t="n">
        <x:f>ROUND(D352*INDEX('Assumptions'!$C$8:$N$8,1,MONTH(C352))*(1-'Products'!E12*E352),0)</x:f>
        <x:v>269</x:v>
      </x:c>
      <x:c r="G352" s="27" t="n">
        <x:f>F352*SUMIFS('Inventory'!$L$5:$L$100,'Inventory'!$A$5:$A$100,A352,'Inventory'!$B$5:$B$100,C352)</x:f>
        <x:v>121.12041884816753</x:v>
      </x:c>
      <x:c r="H352" s="27" t="n">
        <x:f>'Assumptions'!E212*(1+E352)</x:f>
        <x:v>309</x:v>
      </x:c>
      <x:c r="I352" s="27" t="n">
        <x:f>G352*H352</x:f>
        <x:v>37426.20942408377</x:v>
      </x:c>
      <x:c r="J352" s="27" t="n">
        <x:f>'Products'!D12*INDEX('Assumptions'!$C$16:$N$16,1,MONTH(C352))</x:f>
        <x:v>189.72</x:v>
      </x:c>
      <x:c r="K352" s="27" t="n">
        <x:f>G352*J352</x:f>
        <x:v>22978.965863874342</x:v>
      </x:c>
      <x:c r="L352" s="27" t="n">
        <x:f>I352-K352</x:f>
        <x:v>14447.243560209427</x:v>
      </x:c>
    </x:row>
    <x:row r="353" ht="23" customHeight="1">
      <x:c r="A353" s="34" t="str">
        <x:v>0008</x:v>
      </x:c>
      <x:c r="B353" s="7" t="str">
        <x:v>East</x:v>
      </x:c>
      <x:c r="C353" s="14" t="d">
        <x:v>2026-01-01T00:00:00.000Z</x:v>
      </x:c>
      <x:c r="D353" s="27" t="n">
        <x:f>SUMIFS('Orders'!$F$5:$F$3004,'Orders'!$D$5:$D$3004,A353,'Orders'!$E$5:$E$3004,B353,'Orders'!$C$5:$C$3004,C353)</x:f>
        <x:v>73</x:v>
      </x:c>
      <x:c r="E353" s="28" t="n">
        <x:f>0</x:f>
        <x:v>0</x:v>
      </x:c>
      <x:c r="F353" s="27" t="n">
        <x:f>D353</x:f>
        <x:v>73</x:v>
      </x:c>
      <x:c r="G353" s="27" t="n">
        <x:f>F353</x:f>
        <x:v>73</x:v>
      </x:c>
      <x:c r="H353" s="27" t="n">
        <x:f>IF(F353=0,0,I353/F353)</x:f>
        <x:v>300</x:v>
      </x:c>
      <x:c r="I353" s="27" t="n">
        <x:f>SUMIFS('Orders'!$I$5:$I$3004,'Orders'!$D$5:$D$3004,A353,'Orders'!$E$5:$E$3004,B353,'Orders'!$C$5:$C$3004,C353)</x:f>
        <x:v>21900</x:v>
      </x:c>
      <x:c r="J353" s="27" t="n">
        <x:f>'Products'!D12*INDEX('Assumptions'!$C$16:$N$16,1,MONTH(C353))</x:f>
        <x:v>186</x:v>
      </x:c>
      <x:c r="K353" s="27" t="n">
        <x:f>G353*J353</x:f>
        <x:v>13578</x:v>
      </x:c>
      <x:c r="L353" s="27" t="n">
        <x:f>I353-K353</x:f>
        <x:v>8322</x:v>
      </x:c>
    </x:row>
    <x:row r="354" ht="23" customHeight="1">
      <x:c r="A354" s="34" t="str">
        <x:v>0008</x:v>
      </x:c>
      <x:c r="B354" s="7" t="str">
        <x:v>East</x:v>
      </x:c>
      <x:c r="C354" s="14" t="d">
        <x:v>2026-02-01T00:00:00.000Z</x:v>
      </x:c>
      <x:c r="D354" s="27" t="n">
        <x:f>SUMIFS('Orders'!$F$5:$F$3004,'Orders'!$D$5:$D$3004,A354,'Orders'!$E$5:$E$3004,B354,'Orders'!$C$5:$C$3004,C354)</x:f>
        <x:v>58</x:v>
      </x:c>
      <x:c r="E354" s="28" t="n">
        <x:f>0</x:f>
        <x:v>0</x:v>
      </x:c>
      <x:c r="F354" s="27" t="n">
        <x:f>D354</x:f>
        <x:v>58</x:v>
      </x:c>
      <x:c r="G354" s="27" t="n">
        <x:f>F354</x:f>
        <x:v>58</x:v>
      </x:c>
      <x:c r="H354" s="27" t="n">
        <x:f>IF(F354=0,0,I354/F354)</x:f>
        <x:v>285</x:v>
      </x:c>
      <x:c r="I354" s="27" t="n">
        <x:f>SUMIFS('Orders'!$I$5:$I$3004,'Orders'!$D$5:$D$3004,A354,'Orders'!$E$5:$E$3004,B354,'Orders'!$C$5:$C$3004,C354)</x:f>
        <x:v>16530</x:v>
      </x:c>
      <x:c r="J354" s="27" t="n">
        <x:f>'Products'!D12*INDEX('Assumptions'!$C$16:$N$16,1,MONTH(C354))</x:f>
        <x:v>186</x:v>
      </x:c>
      <x:c r="K354" s="27" t="n">
        <x:f>G354*J354</x:f>
        <x:v>10788</x:v>
      </x:c>
      <x:c r="L354" s="27" t="n">
        <x:f>I354-K354</x:f>
        <x:v>5742</x:v>
      </x:c>
    </x:row>
    <x:row r="355" ht="23" customHeight="1">
      <x:c r="A355" s="34" t="str">
        <x:v>0008</x:v>
      </x:c>
      <x:c r="B355" s="7" t="str">
        <x:v>East</x:v>
      </x:c>
      <x:c r="C355" s="14" t="d">
        <x:v>2026-03-01T00:00:00.000Z</x:v>
      </x:c>
      <x:c r="D355" s="27" t="n">
        <x:f>SUMIFS('Orders'!$F$5:$F$3004,'Orders'!$D$5:$D$3004,A355,'Orders'!$E$5:$E$3004,B355,'Orders'!$C$5:$C$3004,C355)</x:f>
        <x:v>61</x:v>
      </x:c>
      <x:c r="E355" s="28" t="n">
        <x:f>0</x:f>
        <x:v>0</x:v>
      </x:c>
      <x:c r="F355" s="27" t="n">
        <x:f>D355</x:f>
        <x:v>61</x:v>
      </x:c>
      <x:c r="G355" s="27" t="n">
        <x:f>F355</x:f>
        <x:v>61</x:v>
      </x:c>
      <x:c r="H355" s="27" t="n">
        <x:f>IF(F355=0,0,I355/F355)</x:f>
        <x:v>294</x:v>
      </x:c>
      <x:c r="I355" s="27" t="n">
        <x:f>SUMIFS('Orders'!$I$5:$I$3004,'Orders'!$D$5:$D$3004,A355,'Orders'!$E$5:$E$3004,B355,'Orders'!$C$5:$C$3004,C355)</x:f>
        <x:v>17934</x:v>
      </x:c>
      <x:c r="J355" s="27" t="n">
        <x:f>'Products'!D12*INDEX('Assumptions'!$C$16:$N$16,1,MONTH(C355))</x:f>
        <x:v>186</x:v>
      </x:c>
      <x:c r="K355" s="27" t="n">
        <x:f>G355*J355</x:f>
        <x:v>11346</x:v>
      </x:c>
      <x:c r="L355" s="27" t="n">
        <x:f>I355-K355</x:f>
        <x:v>6588</x:v>
      </x:c>
    </x:row>
    <x:row r="356" ht="23" customHeight="1">
      <x:c r="A356" s="34" t="str">
        <x:v>0008</x:v>
      </x:c>
      <x:c r="B356" s="7" t="str">
        <x:v>East</x:v>
      </x:c>
      <x:c r="C356" s="14" t="d">
        <x:v>2026-04-01T00:00:00.000Z</x:v>
      </x:c>
      <x:c r="D356" s="27" t="n">
        <x:f>SUMIFS('Orders'!$F$5:$F$3004,'Orders'!$D$5:$D$3004,A356,'Orders'!$E$5:$E$3004,B356,'Orders'!$C$5:$C$3004,C356)</x:f>
        <x:v>65</x:v>
      </x:c>
      <x:c r="E356" s="28" t="n">
        <x:f>0</x:f>
        <x:v>0</x:v>
      </x:c>
      <x:c r="F356" s="27" t="n">
        <x:f>D356</x:f>
        <x:v>65</x:v>
      </x:c>
      <x:c r="G356" s="27" t="n">
        <x:f>F356</x:f>
        <x:v>65</x:v>
      </x:c>
      <x:c r="H356" s="27" t="n">
        <x:f>IF(F356=0,0,I356/F356)</x:f>
        <x:v>300</x:v>
      </x:c>
      <x:c r="I356" s="27" t="n">
        <x:f>SUMIFS('Orders'!$I$5:$I$3004,'Orders'!$D$5:$D$3004,A356,'Orders'!$E$5:$E$3004,B356,'Orders'!$C$5:$C$3004,C356)</x:f>
        <x:v>19500</x:v>
      </x:c>
      <x:c r="J356" s="27" t="n">
        <x:f>'Products'!D12*INDEX('Assumptions'!$C$16:$N$16,1,MONTH(C356))</x:f>
        <x:v>186</x:v>
      </x:c>
      <x:c r="K356" s="27" t="n">
        <x:f>G356*J356</x:f>
        <x:v>12090</x:v>
      </x:c>
      <x:c r="L356" s="27" t="n">
        <x:f>I356-K356</x:f>
        <x:v>7410</x:v>
      </x:c>
    </x:row>
    <x:row r="357" ht="23" customHeight="1">
      <x:c r="A357" s="34" t="str">
        <x:v>0008</x:v>
      </x:c>
      <x:c r="B357" s="7" t="str">
        <x:v>East</x:v>
      </x:c>
      <x:c r="C357" s="14" t="d">
        <x:v>2026-05-01T00:00:00.000Z</x:v>
      </x:c>
      <x:c r="D357" s="27" t="n">
        <x:f>SUMIFS('Orders'!$F$5:$F$3004,'Orders'!$D$5:$D$3004,A357,'Orders'!$E$5:$E$3004,B357,'Orders'!$C$5:$C$3004,C357)</x:f>
        <x:v>48</x:v>
      </x:c>
      <x:c r="E357" s="28" t="n">
        <x:f>0</x:f>
        <x:v>0</x:v>
      </x:c>
      <x:c r="F357" s="27" t="n">
        <x:f>D357</x:f>
        <x:v>48</x:v>
      </x:c>
      <x:c r="G357" s="27" t="n">
        <x:f>F357</x:f>
        <x:v>48</x:v>
      </x:c>
      <x:c r="H357" s="27" t="n">
        <x:f>IF(F357=0,0,I357/F357)</x:f>
        <x:v>285</x:v>
      </x:c>
      <x:c r="I357" s="27" t="n">
        <x:f>SUMIFS('Orders'!$I$5:$I$3004,'Orders'!$D$5:$D$3004,A357,'Orders'!$E$5:$E$3004,B357,'Orders'!$C$5:$C$3004,C357)</x:f>
        <x:v>13680</x:v>
      </x:c>
      <x:c r="J357" s="27" t="n">
        <x:f>'Products'!D12*INDEX('Assumptions'!$C$16:$N$16,1,MONTH(C357))</x:f>
        <x:v>186</x:v>
      </x:c>
      <x:c r="K357" s="27" t="n">
        <x:f>G357*J357</x:f>
        <x:v>8928</x:v>
      </x:c>
      <x:c r="L357" s="27" t="n">
        <x:f>I357-K357</x:f>
        <x:v>4752</x:v>
      </x:c>
    </x:row>
    <x:row r="358" ht="23" customHeight="1">
      <x:c r="A358" s="34" t="str">
        <x:v>0008</x:v>
      </x:c>
      <x:c r="B358" s="7" t="str">
        <x:v>East</x:v>
      </x:c>
      <x:c r="C358" s="14" t="d">
        <x:v>2026-06-01T00:00:00.000Z</x:v>
      </x:c>
      <x:c r="D358" s="27" t="n">
        <x:f>SUMIFS('Orders'!$F$5:$F$3004,'Orders'!$D$5:$D$3004,A358,'Orders'!$E$5:$E$3004,B358,'Orders'!$C$5:$C$3004,C358)</x:f>
        <x:v>52</x:v>
      </x:c>
      <x:c r="E358" s="28" t="n">
        <x:f>0</x:f>
        <x:v>0</x:v>
      </x:c>
      <x:c r="F358" s="27" t="n">
        <x:f>D358</x:f>
        <x:v>52</x:v>
      </x:c>
      <x:c r="G358" s="27" t="n">
        <x:f>F358</x:f>
        <x:v>52</x:v>
      </x:c>
      <x:c r="H358" s="27" t="n">
        <x:f>IF(F358=0,0,I358/F358)</x:f>
        <x:v>294</x:v>
      </x:c>
      <x:c r="I358" s="27" t="n">
        <x:f>SUMIFS('Orders'!$I$5:$I$3004,'Orders'!$D$5:$D$3004,A358,'Orders'!$E$5:$E$3004,B358,'Orders'!$C$5:$C$3004,C358)</x:f>
        <x:v>15288</x:v>
      </x:c>
      <x:c r="J358" s="27" t="n">
        <x:f>'Products'!D12*INDEX('Assumptions'!$C$16:$N$16,1,MONTH(C358))</x:f>
        <x:v>186</x:v>
      </x:c>
      <x:c r="K358" s="27" t="n">
        <x:f>G358*J358</x:f>
        <x:v>9672</x:v>
      </x:c>
      <x:c r="L358" s="27" t="n">
        <x:f>I358-K358</x:f>
        <x:v>5616</x:v>
      </x:c>
    </x:row>
    <x:row r="359" ht="23" customHeight="1">
      <x:c r="A359" s="34" t="str">
        <x:v>0008</x:v>
      </x:c>
      <x:c r="B359" s="7" t="str">
        <x:v>East</x:v>
      </x:c>
      <x:c r="C359" s="14" t="d">
        <x:v>2026-07-01T00:00:00.000Z</x:v>
      </x:c>
      <x:c r="D359" s="27" t="n">
        <x:f>'Assumptions'!D213</x:f>
        <x:v>215</x:v>
      </x:c>
      <x:c r="E359" s="28" t="n">
        <x:f>INDEX('Assumptions'!$C$12:$N$12,1,MONTH(C359))</x:f>
        <x:v>0.03</x:v>
      </x:c>
      <x:c r="F359" s="27" t="n">
        <x:f>ROUND(D359*INDEX('Assumptions'!$C$8:$N$8,1,MONTH(C359))*(1-'Products'!E12*E359),0)</x:f>
        <x:v>208</x:v>
      </x:c>
      <x:c r="G359" s="27" t="n">
        <x:f>F359*SUMIFS('Inventory'!$L$5:$L$100,'Inventory'!$A$5:$A$100,A359,'Inventory'!$B$5:$B$100,C359)</x:f>
        <x:v>208</x:v>
      </x:c>
      <x:c r="H359" s="27" t="n">
        <x:f>'Assumptions'!E213*(1+E359)</x:f>
        <x:v>309</x:v>
      </x:c>
      <x:c r="I359" s="27" t="n">
        <x:f>G359*H359</x:f>
        <x:v>64272</x:v>
      </x:c>
      <x:c r="J359" s="27" t="n">
        <x:f>'Products'!D12*INDEX('Assumptions'!$C$16:$N$16,1,MONTH(C359))</x:f>
        <x:v>189.72</x:v>
      </x:c>
      <x:c r="K359" s="27" t="n">
        <x:f>G359*J359</x:f>
        <x:v>39461.76</x:v>
      </x:c>
      <x:c r="L359" s="27" t="n">
        <x:f>I359-K359</x:f>
        <x:v>24810.239999999998</x:v>
      </x:c>
    </x:row>
    <x:row r="360" ht="23" customHeight="1">
      <x:c r="A360" s="34" t="str">
        <x:v>0008</x:v>
      </x:c>
      <x:c r="B360" s="7" t="str">
        <x:v>East</x:v>
      </x:c>
      <x:c r="C360" s="14" t="d">
        <x:v>2026-08-01T00:00:00.000Z</x:v>
      </x:c>
      <x:c r="D360" s="27" t="n">
        <x:f>'Assumptions'!D214</x:f>
        <x:v>230</x:v>
      </x:c>
      <x:c r="E360" s="28" t="n">
        <x:f>INDEX('Assumptions'!$C$12:$N$12,1,MONTH(C360))</x:f>
        <x:v>0.03</x:v>
      </x:c>
      <x:c r="F360" s="27" t="n">
        <x:f>ROUND(D360*INDEX('Assumptions'!$C$8:$N$8,1,MONTH(C360))*(1-'Products'!E12*E360),0)</x:f>
        <x:v>222</x:v>
      </x:c>
      <x:c r="G360" s="27" t="n">
        <x:f>F360*SUMIFS('Inventory'!$L$5:$L$100,'Inventory'!$A$5:$A$100,A360,'Inventory'!$B$5:$B$100,C360)</x:f>
        <x:v>222</x:v>
      </x:c>
      <x:c r="H360" s="27" t="n">
        <x:f>'Assumptions'!E214*(1+E360)</x:f>
        <x:v>309</x:v>
      </x:c>
      <x:c r="I360" s="27" t="n">
        <x:f>G360*H360</x:f>
        <x:v>68598</x:v>
      </x:c>
      <x:c r="J360" s="27" t="n">
        <x:f>'Products'!D12*INDEX('Assumptions'!$C$16:$N$16,1,MONTH(C360))</x:f>
        <x:v>189.72</x:v>
      </x:c>
      <x:c r="K360" s="27" t="n">
        <x:f>G360*J360</x:f>
        <x:v>42117.84</x:v>
      </x:c>
      <x:c r="L360" s="27" t="n">
        <x:f>I360-K360</x:f>
        <x:v>26480.160000000003</x:v>
      </x:c>
    </x:row>
    <x:row r="361" ht="23" customHeight="1">
      <x:c r="A361" s="34" t="str">
        <x:v>0008</x:v>
      </x:c>
      <x:c r="B361" s="7" t="str">
        <x:v>East</x:v>
      </x:c>
      <x:c r="C361" s="14" t="d">
        <x:v>2026-09-01T00:00:00.000Z</x:v>
      </x:c>
      <x:c r="D361" s="27" t="n">
        <x:f>'Assumptions'!D215</x:f>
        <x:v>245</x:v>
      </x:c>
      <x:c r="E361" s="28" t="n">
        <x:f>INDEX('Assumptions'!$C$12:$N$12,1,MONTH(C361))</x:f>
        <x:v>0.03</x:v>
      </x:c>
      <x:c r="F361" s="27" t="n">
        <x:f>ROUND(D361*INDEX('Assumptions'!$C$8:$N$8,1,MONTH(C361))*(1-'Products'!E12*E361),0)</x:f>
        <x:v>237</x:v>
      </x:c>
      <x:c r="G361" s="27" t="n">
        <x:f>F361*SUMIFS('Inventory'!$L$5:$L$100,'Inventory'!$A$5:$A$100,A361,'Inventory'!$B$5:$B$100,C361)</x:f>
        <x:v>237</x:v>
      </x:c>
      <x:c r="H361" s="27" t="n">
        <x:f>'Assumptions'!E215*(1+E361)</x:f>
        <x:v>309</x:v>
      </x:c>
      <x:c r="I361" s="27" t="n">
        <x:f>G361*H361</x:f>
        <x:v>73233</x:v>
      </x:c>
      <x:c r="J361" s="27" t="n">
        <x:f>'Products'!D12*INDEX('Assumptions'!$C$16:$N$16,1,MONTH(C361))</x:f>
        <x:v>189.72</x:v>
      </x:c>
      <x:c r="K361" s="27" t="n">
        <x:f>G361*J361</x:f>
        <x:v>44963.64</x:v>
      </x:c>
      <x:c r="L361" s="27" t="n">
        <x:f>I361-K361</x:f>
        <x:v>28269.36</x:v>
      </x:c>
    </x:row>
    <x:row r="362" ht="23" customHeight="1">
      <x:c r="A362" s="34" t="str">
        <x:v>0008</x:v>
      </x:c>
      <x:c r="B362" s="7" t="str">
        <x:v>East</x:v>
      </x:c>
      <x:c r="C362" s="14" t="d">
        <x:v>2026-10-01T00:00:00.000Z</x:v>
      </x:c>
      <x:c r="D362" s="27" t="n">
        <x:f>'Assumptions'!D216</x:f>
        <x:v>260</x:v>
      </x:c>
      <x:c r="E362" s="28" t="n">
        <x:f>INDEX('Assumptions'!$C$12:$N$12,1,MONTH(C362))</x:f>
        <x:v>0.03</x:v>
      </x:c>
      <x:c r="F362" s="27" t="n">
        <x:f>ROUND(D362*INDEX('Assumptions'!$C$8:$N$8,1,MONTH(C362))*(1-'Products'!E12*E362),0)</x:f>
        <x:v>251</x:v>
      </x:c>
      <x:c r="G362" s="27" t="n">
        <x:f>F362*SUMIFS('Inventory'!$L$5:$L$100,'Inventory'!$A$5:$A$100,A362,'Inventory'!$B$5:$B$100,C362)</x:f>
        <x:v>241.24295432458698</x:v>
      </x:c>
      <x:c r="H362" s="27" t="n">
        <x:f>'Assumptions'!E216*(1+E362)</x:f>
        <x:v>309</x:v>
      </x:c>
      <x:c r="I362" s="27" t="n">
        <x:f>G362*H362</x:f>
        <x:v>74544.07288629738</x:v>
      </x:c>
      <x:c r="J362" s="27" t="n">
        <x:f>'Products'!D12*INDEX('Assumptions'!$C$16:$N$16,1,MONTH(C362))</x:f>
        <x:v>189.72</x:v>
      </x:c>
      <x:c r="K362" s="27" t="n">
        <x:f>G362*J362</x:f>
        <x:v>45768.61329446064</x:v>
      </x:c>
      <x:c r="L362" s="27" t="n">
        <x:f>I362-K362</x:f>
        <x:v>28775.459591836734</x:v>
      </x:c>
    </x:row>
    <x:row r="363" ht="23" customHeight="1">
      <x:c r="A363" s="34" t="str">
        <x:v>0008</x:v>
      </x:c>
      <x:c r="B363" s="7" t="str">
        <x:v>East</x:v>
      </x:c>
      <x:c r="C363" s="14" t="d">
        <x:v>2026-11-01T00:00:00.000Z</x:v>
      </x:c>
      <x:c r="D363" s="27" t="n">
        <x:f>'Assumptions'!D217</x:f>
        <x:v>275</x:v>
      </x:c>
      <x:c r="E363" s="28" t="n">
        <x:f>INDEX('Assumptions'!$C$12:$N$12,1,MONTH(C363))</x:f>
        <x:v>0.03</x:v>
      </x:c>
      <x:c r="F363" s="27" t="n">
        <x:f>ROUND(D363*INDEX('Assumptions'!$C$8:$N$8,1,MONTH(C363))*(1-'Products'!E12*E363),0)</x:f>
        <x:v>266</x:v>
      </x:c>
      <x:c r="G363" s="27" t="n">
        <x:f>F363*SUMIFS('Inventory'!$L$5:$L$100,'Inventory'!$A$5:$A$100,A363,'Inventory'!$B$5:$B$100,C363)</x:f>
        <x:v>126.27046918123276</x:v>
      </x:c>
      <x:c r="H363" s="27" t="n">
        <x:f>'Assumptions'!E217*(1+E363)</x:f>
        <x:v>309</x:v>
      </x:c>
      <x:c r="I363" s="27" t="n">
        <x:f>G363*H363</x:f>
        <x:v>39017.57497700092</x:v>
      </x:c>
      <x:c r="J363" s="27" t="n">
        <x:f>'Products'!D12*INDEX('Assumptions'!$C$16:$N$16,1,MONTH(C363))</x:f>
        <x:v>189.72</x:v>
      </x:c>
      <x:c r="K363" s="27" t="n">
        <x:f>G363*J363</x:f>
        <x:v>23956.033413063476</x:v>
      </x:c>
      <x:c r="L363" s="27" t="n">
        <x:f>I363-K363</x:f>
        <x:v>15061.541563937444</x:v>
      </x:c>
    </x:row>
    <x:row r="364" ht="23" customHeight="1">
      <x:c r="A364" s="34" t="str">
        <x:v>0008</x:v>
      </x:c>
      <x:c r="B364" s="7" t="str">
        <x:v>East</x:v>
      </x:c>
      <x:c r="C364" s="14" t="d">
        <x:v>2026-12-01T00:00:00.000Z</x:v>
      </x:c>
      <x:c r="D364" s="27" t="n">
        <x:f>'Assumptions'!D218</x:f>
        <x:v>290</x:v>
      </x:c>
      <x:c r="E364" s="28" t="n">
        <x:f>INDEX('Assumptions'!$C$12:$N$12,1,MONTH(C364))</x:f>
        <x:v>0.03</x:v>
      </x:c>
      <x:c r="F364" s="27" t="n">
        <x:f>ROUND(D364*INDEX('Assumptions'!$C$8:$N$8,1,MONTH(C364))*(1-'Products'!E12*E364),0)</x:f>
        <x:v>281</x:v>
      </x:c>
      <x:c r="G364" s="27" t="n">
        <x:f>F364*SUMIFS('Inventory'!$L$5:$L$100,'Inventory'!$A$5:$A$100,A364,'Inventory'!$B$5:$B$100,C364)</x:f>
        <x:v>126.52356020942408</x:v>
      </x:c>
      <x:c r="H364" s="27" t="n">
        <x:f>'Assumptions'!E218*(1+E364)</x:f>
        <x:v>309</x:v>
      </x:c>
      <x:c r="I364" s="27" t="n">
        <x:f>G364*H364</x:f>
        <x:v>39095.78010471204</x:v>
      </x:c>
      <x:c r="J364" s="27" t="n">
        <x:f>'Products'!D12*INDEX('Assumptions'!$C$16:$N$16,1,MONTH(C364))</x:f>
        <x:v>189.72</x:v>
      </x:c>
      <x:c r="K364" s="27" t="n">
        <x:f>G364*J364</x:f>
        <x:v>24004.049842931934</x:v>
      </x:c>
      <x:c r="L364" s="27" t="n">
        <x:f>I364-K364</x:f>
        <x:v>15091.730261780103</x:v>
      </x:c>
    </x:row>
    <x:row r="365" ht="23" customHeight="1">
      <x:c r="A365" s="34" t="str">
        <x:v>0008</x:v>
      </x:c>
      <x:c r="B365" s="7" t="str">
        <x:v>West</x:v>
      </x:c>
      <x:c r="C365" s="14" t="d">
        <x:v>2026-01-01T00:00:00.000Z</x:v>
      </x:c>
      <x:c r="D365" s="27" t="n">
        <x:f>SUMIFS('Orders'!$F$5:$F$3004,'Orders'!$D$5:$D$3004,A365,'Orders'!$E$5:$E$3004,B365,'Orders'!$C$5:$C$3004,C365)</x:f>
        <x:v>61</x:v>
      </x:c>
      <x:c r="E365" s="28" t="n">
        <x:f>0</x:f>
        <x:v>0</x:v>
      </x:c>
      <x:c r="F365" s="27" t="n">
        <x:f>D365</x:f>
        <x:v>61</x:v>
      </x:c>
      <x:c r="G365" s="27" t="n">
        <x:f>F365</x:f>
        <x:v>61</x:v>
      </x:c>
      <x:c r="H365" s="27" t="n">
        <x:f>IF(F365=0,0,I365/F365)</x:f>
        <x:v>285</x:v>
      </x:c>
      <x:c r="I365" s="27" t="n">
        <x:f>SUMIFS('Orders'!$I$5:$I$3004,'Orders'!$D$5:$D$3004,A365,'Orders'!$E$5:$E$3004,B365,'Orders'!$C$5:$C$3004,C365)</x:f>
        <x:v>17385</x:v>
      </x:c>
      <x:c r="J365" s="27" t="n">
        <x:f>'Products'!D12*INDEX('Assumptions'!$C$16:$N$16,1,MONTH(C365))</x:f>
        <x:v>186</x:v>
      </x:c>
      <x:c r="K365" s="27" t="n">
        <x:f>G365*J365</x:f>
        <x:v>11346</x:v>
      </x:c>
      <x:c r="L365" s="27" t="n">
        <x:f>I365-K365</x:f>
        <x:v>6039</x:v>
      </x:c>
    </x:row>
    <x:row r="366" ht="23" customHeight="1">
      <x:c r="A366" s="34" t="str">
        <x:v>0008</x:v>
      </x:c>
      <x:c r="B366" s="7" t="str">
        <x:v>West</x:v>
      </x:c>
      <x:c r="C366" s="14" t="d">
        <x:v>2026-02-01T00:00:00.000Z</x:v>
      </x:c>
      <x:c r="D366" s="27" t="n">
        <x:f>SUMIFS('Orders'!$F$5:$F$3004,'Orders'!$D$5:$D$3004,A366,'Orders'!$E$5:$E$3004,B366,'Orders'!$C$5:$C$3004,C366)</x:f>
        <x:v>54</x:v>
      </x:c>
      <x:c r="E366" s="28" t="n">
        <x:f>0</x:f>
        <x:v>0</x:v>
      </x:c>
      <x:c r="F366" s="27" t="n">
        <x:f>D366</x:f>
        <x:v>54</x:v>
      </x:c>
      <x:c r="G366" s="27" t="n">
        <x:f>F366</x:f>
        <x:v>54</x:v>
      </x:c>
      <x:c r="H366" s="27" t="n">
        <x:f>IF(F366=0,0,I366/F366)</x:f>
        <x:v>294</x:v>
      </x:c>
      <x:c r="I366" s="27" t="n">
        <x:f>SUMIFS('Orders'!$I$5:$I$3004,'Orders'!$D$5:$D$3004,A366,'Orders'!$E$5:$E$3004,B366,'Orders'!$C$5:$C$3004,C366)</x:f>
        <x:v>15876</x:v>
      </x:c>
      <x:c r="J366" s="27" t="n">
        <x:f>'Products'!D12*INDEX('Assumptions'!$C$16:$N$16,1,MONTH(C366))</x:f>
        <x:v>186</x:v>
      </x:c>
      <x:c r="K366" s="27" t="n">
        <x:f>G366*J366</x:f>
        <x:v>10044</x:v>
      </x:c>
      <x:c r="L366" s="27" t="n">
        <x:f>I366-K366</x:f>
        <x:v>5832</x:v>
      </x:c>
    </x:row>
    <x:row r="367" ht="23" customHeight="1">
      <x:c r="A367" s="34" t="str">
        <x:v>0008</x:v>
      </x:c>
      <x:c r="B367" s="7" t="str">
        <x:v>West</x:v>
      </x:c>
      <x:c r="C367" s="14" t="d">
        <x:v>2026-03-01T00:00:00.000Z</x:v>
      </x:c>
      <x:c r="D367" s="27" t="n">
        <x:f>SUMIFS('Orders'!$F$5:$F$3004,'Orders'!$D$5:$D$3004,A367,'Orders'!$E$5:$E$3004,B367,'Orders'!$C$5:$C$3004,C367)</x:f>
        <x:v>63</x:v>
      </x:c>
      <x:c r="E367" s="28" t="n">
        <x:f>0</x:f>
        <x:v>0</x:v>
      </x:c>
      <x:c r="F367" s="27" t="n">
        <x:f>D367</x:f>
        <x:v>63</x:v>
      </x:c>
      <x:c r="G367" s="27" t="n">
        <x:f>F367</x:f>
        <x:v>63</x:v>
      </x:c>
      <x:c r="H367" s="27" t="n">
        <x:f>IF(F367=0,0,I367/F367)</x:f>
        <x:v>300</x:v>
      </x:c>
      <x:c r="I367" s="27" t="n">
        <x:f>SUMIFS('Orders'!$I$5:$I$3004,'Orders'!$D$5:$D$3004,A367,'Orders'!$E$5:$E$3004,B367,'Orders'!$C$5:$C$3004,C367)</x:f>
        <x:v>18900</x:v>
      </x:c>
      <x:c r="J367" s="27" t="n">
        <x:f>'Products'!D12*INDEX('Assumptions'!$C$16:$N$16,1,MONTH(C367))</x:f>
        <x:v>186</x:v>
      </x:c>
      <x:c r="K367" s="27" t="n">
        <x:f>G367*J367</x:f>
        <x:v>11718</x:v>
      </x:c>
      <x:c r="L367" s="27" t="n">
        <x:f>I367-K367</x:f>
        <x:v>7182</x:v>
      </x:c>
    </x:row>
    <x:row r="368" ht="23" customHeight="1">
      <x:c r="A368" s="34" t="str">
        <x:v>0008</x:v>
      </x:c>
      <x:c r="B368" s="7" t="str">
        <x:v>West</x:v>
      </x:c>
      <x:c r="C368" s="14" t="d">
        <x:v>2026-04-01T00:00:00.000Z</x:v>
      </x:c>
      <x:c r="D368" s="27" t="n">
        <x:f>SUMIFS('Orders'!$F$5:$F$3004,'Orders'!$D$5:$D$3004,A368,'Orders'!$E$5:$E$3004,B368,'Orders'!$C$5:$C$3004,C368)</x:f>
        <x:v>47</x:v>
      </x:c>
      <x:c r="E368" s="28" t="n">
        <x:f>0</x:f>
        <x:v>0</x:v>
      </x:c>
      <x:c r="F368" s="27" t="n">
        <x:f>D368</x:f>
        <x:v>47</x:v>
      </x:c>
      <x:c r="G368" s="27" t="n">
        <x:f>F368</x:f>
        <x:v>47</x:v>
      </x:c>
      <x:c r="H368" s="27" t="n">
        <x:f>IF(F368=0,0,I368/F368)</x:f>
        <x:v>285</x:v>
      </x:c>
      <x:c r="I368" s="27" t="n">
        <x:f>SUMIFS('Orders'!$I$5:$I$3004,'Orders'!$D$5:$D$3004,A368,'Orders'!$E$5:$E$3004,B368,'Orders'!$C$5:$C$3004,C368)</x:f>
        <x:v>13395</x:v>
      </x:c>
      <x:c r="J368" s="27" t="n">
        <x:f>'Products'!D12*INDEX('Assumptions'!$C$16:$N$16,1,MONTH(C368))</x:f>
        <x:v>186</x:v>
      </x:c>
      <x:c r="K368" s="27" t="n">
        <x:f>G368*J368</x:f>
        <x:v>8742</x:v>
      </x:c>
      <x:c r="L368" s="27" t="n">
        <x:f>I368-K368</x:f>
        <x:v>4653</x:v>
      </x:c>
    </x:row>
    <x:row r="369" ht="23" customHeight="1">
      <x:c r="A369" s="34" t="str">
        <x:v>0008</x:v>
      </x:c>
      <x:c r="B369" s="7" t="str">
        <x:v>West</x:v>
      </x:c>
      <x:c r="C369" s="14" t="d">
        <x:v>2026-05-01T00:00:00.000Z</x:v>
      </x:c>
      <x:c r="D369" s="27" t="n">
        <x:f>SUMIFS('Orders'!$F$5:$F$3004,'Orders'!$D$5:$D$3004,A369,'Orders'!$E$5:$E$3004,B369,'Orders'!$C$5:$C$3004,C369)</x:f>
        <x:v>56</x:v>
      </x:c>
      <x:c r="E369" s="28" t="n">
        <x:f>0</x:f>
        <x:v>0</x:v>
      </x:c>
      <x:c r="F369" s="27" t="n">
        <x:f>D369</x:f>
        <x:v>56</x:v>
      </x:c>
      <x:c r="G369" s="27" t="n">
        <x:f>F369</x:f>
        <x:v>56</x:v>
      </x:c>
      <x:c r="H369" s="27" t="n">
        <x:f>IF(F369=0,0,I369/F369)</x:f>
        <x:v>294</x:v>
      </x:c>
      <x:c r="I369" s="27" t="n">
        <x:f>SUMIFS('Orders'!$I$5:$I$3004,'Orders'!$D$5:$D$3004,A369,'Orders'!$E$5:$E$3004,B369,'Orders'!$C$5:$C$3004,C369)</x:f>
        <x:v>16464</x:v>
      </x:c>
      <x:c r="J369" s="27" t="n">
        <x:f>'Products'!D12*INDEX('Assumptions'!$C$16:$N$16,1,MONTH(C369))</x:f>
        <x:v>186</x:v>
      </x:c>
      <x:c r="K369" s="27" t="n">
        <x:f>G369*J369</x:f>
        <x:v>10416</x:v>
      </x:c>
      <x:c r="L369" s="27" t="n">
        <x:f>I369-K369</x:f>
        <x:v>6048</x:v>
      </x:c>
    </x:row>
    <x:row r="370" ht="23" customHeight="1">
      <x:c r="A370" s="34" t="str">
        <x:v>0008</x:v>
      </x:c>
      <x:c r="B370" s="7" t="str">
        <x:v>West</x:v>
      </x:c>
      <x:c r="C370" s="14" t="d">
        <x:v>2026-06-01T00:00:00.000Z</x:v>
      </x:c>
      <x:c r="D370" s="27" t="n">
        <x:f>SUMIFS('Orders'!$F$5:$F$3004,'Orders'!$D$5:$D$3004,A370,'Orders'!$E$5:$E$3004,B370,'Orders'!$C$5:$C$3004,C370)</x:f>
        <x:v>59</x:v>
      </x:c>
      <x:c r="E370" s="28" t="n">
        <x:f>0</x:f>
        <x:v>0</x:v>
      </x:c>
      <x:c r="F370" s="27" t="n">
        <x:f>D370</x:f>
        <x:v>59</x:v>
      </x:c>
      <x:c r="G370" s="27" t="n">
        <x:f>F370</x:f>
        <x:v>59</x:v>
      </x:c>
      <x:c r="H370" s="27" t="n">
        <x:f>IF(F370=0,0,I370/F370)</x:f>
        <x:v>300</x:v>
      </x:c>
      <x:c r="I370" s="27" t="n">
        <x:f>SUMIFS('Orders'!$I$5:$I$3004,'Orders'!$D$5:$D$3004,A370,'Orders'!$E$5:$E$3004,B370,'Orders'!$C$5:$C$3004,C370)</x:f>
        <x:v>17700</x:v>
      </x:c>
      <x:c r="J370" s="27" t="n">
        <x:f>'Products'!D12*INDEX('Assumptions'!$C$16:$N$16,1,MONTH(C370))</x:f>
        <x:v>186</x:v>
      </x:c>
      <x:c r="K370" s="27" t="n">
        <x:f>G370*J370</x:f>
        <x:v>10974</x:v>
      </x:c>
      <x:c r="L370" s="27" t="n">
        <x:f>I370-K370</x:f>
        <x:v>6726</x:v>
      </x:c>
    </x:row>
    <x:row r="371" ht="23" customHeight="1">
      <x:c r="A371" s="34" t="str">
        <x:v>0008</x:v>
      </x:c>
      <x:c r="B371" s="7" t="str">
        <x:v>West</x:v>
      </x:c>
      <x:c r="C371" s="14" t="d">
        <x:v>2026-07-01T00:00:00.000Z</x:v>
      </x:c>
      <x:c r="D371" s="27" t="n">
        <x:f>'Assumptions'!D219</x:f>
        <x:v>227</x:v>
      </x:c>
      <x:c r="E371" s="28" t="n">
        <x:f>INDEX('Assumptions'!$C$12:$N$12,1,MONTH(C371))</x:f>
        <x:v>0.03</x:v>
      </x:c>
      <x:c r="F371" s="27" t="n">
        <x:f>ROUND(D371*INDEX('Assumptions'!$C$8:$N$8,1,MONTH(C371))*(1-'Products'!E12*E371),0)</x:f>
        <x:v>220</x:v>
      </x:c>
      <x:c r="G371" s="27" t="n">
        <x:f>F371*SUMIFS('Inventory'!$L$5:$L$100,'Inventory'!$A$5:$A$100,A371,'Inventory'!$B$5:$B$100,C371)</x:f>
        <x:v>220</x:v>
      </x:c>
      <x:c r="H371" s="27" t="n">
        <x:f>'Assumptions'!E219*(1+E371)</x:f>
        <x:v>309</x:v>
      </x:c>
      <x:c r="I371" s="27" t="n">
        <x:f>G371*H371</x:f>
        <x:v>67980</x:v>
      </x:c>
      <x:c r="J371" s="27" t="n">
        <x:f>'Products'!D12*INDEX('Assumptions'!$C$16:$N$16,1,MONTH(C371))</x:f>
        <x:v>189.72</x:v>
      </x:c>
      <x:c r="K371" s="27" t="n">
        <x:f>G371*J371</x:f>
        <x:v>41738.4</x:v>
      </x:c>
      <x:c r="L371" s="27" t="n">
        <x:f>I371-K371</x:f>
        <x:v>26241.6</x:v>
      </x:c>
    </x:row>
    <x:row r="372" ht="23" customHeight="1">
      <x:c r="A372" s="34" t="str">
        <x:v>0008</x:v>
      </x:c>
      <x:c r="B372" s="7" t="str">
        <x:v>West</x:v>
      </x:c>
      <x:c r="C372" s="14" t="d">
        <x:v>2026-08-01T00:00:00.000Z</x:v>
      </x:c>
      <x:c r="D372" s="27" t="n">
        <x:f>'Assumptions'!D220</x:f>
        <x:v>242</x:v>
      </x:c>
      <x:c r="E372" s="28" t="n">
        <x:f>INDEX('Assumptions'!$C$12:$N$12,1,MONTH(C372))</x:f>
        <x:v>0.03</x:v>
      </x:c>
      <x:c r="F372" s="27" t="n">
        <x:f>ROUND(D372*INDEX('Assumptions'!$C$8:$N$8,1,MONTH(C372))*(1-'Products'!E12*E372),0)</x:f>
        <x:v>234</x:v>
      </x:c>
      <x:c r="G372" s="27" t="n">
        <x:f>F372*SUMIFS('Inventory'!$L$5:$L$100,'Inventory'!$A$5:$A$100,A372,'Inventory'!$B$5:$B$100,C372)</x:f>
        <x:v>234</x:v>
      </x:c>
      <x:c r="H372" s="27" t="n">
        <x:f>'Assumptions'!E220*(1+E372)</x:f>
        <x:v>309</x:v>
      </x:c>
      <x:c r="I372" s="27" t="n">
        <x:f>G372*H372</x:f>
        <x:v>72306</x:v>
      </x:c>
      <x:c r="J372" s="27" t="n">
        <x:f>'Products'!D12*INDEX('Assumptions'!$C$16:$N$16,1,MONTH(C372))</x:f>
        <x:v>189.72</x:v>
      </x:c>
      <x:c r="K372" s="27" t="n">
        <x:f>G372*J372</x:f>
        <x:v>44394.48</x:v>
      </x:c>
      <x:c r="L372" s="27" t="n">
        <x:f>I372-K372</x:f>
        <x:v>27911.519999999997</x:v>
      </x:c>
    </x:row>
    <x:row r="373" ht="23" customHeight="1">
      <x:c r="A373" s="34" t="str">
        <x:v>0008</x:v>
      </x:c>
      <x:c r="B373" s="7" t="str">
        <x:v>West</x:v>
      </x:c>
      <x:c r="C373" s="14" t="d">
        <x:v>2026-09-01T00:00:00.000Z</x:v>
      </x:c>
      <x:c r="D373" s="27" t="n">
        <x:f>'Assumptions'!D221</x:f>
        <x:v>257</x:v>
      </x:c>
      <x:c r="E373" s="28" t="n">
        <x:f>INDEX('Assumptions'!$C$12:$N$12,1,MONTH(C373))</x:f>
        <x:v>0.03</x:v>
      </x:c>
      <x:c r="F373" s="27" t="n">
        <x:f>ROUND(D373*INDEX('Assumptions'!$C$8:$N$8,1,MONTH(C373))*(1-'Products'!E12*E373),0)</x:f>
        <x:v>249</x:v>
      </x:c>
      <x:c r="G373" s="27" t="n">
        <x:f>F373*SUMIFS('Inventory'!$L$5:$L$100,'Inventory'!$A$5:$A$100,A373,'Inventory'!$B$5:$B$100,C373)</x:f>
        <x:v>249</x:v>
      </x:c>
      <x:c r="H373" s="27" t="n">
        <x:f>'Assumptions'!E221*(1+E373)</x:f>
        <x:v>309</x:v>
      </x:c>
      <x:c r="I373" s="27" t="n">
        <x:f>G373*H373</x:f>
        <x:v>76941</x:v>
      </x:c>
      <x:c r="J373" s="27" t="n">
        <x:f>'Products'!D12*INDEX('Assumptions'!$C$16:$N$16,1,MONTH(C373))</x:f>
        <x:v>189.72</x:v>
      </x:c>
      <x:c r="K373" s="27" t="n">
        <x:f>G373*J373</x:f>
        <x:v>47240.28</x:v>
      </x:c>
      <x:c r="L373" s="27" t="n">
        <x:f>I373-K373</x:f>
        <x:v>29700.72</x:v>
      </x:c>
    </x:row>
    <x:row r="374" ht="23" customHeight="1">
      <x:c r="A374" s="34" t="str">
        <x:v>0008</x:v>
      </x:c>
      <x:c r="B374" s="7" t="str">
        <x:v>West</x:v>
      </x:c>
      <x:c r="C374" s="14" t="d">
        <x:v>2026-10-01T00:00:00.000Z</x:v>
      </x:c>
      <x:c r="D374" s="27" t="n">
        <x:f>'Assumptions'!D222</x:f>
        <x:v>272</x:v>
      </x:c>
      <x:c r="E374" s="28" t="n">
        <x:f>INDEX('Assumptions'!$C$12:$N$12,1,MONTH(C374))</x:f>
        <x:v>0.03</x:v>
      </x:c>
      <x:c r="F374" s="27" t="n">
        <x:f>ROUND(D374*INDEX('Assumptions'!$C$8:$N$8,1,MONTH(C374))*(1-'Products'!E12*E374),0)</x:f>
        <x:v>263</x:v>
      </x:c>
      <x:c r="G374" s="27" t="n">
        <x:f>F374*SUMIFS('Inventory'!$L$5:$L$100,'Inventory'!$A$5:$A$100,A374,'Inventory'!$B$5:$B$100,C374)</x:f>
        <x:v>252.77648202138</x:v>
      </x:c>
      <x:c r="H374" s="27" t="n">
        <x:f>'Assumptions'!E222*(1+E374)</x:f>
        <x:v>309</x:v>
      </x:c>
      <x:c r="I374" s="27" t="n">
        <x:f>G374*H374</x:f>
        <x:v>78107.93294460642</x:v>
      </x:c>
      <x:c r="J374" s="27" t="n">
        <x:f>'Products'!D12*INDEX('Assumptions'!$C$16:$N$16,1,MONTH(C374))</x:f>
        <x:v>189.72</x:v>
      </x:c>
      <x:c r="K374" s="27" t="n">
        <x:f>G374*J374</x:f>
        <x:v>47956.75416909621</x:v>
      </x:c>
      <x:c r="L374" s="27" t="n">
        <x:f>I374-K374</x:f>
        <x:v>30151.178775510212</x:v>
      </x:c>
    </x:row>
    <x:row r="375" ht="23" customHeight="1">
      <x:c r="A375" s="34" t="str">
        <x:v>0008</x:v>
      </x:c>
      <x:c r="B375" s="7" t="str">
        <x:v>West</x:v>
      </x:c>
      <x:c r="C375" s="14" t="d">
        <x:v>2026-11-01T00:00:00.000Z</x:v>
      </x:c>
      <x:c r="D375" s="27" t="n">
        <x:f>'Assumptions'!D223</x:f>
        <x:v>287</x:v>
      </x:c>
      <x:c r="E375" s="28" t="n">
        <x:f>INDEX('Assumptions'!$C$12:$N$12,1,MONTH(C375))</x:f>
        <x:v>0.03</x:v>
      </x:c>
      <x:c r="F375" s="27" t="n">
        <x:f>ROUND(D375*INDEX('Assumptions'!$C$8:$N$8,1,MONTH(C375))*(1-'Products'!E12*E375),0)</x:f>
        <x:v>278</x:v>
      </x:c>
      <x:c r="G375" s="27" t="n">
        <x:f>F375*SUMIFS('Inventory'!$L$5:$L$100,'Inventory'!$A$5:$A$100,A375,'Inventory'!$B$5:$B$100,C375)</x:f>
        <x:v>131.96688132474702</x:v>
      </x:c>
      <x:c r="H375" s="27" t="n">
        <x:f>'Assumptions'!E223*(1+E375)</x:f>
        <x:v>309</x:v>
      </x:c>
      <x:c r="I375" s="27" t="n">
        <x:f>G375*H375</x:f>
        <x:v>40777.76632934683</x:v>
      </x:c>
      <x:c r="J375" s="27" t="n">
        <x:f>'Products'!D12*INDEX('Assumptions'!$C$16:$N$16,1,MONTH(C375))</x:f>
        <x:v>189.72</x:v>
      </x:c>
      <x:c r="K375" s="27" t="n">
        <x:f>G375*J375</x:f>
        <x:v>25036.756724931005</x:v>
      </x:c>
      <x:c r="L375" s="27" t="n">
        <x:f>I375-K375</x:f>
        <x:v>15741.009604415824</x:v>
      </x:c>
    </x:row>
    <x:row r="376" ht="23" customHeight="1">
      <x:c r="A376" s="34" t="str">
        <x:v>0008</x:v>
      </x:c>
      <x:c r="B376" s="7" t="str">
        <x:v>West</x:v>
      </x:c>
      <x:c r="C376" s="14" t="d">
        <x:v>2026-12-01T00:00:00.000Z</x:v>
      </x:c>
      <x:c r="D376" s="27" t="n">
        <x:f>'Assumptions'!D224</x:f>
        <x:v>302</x:v>
      </x:c>
      <x:c r="E376" s="28" t="n">
        <x:f>INDEX('Assumptions'!$C$12:$N$12,1,MONTH(C376))</x:f>
        <x:v>0.03</x:v>
      </x:c>
      <x:c r="F376" s="27" t="n">
        <x:f>ROUND(D376*INDEX('Assumptions'!$C$8:$N$8,1,MONTH(C376))*(1-'Products'!E12*E376),0)</x:f>
        <x:v>292</x:v>
      </x:c>
      <x:c r="G376" s="27" t="n">
        <x:f>F376*SUMIFS('Inventory'!$L$5:$L$100,'Inventory'!$A$5:$A$100,A376,'Inventory'!$B$5:$B$100,C376)</x:f>
        <x:v>131.4764397905759</x:v>
      </x:c>
      <x:c r="H376" s="27" t="n">
        <x:f>'Assumptions'!E224*(1+E376)</x:f>
        <x:v>309</x:v>
      </x:c>
      <x:c r="I376" s="27" t="n">
        <x:f>G376*H376</x:f>
        <x:v>40626.219895287955</x:v>
      </x:c>
      <x:c r="J376" s="27" t="n">
        <x:f>'Products'!D12*INDEX('Assumptions'!$C$16:$N$16,1,MONTH(C376))</x:f>
        <x:v>189.72</x:v>
      </x:c>
      <x:c r="K376" s="27" t="n">
        <x:f>G376*J376</x:f>
        <x:v>24943.71015706806</x:v>
      </x:c>
      <x:c r="L376" s="27" t="n">
        <x:f>I376-K376</x:f>
        <x:v>15682.509738219895</x:v>
      </x:c>
    </x:row>
    <x:row r="377" ht="23" customHeight="1">
      <x:c r="A377" s="34" t="str">
        <x:v>0008</x:v>
      </x:c>
      <x:c r="B377" s="7" t="str">
        <x:v>North</x:v>
      </x:c>
      <x:c r="C377" s="14" t="d">
        <x:v>2026-01-01T00:00:00.000Z</x:v>
      </x:c>
      <x:c r="D377" s="27" t="n">
        <x:f>SUMIFS('Orders'!$F$5:$F$3004,'Orders'!$D$5:$D$3004,A377,'Orders'!$E$5:$E$3004,B377,'Orders'!$C$5:$C$3004,C377)</x:f>
        <x:v>53</x:v>
      </x:c>
      <x:c r="E377" s="28" t="n">
        <x:f>0</x:f>
        <x:v>0</x:v>
      </x:c>
      <x:c r="F377" s="27" t="n">
        <x:f>D377</x:f>
        <x:v>53</x:v>
      </x:c>
      <x:c r="G377" s="27" t="n">
        <x:f>F377</x:f>
        <x:v>53</x:v>
      </x:c>
      <x:c r="H377" s="27" t="n">
        <x:f>IF(F377=0,0,I377/F377)</x:f>
        <x:v>294</x:v>
      </x:c>
      <x:c r="I377" s="27" t="n">
        <x:f>SUMIFS('Orders'!$I$5:$I$3004,'Orders'!$D$5:$D$3004,A377,'Orders'!$E$5:$E$3004,B377,'Orders'!$C$5:$C$3004,C377)</x:f>
        <x:v>15582</x:v>
      </x:c>
      <x:c r="J377" s="27" t="n">
        <x:f>'Products'!D12*INDEX('Assumptions'!$C$16:$N$16,1,MONTH(C377))</x:f>
        <x:v>186</x:v>
      </x:c>
      <x:c r="K377" s="27" t="n">
        <x:f>G377*J377</x:f>
        <x:v>9858</x:v>
      </x:c>
      <x:c r="L377" s="27" t="n">
        <x:f>I377-K377</x:f>
        <x:v>5724</x:v>
      </x:c>
    </x:row>
    <x:row r="378" ht="23" customHeight="1">
      <x:c r="A378" s="34" t="str">
        <x:v>0008</x:v>
      </x:c>
      <x:c r="B378" s="7" t="str">
        <x:v>North</x:v>
      </x:c>
      <x:c r="C378" s="14" t="d">
        <x:v>2026-02-01T00:00:00.000Z</x:v>
      </x:c>
      <x:c r="D378" s="27" t="n">
        <x:f>SUMIFS('Orders'!$F$5:$F$3004,'Orders'!$D$5:$D$3004,A378,'Orders'!$E$5:$E$3004,B378,'Orders'!$C$5:$C$3004,C378)</x:f>
        <x:v>62</x:v>
      </x:c>
      <x:c r="E378" s="28" t="n">
        <x:f>0</x:f>
        <x:v>0</x:v>
      </x:c>
      <x:c r="F378" s="27" t="n">
        <x:f>D378</x:f>
        <x:v>62</x:v>
      </x:c>
      <x:c r="G378" s="27" t="n">
        <x:f>F378</x:f>
        <x:v>62</x:v>
      </x:c>
      <x:c r="H378" s="27" t="n">
        <x:f>IF(F378=0,0,I378/F378)</x:f>
        <x:v>300</x:v>
      </x:c>
      <x:c r="I378" s="27" t="n">
        <x:f>SUMIFS('Orders'!$I$5:$I$3004,'Orders'!$D$5:$D$3004,A378,'Orders'!$E$5:$E$3004,B378,'Orders'!$C$5:$C$3004,C378)</x:f>
        <x:v>18600</x:v>
      </x:c>
      <x:c r="J378" s="27" t="n">
        <x:f>'Products'!D12*INDEX('Assumptions'!$C$16:$N$16,1,MONTH(C378))</x:f>
        <x:v>186</x:v>
      </x:c>
      <x:c r="K378" s="27" t="n">
        <x:f>G378*J378</x:f>
        <x:v>11532</x:v>
      </x:c>
      <x:c r="L378" s="27" t="n">
        <x:f>I378-K378</x:f>
        <x:v>7068</x:v>
      </x:c>
    </x:row>
    <x:row r="379" ht="23" customHeight="1">
      <x:c r="A379" s="34" t="str">
        <x:v>0008</x:v>
      </x:c>
      <x:c r="B379" s="7" t="str">
        <x:v>North</x:v>
      </x:c>
      <x:c r="C379" s="14" t="d">
        <x:v>2026-03-01T00:00:00.000Z</x:v>
      </x:c>
      <x:c r="D379" s="27" t="n">
        <x:f>SUMIFS('Orders'!$F$5:$F$3004,'Orders'!$D$5:$D$3004,A379,'Orders'!$E$5:$E$3004,B379,'Orders'!$C$5:$C$3004,C379)</x:f>
        <x:v>51</x:v>
      </x:c>
      <x:c r="E379" s="28" t="n">
        <x:f>0</x:f>
        <x:v>0</x:v>
      </x:c>
      <x:c r="F379" s="27" t="n">
        <x:f>D379</x:f>
        <x:v>51</x:v>
      </x:c>
      <x:c r="G379" s="27" t="n">
        <x:f>F379</x:f>
        <x:v>51</x:v>
      </x:c>
      <x:c r="H379" s="27" t="n">
        <x:f>IF(F379=0,0,I379/F379)</x:f>
        <x:v>285</x:v>
      </x:c>
      <x:c r="I379" s="27" t="n">
        <x:f>SUMIFS('Orders'!$I$5:$I$3004,'Orders'!$D$5:$D$3004,A379,'Orders'!$E$5:$E$3004,B379,'Orders'!$C$5:$C$3004,C379)</x:f>
        <x:v>14535</x:v>
      </x:c>
      <x:c r="J379" s="27" t="n">
        <x:f>'Products'!D12*INDEX('Assumptions'!$C$16:$N$16,1,MONTH(C379))</x:f>
        <x:v>186</x:v>
      </x:c>
      <x:c r="K379" s="27" t="n">
        <x:f>G379*J379</x:f>
        <x:v>9486</x:v>
      </x:c>
      <x:c r="L379" s="27" t="n">
        <x:f>I379-K379</x:f>
        <x:v>5049</x:v>
      </x:c>
    </x:row>
    <x:row r="380" ht="23" customHeight="1">
      <x:c r="A380" s="34" t="str">
        <x:v>0008</x:v>
      </x:c>
      <x:c r="B380" s="7" t="str">
        <x:v>North</x:v>
      </x:c>
      <x:c r="C380" s="14" t="d">
        <x:v>2026-04-01T00:00:00.000Z</x:v>
      </x:c>
      <x:c r="D380" s="27" t="n">
        <x:f>SUMIFS('Orders'!$F$5:$F$3004,'Orders'!$D$5:$D$3004,A380,'Orders'!$E$5:$E$3004,B380,'Orders'!$C$5:$C$3004,C380)</x:f>
        <x:v>53</x:v>
      </x:c>
      <x:c r="E380" s="28" t="n">
        <x:f>0</x:f>
        <x:v>0</x:v>
      </x:c>
      <x:c r="F380" s="27" t="n">
        <x:f>D380</x:f>
        <x:v>53</x:v>
      </x:c>
      <x:c r="G380" s="27" t="n">
        <x:f>F380</x:f>
        <x:v>53</x:v>
      </x:c>
      <x:c r="H380" s="27" t="n">
        <x:f>IF(F380=0,0,I380/F380)</x:f>
        <x:v>294</x:v>
      </x:c>
      <x:c r="I380" s="27" t="n">
        <x:f>SUMIFS('Orders'!$I$5:$I$3004,'Orders'!$D$5:$D$3004,A380,'Orders'!$E$5:$E$3004,B380,'Orders'!$C$5:$C$3004,C380)</x:f>
        <x:v>15582</x:v>
      </x:c>
      <x:c r="J380" s="27" t="n">
        <x:f>'Products'!D12*INDEX('Assumptions'!$C$16:$N$16,1,MONTH(C380))</x:f>
        <x:v>186</x:v>
      </x:c>
      <x:c r="K380" s="27" t="n">
        <x:f>G380*J380</x:f>
        <x:v>9858</x:v>
      </x:c>
      <x:c r="L380" s="27" t="n">
        <x:f>I380-K380</x:f>
        <x:v>5724</x:v>
      </x:c>
    </x:row>
    <x:row r="381" ht="23" customHeight="1">
      <x:c r="A381" s="34" t="str">
        <x:v>0008</x:v>
      </x:c>
      <x:c r="B381" s="7" t="str">
        <x:v>North</x:v>
      </x:c>
      <x:c r="C381" s="14" t="d">
        <x:v>2026-05-01T00:00:00.000Z</x:v>
      </x:c>
      <x:c r="D381" s="27" t="n">
        <x:f>SUMIFS('Orders'!$F$5:$F$3004,'Orders'!$D$5:$D$3004,A381,'Orders'!$E$5:$E$3004,B381,'Orders'!$C$5:$C$3004,C381)</x:f>
        <x:v>50</x:v>
      </x:c>
      <x:c r="E381" s="28" t="n">
        <x:f>0</x:f>
        <x:v>0</x:v>
      </x:c>
      <x:c r="F381" s="27" t="n">
        <x:f>D381</x:f>
        <x:v>50</x:v>
      </x:c>
      <x:c r="G381" s="27" t="n">
        <x:f>F381</x:f>
        <x:v>50</x:v>
      </x:c>
      <x:c r="H381" s="27" t="n">
        <x:f>IF(F381=0,0,I381/F381)</x:f>
        <x:v>300</x:v>
      </x:c>
      <x:c r="I381" s="27" t="n">
        <x:f>SUMIFS('Orders'!$I$5:$I$3004,'Orders'!$D$5:$D$3004,A381,'Orders'!$E$5:$E$3004,B381,'Orders'!$C$5:$C$3004,C381)</x:f>
        <x:v>15000</x:v>
      </x:c>
      <x:c r="J381" s="27" t="n">
        <x:f>'Products'!D12*INDEX('Assumptions'!$C$16:$N$16,1,MONTH(C381))</x:f>
        <x:v>186</x:v>
      </x:c>
      <x:c r="K381" s="27" t="n">
        <x:f>G381*J381</x:f>
        <x:v>9300</x:v>
      </x:c>
      <x:c r="L381" s="27" t="n">
        <x:f>I381-K381</x:f>
        <x:v>5700</x:v>
      </x:c>
    </x:row>
    <x:row r="382" ht="23" customHeight="1">
      <x:c r="A382" s="34" t="str">
        <x:v>0008</x:v>
      </x:c>
      <x:c r="B382" s="7" t="str">
        <x:v>North</x:v>
      </x:c>
      <x:c r="C382" s="14" t="d">
        <x:v>2026-06-01T00:00:00.000Z</x:v>
      </x:c>
      <x:c r="D382" s="27" t="n">
        <x:f>SUMIFS('Orders'!$F$5:$F$3004,'Orders'!$D$5:$D$3004,A382,'Orders'!$E$5:$E$3004,B382,'Orders'!$C$5:$C$3004,C382)</x:f>
        <x:v>55</x:v>
      </x:c>
      <x:c r="E382" s="28" t="n">
        <x:f>0</x:f>
        <x:v>0</x:v>
      </x:c>
      <x:c r="F382" s="27" t="n">
        <x:f>D382</x:f>
        <x:v>55</x:v>
      </x:c>
      <x:c r="G382" s="27" t="n">
        <x:f>F382</x:f>
        <x:v>55</x:v>
      </x:c>
      <x:c r="H382" s="27" t="n">
        <x:f>IF(F382=0,0,I382/F382)</x:f>
        <x:v>285</x:v>
      </x:c>
      <x:c r="I382" s="27" t="n">
        <x:f>SUMIFS('Orders'!$I$5:$I$3004,'Orders'!$D$5:$D$3004,A382,'Orders'!$E$5:$E$3004,B382,'Orders'!$C$5:$C$3004,C382)</x:f>
        <x:v>15675</x:v>
      </x:c>
      <x:c r="J382" s="27" t="n">
        <x:f>'Products'!D12*INDEX('Assumptions'!$C$16:$N$16,1,MONTH(C382))</x:f>
        <x:v>186</x:v>
      </x:c>
      <x:c r="K382" s="27" t="n">
        <x:f>G382*J382</x:f>
        <x:v>10230</x:v>
      </x:c>
      <x:c r="L382" s="27" t="n">
        <x:f>I382-K382</x:f>
        <x:v>5445</x:v>
      </x:c>
    </x:row>
    <x:row r="383" ht="23" customHeight="1">
      <x:c r="A383" s="34" t="str">
        <x:v>0008</x:v>
      </x:c>
      <x:c r="B383" s="7" t="str">
        <x:v>North</x:v>
      </x:c>
      <x:c r="C383" s="14" t="d">
        <x:v>2026-07-01T00:00:00.000Z</x:v>
      </x:c>
      <x:c r="D383" s="27" t="n">
        <x:f>'Assumptions'!D225</x:f>
        <x:v>239</x:v>
      </x:c>
      <x:c r="E383" s="28" t="n">
        <x:f>INDEX('Assumptions'!$C$12:$N$12,1,MONTH(C383))</x:f>
        <x:v>0.03</x:v>
      </x:c>
      <x:c r="F383" s="27" t="n">
        <x:f>ROUND(D383*INDEX('Assumptions'!$C$8:$N$8,1,MONTH(C383))*(1-'Products'!E12*E383),0)</x:f>
        <x:v>231</x:v>
      </x:c>
      <x:c r="G383" s="27" t="n">
        <x:f>F383*SUMIFS('Inventory'!$L$5:$L$100,'Inventory'!$A$5:$A$100,A383,'Inventory'!$B$5:$B$100,C383)</x:f>
        <x:v>231</x:v>
      </x:c>
      <x:c r="H383" s="27" t="n">
        <x:f>'Assumptions'!E225*(1+E383)</x:f>
        <x:v>309</x:v>
      </x:c>
      <x:c r="I383" s="27" t="n">
        <x:f>G383*H383</x:f>
        <x:v>71379</x:v>
      </x:c>
      <x:c r="J383" s="27" t="n">
        <x:f>'Products'!D12*INDEX('Assumptions'!$C$16:$N$16,1,MONTH(C383))</x:f>
        <x:v>189.72</x:v>
      </x:c>
      <x:c r="K383" s="27" t="n">
        <x:f>G383*J383</x:f>
        <x:v>43825.32</x:v>
      </x:c>
      <x:c r="L383" s="27" t="n">
        <x:f>I383-K383</x:f>
        <x:v>27553.68</x:v>
      </x:c>
    </x:row>
    <x:row r="384" ht="23" customHeight="1">
      <x:c r="A384" s="34" t="str">
        <x:v>0008</x:v>
      </x:c>
      <x:c r="B384" s="7" t="str">
        <x:v>North</x:v>
      </x:c>
      <x:c r="C384" s="14" t="d">
        <x:v>2026-08-01T00:00:00.000Z</x:v>
      </x:c>
      <x:c r="D384" s="27" t="n">
        <x:f>'Assumptions'!D226</x:f>
        <x:v>254</x:v>
      </x:c>
      <x:c r="E384" s="28" t="n">
        <x:f>INDEX('Assumptions'!$C$12:$N$12,1,MONTH(C384))</x:f>
        <x:v>0.03</x:v>
      </x:c>
      <x:c r="F384" s="27" t="n">
        <x:f>ROUND(D384*INDEX('Assumptions'!$C$8:$N$8,1,MONTH(C384))*(1-'Products'!E12*E384),0)</x:f>
        <x:v>246</x:v>
      </x:c>
      <x:c r="G384" s="27" t="n">
        <x:f>F384*SUMIFS('Inventory'!$L$5:$L$100,'Inventory'!$A$5:$A$100,A384,'Inventory'!$B$5:$B$100,C384)</x:f>
        <x:v>246</x:v>
      </x:c>
      <x:c r="H384" s="27" t="n">
        <x:f>'Assumptions'!E226*(1+E384)</x:f>
        <x:v>309</x:v>
      </x:c>
      <x:c r="I384" s="27" t="n">
        <x:f>G384*H384</x:f>
        <x:v>76014</x:v>
      </x:c>
      <x:c r="J384" s="27" t="n">
        <x:f>'Products'!D12*INDEX('Assumptions'!$C$16:$N$16,1,MONTH(C384))</x:f>
        <x:v>189.72</x:v>
      </x:c>
      <x:c r="K384" s="27" t="n">
        <x:f>G384*J384</x:f>
        <x:v>46671.12</x:v>
      </x:c>
      <x:c r="L384" s="27" t="n">
        <x:f>I384-K384</x:f>
        <x:v>29342.879999999997</x:v>
      </x:c>
    </x:row>
    <x:row r="385" ht="23" customHeight="1">
      <x:c r="A385" s="34" t="str">
        <x:v>0008</x:v>
      </x:c>
      <x:c r="B385" s="7" t="str">
        <x:v>North</x:v>
      </x:c>
      <x:c r="C385" s="14" t="d">
        <x:v>2026-09-01T00:00:00.000Z</x:v>
      </x:c>
      <x:c r="D385" s="27" t="n">
        <x:f>'Assumptions'!D227</x:f>
        <x:v>269</x:v>
      </x:c>
      <x:c r="E385" s="28" t="n">
        <x:f>INDEX('Assumptions'!$C$12:$N$12,1,MONTH(C385))</x:f>
        <x:v>0.03</x:v>
      </x:c>
      <x:c r="F385" s="27" t="n">
        <x:f>ROUND(D385*INDEX('Assumptions'!$C$8:$N$8,1,MONTH(C385))*(1-'Products'!E12*E385),0)</x:f>
        <x:v>260</x:v>
      </x:c>
      <x:c r="G385" s="27" t="n">
        <x:f>F385*SUMIFS('Inventory'!$L$5:$L$100,'Inventory'!$A$5:$A$100,A385,'Inventory'!$B$5:$B$100,C385)</x:f>
        <x:v>260</x:v>
      </x:c>
      <x:c r="H385" s="27" t="n">
        <x:f>'Assumptions'!E227*(1+E385)</x:f>
        <x:v>309</x:v>
      </x:c>
      <x:c r="I385" s="27" t="n">
        <x:f>G385*H385</x:f>
        <x:v>80340</x:v>
      </x:c>
      <x:c r="J385" s="27" t="n">
        <x:f>'Products'!D12*INDEX('Assumptions'!$C$16:$N$16,1,MONTH(C385))</x:f>
        <x:v>189.72</x:v>
      </x:c>
      <x:c r="K385" s="27" t="n">
        <x:f>G385*J385</x:f>
        <x:v>49327.2</x:v>
      </x:c>
      <x:c r="L385" s="27" t="n">
        <x:f>I385-K385</x:f>
        <x:v>31012.800000000003</x:v>
      </x:c>
    </x:row>
    <x:row r="386" ht="23" customHeight="1">
      <x:c r="A386" s="34" t="str">
        <x:v>0008</x:v>
      </x:c>
      <x:c r="B386" s="7" t="str">
        <x:v>North</x:v>
      </x:c>
      <x:c r="C386" s="14" t="d">
        <x:v>2026-10-01T00:00:00.000Z</x:v>
      </x:c>
      <x:c r="D386" s="27" t="n">
        <x:f>'Assumptions'!D228</x:f>
        <x:v>284</x:v>
      </x:c>
      <x:c r="E386" s="28" t="n">
        <x:f>INDEX('Assumptions'!$C$12:$N$12,1,MONTH(C386))</x:f>
        <x:v>0.03</x:v>
      </x:c>
      <x:c r="F386" s="27" t="n">
        <x:f>ROUND(D386*INDEX('Assumptions'!$C$8:$N$8,1,MONTH(C386))*(1-'Products'!E12*E386),0)</x:f>
        <x:v>275</x:v>
      </x:c>
      <x:c r="G386" s="27" t="n">
        <x:f>F386*SUMIFS('Inventory'!$L$5:$L$100,'Inventory'!$A$5:$A$100,A386,'Inventory'!$B$5:$B$100,C386)</x:f>
        <x:v>264.310009718173</x:v>
      </x:c>
      <x:c r="H386" s="27" t="n">
        <x:f>'Assumptions'!E228*(1+E386)</x:f>
        <x:v>309</x:v>
      </x:c>
      <x:c r="I386" s="27" t="n">
        <x:f>G386*H386</x:f>
        <x:v>81671.79300291545</x:v>
      </x:c>
      <x:c r="J386" s="27" t="n">
        <x:f>'Products'!D12*INDEX('Assumptions'!$C$16:$N$16,1,MONTH(C386))</x:f>
        <x:v>189.72</x:v>
      </x:c>
      <x:c r="K386" s="27" t="n">
        <x:f>G386*J386</x:f>
        <x:v>50144.895043731776</x:v>
      </x:c>
      <x:c r="L386" s="27" t="n">
        <x:f>I386-K386</x:f>
        <x:v>31526.897959183676</x:v>
      </x:c>
    </x:row>
    <x:row r="387" ht="23" customHeight="1">
      <x:c r="A387" s="34" t="str">
        <x:v>0008</x:v>
      </x:c>
      <x:c r="B387" s="7" t="str">
        <x:v>North</x:v>
      </x:c>
      <x:c r="C387" s="14" t="d">
        <x:v>2026-11-01T00:00:00.000Z</x:v>
      </x:c>
      <x:c r="D387" s="27" t="n">
        <x:f>'Assumptions'!D229</x:f>
        <x:v>299</x:v>
      </x:c>
      <x:c r="E387" s="28" t="n">
        <x:f>INDEX('Assumptions'!$C$12:$N$12,1,MONTH(C387))</x:f>
        <x:v>0.03</x:v>
      </x:c>
      <x:c r="F387" s="27" t="n">
        <x:f>ROUND(D387*INDEX('Assumptions'!$C$8:$N$8,1,MONTH(C387))*(1-'Products'!E12*E387),0)</x:f>
        <x:v>289</x:v>
      </x:c>
      <x:c r="G387" s="27" t="n">
        <x:f>F387*SUMIFS('Inventory'!$L$5:$L$100,'Inventory'!$A$5:$A$100,A387,'Inventory'!$B$5:$B$100,C387)</x:f>
        <x:v>137.18859245630176</x:v>
      </x:c>
      <x:c r="H387" s="27" t="n">
        <x:f>'Assumptions'!E229*(1+E387)</x:f>
        <x:v>309</x:v>
      </x:c>
      <x:c r="I387" s="27" t="n">
        <x:f>G387*H387</x:f>
        <x:v>42391.275068997245</x:v>
      </x:c>
      <x:c r="J387" s="27" t="n">
        <x:f>'Products'!D12*INDEX('Assumptions'!$C$16:$N$16,1,MONTH(C387))</x:f>
        <x:v>189.72</x:v>
      </x:c>
      <x:c r="K387" s="27" t="n">
        <x:f>G387*J387</x:f>
        <x:v>26027.41976080957</x:v>
      </x:c>
      <x:c r="L387" s="27" t="n">
        <x:f>I387-K387</x:f>
        <x:v>16363.855308187674</x:v>
      </x:c>
    </x:row>
    <x:row r="388" ht="23" customHeight="1">
      <x:c r="A388" s="34" t="str">
        <x:v>0008</x:v>
      </x:c>
      <x:c r="B388" s="7" t="str">
        <x:v>North</x:v>
      </x:c>
      <x:c r="C388" s="14" t="d">
        <x:v>2026-12-01T00:00:00.000Z</x:v>
      </x:c>
      <x:c r="D388" s="27" t="n">
        <x:f>'Assumptions'!D230</x:f>
        <x:v>314</x:v>
      </x:c>
      <x:c r="E388" s="28" t="n">
        <x:f>INDEX('Assumptions'!$C$12:$N$12,1,MONTH(C388))</x:f>
        <x:v>0.03</x:v>
      </x:c>
      <x:c r="F388" s="27" t="n">
        <x:f>ROUND(D388*INDEX('Assumptions'!$C$8:$N$8,1,MONTH(C388))*(1-'Products'!E12*E388),0)</x:f>
        <x:v>304</x:v>
      </x:c>
      <x:c r="G388" s="27" t="n">
        <x:f>F388*SUMIFS('Inventory'!$L$5:$L$100,'Inventory'!$A$5:$A$100,A388,'Inventory'!$B$5:$B$100,C388)</x:f>
        <x:v>136.87958115183244</x:v>
      </x:c>
      <x:c r="H388" s="27" t="n">
        <x:f>'Assumptions'!E230*(1+E388)</x:f>
        <x:v>309</x:v>
      </x:c>
      <x:c r="I388" s="27" t="n">
        <x:f>G388*H388</x:f>
        <x:v>42295.790575916224</x:v>
      </x:c>
      <x:c r="J388" s="27" t="n">
        <x:f>'Products'!D12*INDEX('Assumptions'!$C$16:$N$16,1,MONTH(C388))</x:f>
        <x:v>189.72</x:v>
      </x:c>
      <x:c r="K388" s="27" t="n">
        <x:f>G388*J388</x:f>
        <x:v>25968.79413612565</x:v>
      </x:c>
      <x:c r="L388" s="27" t="n">
        <x:f>I388-K388</x:f>
        <x:v>16326.996439790575</x:v>
      </x:c>
    </x:row>
    <x:row r="389" ht="23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</x:sheetData>
  <x:conditionalFormatting sqref="K5:L38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5c752a32894118"/>
  </x:tableParts>
</x:worksheet>
</file>

<file path=xl/worksheets/sheet5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Rebates | distributor 2026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40" customHeight="1">
      <x:c r="A4" s="6" t="str">
        <x:v>Region</x:v>
      </x:c>
      <x:c r="B4" s="6" t="str">
        <x:v>Month</x:v>
      </x:c>
      <x:c r="C4" s="6" t="str">
        <x:v>GrossRevenue</x:v>
      </x:c>
      <x:c r="D4" s="6" t="str">
        <x:v>Rebate</x:v>
      </x:c>
      <x:c r="E4" s="6" t="str">
        <x:v>NetRevenue</x:v>
      </x:c>
      <x:c r="F4" s="6" t="str">
        <x:v>EffectiveRate</x:v>
      </x:c>
    </x:row>
    <x:row r="5" ht="23" customHeight="1">
      <x:c r="A5" s="7" t="str">
        <x:v>Central</x:v>
      </x:c>
      <x:c r="B5" s="14" t="d">
        <x:v>2026-01-01T00:00:00.000Z</x:v>
      </x:c>
      <x:c r="C5" s="27" t="n">
        <x:f>SUMIFS('Sales'!$I$5:$I$388,'Sales'!$B$5:$B$388,A5,'Sales'!$C$5:$C$388,B5)</x:f>
        <x:v>111511</x:v>
      </x:c>
      <x:c r="D5" s="27" t="n">
        <x:f>C5*'Assumptions'!$G$28</x:f>
        <x:v>2230.2200000000003</x:v>
      </x:c>
      <x:c r="E5" s="27" t="n">
        <x:f>C5-D5</x:f>
        <x:v>109280.78</x:v>
      </x:c>
      <x:c r="F5" s="28" t="n">
        <x:f>IF(C5=0,"n.a.",D5/C5)</x:f>
        <x:v>0.020000000000000004</x:v>
      </x:c>
    </x:row>
    <x:row r="6" ht="23" customHeight="1">
      <x:c r="A6" s="7" t="str">
        <x:v>Central</x:v>
      </x:c>
      <x:c r="B6" s="14" t="d">
        <x:v>2026-02-01T00:00:00.000Z</x:v>
      </x:c>
      <x:c r="C6" s="27" t="n">
        <x:f>SUMIFS('Sales'!$I$5:$I$388,'Sales'!$B$5:$B$388,A6,'Sales'!$C$5:$C$388,B6)</x:f>
        <x:v>108002.6</x:v>
      </x:c>
      <x:c r="D6" s="27" t="n">
        <x:f>C6*'Assumptions'!$G$28</x:f>
        <x:v>2160.052</x:v>
      </x:c>
      <x:c r="E6" s="27" t="n">
        <x:f>C6-D6</x:f>
        <x:v>105842.54800000001</x:v>
      </x:c>
      <x:c r="F6" s="28" t="n">
        <x:f>IF(C6=0,"n.a.",D6/C6)</x:f>
        <x:v>0.02</x:v>
      </x:c>
    </x:row>
    <x:row r="7" ht="23" customHeight="1">
      <x:c r="A7" s="7" t="str">
        <x:v>Central</x:v>
      </x:c>
      <x:c r="B7" s="14" t="d">
        <x:v>2026-03-01T00:00:00.000Z</x:v>
      </x:c>
      <x:c r="C7" s="27" t="n">
        <x:f>SUMIFS('Sales'!$I$5:$I$388,'Sales'!$B$5:$B$388,A7,'Sales'!$C$5:$C$388,B7)</x:f>
        <x:v>109344.59999999998</x:v>
      </x:c>
      <x:c r="D7" s="27" t="n">
        <x:f>C7*'Assumptions'!$G$28</x:f>
        <x:v>2186.8919999999994</x:v>
      </x:c>
      <x:c r="E7" s="27" t="n">
        <x:f>C7-D7</x:f>
        <x:v>107157.70799999998</x:v>
      </x:c>
      <x:c r="F7" s="28" t="n">
        <x:f>IF(C7=0,"n.a.",D7/C7)</x:f>
        <x:v>0.019999999999999997</x:v>
      </x:c>
    </x:row>
    <x:row r="8" ht="23" customHeight="1">
      <x:c r="A8" s="7" t="str">
        <x:v>Central</x:v>
      </x:c>
      <x:c r="B8" s="14" t="d">
        <x:v>2026-04-01T00:00:00.000Z</x:v>
      </x:c>
      <x:c r="C8" s="27" t="n">
        <x:f>SUMIFS('Sales'!$I$5:$I$388,'Sales'!$B$5:$B$388,A8,'Sales'!$C$5:$C$388,B8)</x:f>
        <x:v>107319</x:v>
      </x:c>
      <x:c r="D8" s="27" t="n">
        <x:f>C8*'Assumptions'!$G$28</x:f>
        <x:v>2146.38</x:v>
      </x:c>
      <x:c r="E8" s="27" t="n">
        <x:f>C8-D8</x:f>
        <x:v>105172.62</x:v>
      </x:c>
      <x:c r="F8" s="28" t="n">
        <x:f>IF(C8=0,"n.a.",D8/C8)</x:f>
        <x:v>0.02</x:v>
      </x:c>
    </x:row>
    <x:row r="9" ht="23" customHeight="1">
      <x:c r="A9" s="7" t="str">
        <x:v>Central</x:v>
      </x:c>
      <x:c r="B9" s="14" t="d">
        <x:v>2026-05-01T00:00:00.000Z</x:v>
      </x:c>
      <x:c r="C9" s="27" t="n">
        <x:f>SUMIFS('Sales'!$I$5:$I$388,'Sales'!$B$5:$B$388,A9,'Sales'!$C$5:$C$388,B9)</x:f>
        <x:v>98059.2</x:v>
      </x:c>
      <x:c r="D9" s="27" t="n">
        <x:f>C9*'Assumptions'!$G$28</x:f>
        <x:v>1961.184</x:v>
      </x:c>
      <x:c r="E9" s="27" t="n">
        <x:f>C9-D9</x:f>
        <x:v>96098.016</x:v>
      </x:c>
      <x:c r="F9" s="28" t="n">
        <x:f>IF(C9=0,"n.a.",D9/C9)</x:f>
        <x:v>0.02</x:v>
      </x:c>
    </x:row>
    <x:row r="10" ht="23" customHeight="1">
      <x:c r="A10" s="7" t="str">
        <x:v>Central</x:v>
      </x:c>
      <x:c r="B10" s="14" t="d">
        <x:v>2026-06-01T00:00:00.000Z</x:v>
      </x:c>
      <x:c r="C10" s="27" t="n">
        <x:f>SUMIFS('Sales'!$I$5:$I$388,'Sales'!$B$5:$B$388,A10,'Sales'!$C$5:$C$388,B10)</x:f>
        <x:v>101545</x:v>
      </x:c>
      <x:c r="D10" s="27" t="n">
        <x:f>C10*'Assumptions'!$G$28</x:f>
        <x:v>2030.9</x:v>
      </x:c>
      <x:c r="E10" s="27" t="n">
        <x:f>C10-D10</x:f>
        <x:v>99514.1</x:v>
      </x:c>
      <x:c r="F10" s="28" t="n">
        <x:f>IF(C10=0,"n.a.",D10/C10)</x:f>
        <x:v>0.02</x:v>
      </x:c>
    </x:row>
    <x:row r="11" ht="23" customHeight="1">
      <x:c r="A11" s="7" t="str">
        <x:v>Central</x:v>
      </x:c>
      <x:c r="B11" s="14" t="d">
        <x:v>2026-07-01T00:00:00.000Z</x:v>
      </x:c>
      <x:c r="C11" s="27" t="n">
        <x:f>SUMIFS('Sales'!$I$5:$I$388,'Sales'!$B$5:$B$388,A11,'Sales'!$C$5:$C$388,B11)</x:f>
        <x:v>323564.2</x:v>
      </x:c>
      <x:c r="D11" s="27" t="n">
        <x:f>C11*'Assumptions'!$G$28</x:f>
        <x:v>6471.284000000001</x:v>
      </x:c>
      <x:c r="E11" s="27" t="n">
        <x:f>C11-D11</x:f>
        <x:v>317092.916</x:v>
      </x:c>
      <x:c r="F11" s="28" t="n">
        <x:f>IF(C11=0,"n.a.",D11/C11)</x:f>
        <x:v>0.02</x:v>
      </x:c>
    </x:row>
    <x:row r="12" ht="23" customHeight="1">
      <x:c r="A12" s="7" t="str">
        <x:v>Central</x:v>
      </x:c>
      <x:c r="B12" s="14" t="d">
        <x:v>2026-08-01T00:00:00.000Z</x:v>
      </x:c>
      <x:c r="C12" s="27" t="n">
        <x:f>SUMIFS('Sales'!$I$5:$I$388,'Sales'!$B$5:$B$388,A12,'Sales'!$C$5:$C$388,B12)</x:f>
        <x:v>351724.4</x:v>
      </x:c>
      <x:c r="D12" s="27" t="n">
        <x:f>C12*'Assumptions'!$G$28</x:f>
        <x:v>7034.488</x:v>
      </x:c>
      <x:c r="E12" s="27" t="n">
        <x:f>C12-D12</x:f>
        <x:v>344689.912</x:v>
      </x:c>
      <x:c r="F12" s="28" t="n">
        <x:f>IF(C12=0,"n.a.",D12/C12)</x:f>
        <x:v>0.02</x:v>
      </x:c>
    </x:row>
    <x:row r="13" ht="23" customHeight="1">
      <x:c r="A13" s="7" t="str">
        <x:v>Central</x:v>
      </x:c>
      <x:c r="B13" s="14" t="d">
        <x:v>2026-09-01T00:00:00.000Z</x:v>
      </x:c>
      <x:c r="C13" s="27" t="n">
        <x:f>SUMIFS('Sales'!$I$5:$I$388,'Sales'!$B$5:$B$388,A13,'Sales'!$C$5:$C$388,B13)</x:f>
        <x:v>371737.1462686567</x:v>
      </x:c>
      <x:c r="D13" s="27" t="n">
        <x:f>C13*'Assumptions'!$G$28</x:f>
        <x:v>7434.742925373134</x:v>
      </x:c>
      <x:c r="E13" s="27" t="n">
        <x:f>C13-D13</x:f>
        <x:v>364302.4033432836</x:v>
      </x:c>
      <x:c r="F13" s="28" t="n">
        <x:f>IF(C13=0,"n.a.",D13/C13)</x:f>
        <x:v>0.02</x:v>
      </x:c>
    </x:row>
    <x:row r="14" ht="23" customHeight="1">
      <x:c r="A14" s="7" t="str">
        <x:v>Central</x:v>
      </x:c>
      <x:c r="B14" s="14" t="d">
        <x:v>2026-10-01T00:00:00.000Z</x:v>
      </x:c>
      <x:c r="C14" s="27" t="n">
        <x:f>SUMIFS('Sales'!$I$5:$I$388,'Sales'!$B$5:$B$388,A14,'Sales'!$C$5:$C$388,B14)</x:f>
        <x:v>288187.88183637103</x:v>
      </x:c>
      <x:c r="D14" s="27" t="n">
        <x:f>C14*'Assumptions'!$G$28</x:f>
        <x:v>5763.7576367274205</x:v>
      </x:c>
      <x:c r="E14" s="27" t="n">
        <x:f>C14-D14</x:f>
        <x:v>282424.1241996436</x:v>
      </x:c>
      <x:c r="F14" s="28" t="n">
        <x:f>IF(C14=0,"n.a.",D14/C14)</x:f>
        <x:v>0.02</x:v>
      </x:c>
    </x:row>
    <x:row r="15" ht="23" customHeight="1">
      <x:c r="A15" s="7" t="str">
        <x:v>Central</x:v>
      </x:c>
      <x:c r="B15" s="14" t="d">
        <x:v>2026-11-01T00:00:00.000Z</x:v>
      </x:c>
      <x:c r="C15" s="27" t="n">
        <x:f>SUMIFS('Sales'!$I$5:$I$388,'Sales'!$B$5:$B$388,A15,'Sales'!$C$5:$C$388,B15)</x:f>
        <x:v>202922.6461968409</x:v>
      </x:c>
      <x:c r="D15" s="27" t="n">
        <x:f>C15*'Assumptions'!$G$28</x:f>
        <x:v>4058.4529239368185</x:v>
      </x:c>
      <x:c r="E15" s="27" t="n">
        <x:f>C15-D15</x:f>
        <x:v>198864.1932729041</x:v>
      </x:c>
      <x:c r="F15" s="28" t="n">
        <x:f>IF(C15=0,"n.a.",D15/C15)</x:f>
        <x:v>0.02</x:v>
      </x:c>
    </x:row>
    <x:row r="16" ht="23" customHeight="1">
      <x:c r="A16" s="7" t="str">
        <x:v>Central</x:v>
      </x:c>
      <x:c r="B16" s="14" t="d">
        <x:v>2026-12-01T00:00:00.000Z</x:v>
      </x:c>
      <x:c r="C16" s="27" t="n">
        <x:f>SUMIFS('Sales'!$I$5:$I$388,'Sales'!$B$5:$B$388,A16,'Sales'!$C$5:$C$388,B16)</x:f>
        <x:v>203870.25280569805</x:v>
      </x:c>
      <x:c r="D16" s="27" t="n">
        <x:f>C16*'Assumptions'!$G$28</x:f>
        <x:v>4077.405056113961</x:v>
      </x:c>
      <x:c r="E16" s="27" t="n">
        <x:f>C16-D16</x:f>
        <x:v>199792.8477495841</x:v>
      </x:c>
      <x:c r="F16" s="28" t="n">
        <x:f>IF(C16=0,"n.a.",D16/C16)</x:f>
        <x:v>0.02</x:v>
      </x:c>
    </x:row>
    <x:row r="17" ht="23" customHeight="1">
      <x:c r="A17" s="7" t="str">
        <x:v>East</x:v>
      </x:c>
      <x:c r="B17" s="14" t="d">
        <x:v>2026-01-01T00:00:00.000Z</x:v>
      </x:c>
      <x:c r="C17" s="27" t="n">
        <x:f>SUMIFS('Sales'!$I$5:$I$388,'Sales'!$B$5:$B$388,A17,'Sales'!$C$5:$C$388,B17)</x:f>
        <x:v>118630.4</x:v>
      </x:c>
      <x:c r="D17" s="27" t="n">
        <x:f>C17*'Assumptions'!$G$28</x:f>
        <x:v>2372.6079999999997</x:v>
      </x:c>
      <x:c r="E17" s="27" t="n">
        <x:f>C17-D17</x:f>
        <x:v>116257.792</x:v>
      </x:c>
      <x:c r="F17" s="28" t="n">
        <x:f>IF(C17=0,"n.a.",D17/C17)</x:f>
        <x:v>0.019999999999999997</x:v>
      </x:c>
    </x:row>
    <x:row r="18" ht="23" customHeight="1">
      <x:c r="A18" s="7" t="str">
        <x:v>East</x:v>
      </x:c>
      <x:c r="B18" s="14" t="d">
        <x:v>2026-02-01T00:00:00.000Z</x:v>
      </x:c>
      <x:c r="C18" s="27" t="n">
        <x:f>SUMIFS('Sales'!$I$5:$I$388,'Sales'!$B$5:$B$388,A18,'Sales'!$C$5:$C$388,B18)</x:f>
        <x:v>108153.20000000001</x:v>
      </x:c>
      <x:c r="D18" s="27" t="n">
        <x:f>C18*'Assumptions'!$G$28</x:f>
        <x:v>2163.0640000000003</x:v>
      </x:c>
      <x:c r="E18" s="27" t="n">
        <x:f>C18-D18</x:f>
        <x:v>105990.13600000001</x:v>
      </x:c>
      <x:c r="F18" s="28" t="n">
        <x:f>IF(C18=0,"n.a.",D18/C18)</x:f>
        <x:v>0.02</x:v>
      </x:c>
    </x:row>
    <x:row r="19" ht="23" customHeight="1">
      <x:c r="A19" s="7" t="str">
        <x:v>East</x:v>
      </x:c>
      <x:c r="B19" s="14" t="d">
        <x:v>2026-03-01T00:00:00.000Z</x:v>
      </x:c>
      <x:c r="C19" s="27" t="n">
        <x:f>SUMIFS('Sales'!$I$5:$I$388,'Sales'!$B$5:$B$388,A19,'Sales'!$C$5:$C$388,B19)</x:f>
        <x:v>101996.59999999999</x:v>
      </x:c>
      <x:c r="D19" s="27" t="n">
        <x:f>C19*'Assumptions'!$G$28</x:f>
        <x:v>2039.9319999999998</x:v>
      </x:c>
      <x:c r="E19" s="27" t="n">
        <x:f>C19-D19</x:f>
        <x:v>99956.66799999999</x:v>
      </x:c>
      <x:c r="F19" s="28" t="n">
        <x:f>IF(C19=0,"n.a.",D19/C19)</x:f>
        <x:v>0.02</x:v>
      </x:c>
    </x:row>
    <x:row r="20" ht="23" customHeight="1">
      <x:c r="A20" s="7" t="str">
        <x:v>East</x:v>
      </x:c>
      <x:c r="B20" s="14" t="d">
        <x:v>2026-04-01T00:00:00.000Z</x:v>
      </x:c>
      <x:c r="C20" s="27" t="n">
        <x:f>SUMIFS('Sales'!$I$5:$I$388,'Sales'!$B$5:$B$388,A20,'Sales'!$C$5:$C$388,B20)</x:f>
        <x:v>116836.8</x:v>
      </x:c>
      <x:c r="D20" s="27" t="n">
        <x:f>C20*'Assumptions'!$G$28</x:f>
        <x:v>2336.7360000000003</x:v>
      </x:c>
      <x:c r="E20" s="27" t="n">
        <x:f>C20-D20</x:f>
        <x:v>114500.064</x:v>
      </x:c>
      <x:c r="F20" s="28" t="n">
        <x:f>IF(C20=0,"n.a.",D20/C20)</x:f>
        <x:v>0.020000000000000004</x:v>
      </x:c>
    </x:row>
    <x:row r="21" ht="23" customHeight="1">
      <x:c r="A21" s="7" t="str">
        <x:v>East</x:v>
      </x:c>
      <x:c r="B21" s="14" t="d">
        <x:v>2026-05-01T00:00:00.000Z</x:v>
      </x:c>
      <x:c r="C21" s="27" t="n">
        <x:f>SUMIFS('Sales'!$I$5:$I$388,'Sales'!$B$5:$B$388,A21,'Sales'!$C$5:$C$388,B21)</x:f>
        <x:v>97997</x:v>
      </x:c>
      <x:c r="D21" s="27" t="n">
        <x:f>C21*'Assumptions'!$G$28</x:f>
        <x:v>1959.94</x:v>
      </x:c>
      <x:c r="E21" s="27" t="n">
        <x:f>C21-D21</x:f>
        <x:v>96037.06</x:v>
      </x:c>
      <x:c r="F21" s="28" t="n">
        <x:f>IF(C21=0,"n.a.",D21/C21)</x:f>
        <x:v>0.02</x:v>
      </x:c>
    </x:row>
    <x:row r="22" ht="23" customHeight="1">
      <x:c r="A22" s="7" t="str">
        <x:v>East</x:v>
      </x:c>
      <x:c r="B22" s="14" t="d">
        <x:v>2026-06-01T00:00:00.000Z</x:v>
      </x:c>
      <x:c r="C22" s="27" t="n">
        <x:f>SUMIFS('Sales'!$I$5:$I$388,'Sales'!$B$5:$B$388,A22,'Sales'!$C$5:$C$388,B22)</x:f>
        <x:v>102617.4</x:v>
      </x:c>
      <x:c r="D22" s="27" t="n">
        <x:f>C22*'Assumptions'!$G$28</x:f>
        <x:v>2052.348</x:v>
      </x:c>
      <x:c r="E22" s="27" t="n">
        <x:f>C22-D22</x:f>
        <x:v>100565.052</x:v>
      </x:c>
      <x:c r="F22" s="28" t="n">
        <x:f>IF(C22=0,"n.a.",D22/C22)</x:f>
        <x:v>0.02</x:v>
      </x:c>
    </x:row>
    <x:row r="23" ht="23" customHeight="1">
      <x:c r="A23" s="7" t="str">
        <x:v>East</x:v>
      </x:c>
      <x:c r="B23" s="14" t="d">
        <x:v>2026-07-01T00:00:00.000Z</x:v>
      </x:c>
      <x:c r="C23" s="27" t="n">
        <x:f>SUMIFS('Sales'!$I$5:$I$388,'Sales'!$B$5:$B$388,A23,'Sales'!$C$5:$C$388,B23)</x:f>
        <x:v>346038.8</x:v>
      </x:c>
      <x:c r="D23" s="27" t="n">
        <x:f>C23*'Assumptions'!$G$28</x:f>
        <x:v>6920.776</x:v>
      </x:c>
      <x:c r="E23" s="27" t="n">
        <x:f>C23-D23</x:f>
        <x:v>339118.024</x:v>
      </x:c>
      <x:c r="F23" s="28" t="n">
        <x:f>IF(C23=0,"n.a.",D23/C23)</x:f>
        <x:v>0.02</x:v>
      </x:c>
    </x:row>
    <x:row r="24" ht="23" customHeight="1">
      <x:c r="A24" s="7" t="str">
        <x:v>East</x:v>
      </x:c>
      <x:c r="B24" s="14" t="d">
        <x:v>2026-08-01T00:00:00.000Z</x:v>
      </x:c>
      <x:c r="C24" s="27" t="n">
        <x:f>SUMIFS('Sales'!$I$5:$I$388,'Sales'!$B$5:$B$388,A24,'Sales'!$C$5:$C$388,B24)</x:f>
        <x:v>373457.4</x:v>
      </x:c>
      <x:c r="D24" s="27" t="n">
        <x:f>C24*'Assumptions'!$G$28</x:f>
        <x:v>7469.148000000001</x:v>
      </x:c>
      <x:c r="E24" s="27" t="n">
        <x:f>C24-D24</x:f>
        <x:v>365988.25200000004</x:v>
      </x:c>
      <x:c r="F24" s="28" t="n">
        <x:f>IF(C24=0,"n.a.",D24/C24)</x:f>
        <x:v>0.02</x:v>
      </x:c>
    </x:row>
    <x:row r="25" ht="23" customHeight="1">
      <x:c r="A25" s="7" t="str">
        <x:v>East</x:v>
      </x:c>
      <x:c r="B25" s="14" t="d">
        <x:v>2026-09-01T00:00:00.000Z</x:v>
      </x:c>
      <x:c r="C25" s="27" t="n">
        <x:f>SUMIFS('Sales'!$I$5:$I$388,'Sales'!$B$5:$B$388,A25,'Sales'!$C$5:$C$388,B25)</x:f>
        <x:v>393822.80597014923</x:v>
      </x:c>
      <x:c r="D25" s="27" t="n">
        <x:f>C25*'Assumptions'!$G$28</x:f>
        <x:v>7876.456119402985</x:v>
      </x:c>
      <x:c r="E25" s="27" t="n">
        <x:f>C25-D25</x:f>
        <x:v>385946.3498507462</x:v>
      </x:c>
      <x:c r="F25" s="28" t="n">
        <x:f>IF(C25=0,"n.a.",D25/C25)</x:f>
        <x:v>0.02</x:v>
      </x:c>
    </x:row>
    <x:row r="26" ht="23" customHeight="1">
      <x:c r="A26" s="7" t="str">
        <x:v>East</x:v>
      </x:c>
      <x:c r="B26" s="14" t="d">
        <x:v>2026-10-01T00:00:00.000Z</x:v>
      </x:c>
      <x:c r="C26" s="27" t="n">
        <x:f>SUMIFS('Sales'!$I$5:$I$388,'Sales'!$B$5:$B$388,A26,'Sales'!$C$5:$C$388,B26)</x:f>
        <x:v>303596.7080762817</x:v>
      </x:c>
      <x:c r="D26" s="27" t="n">
        <x:f>C26*'Assumptions'!$G$28</x:f>
        <x:v>6071.934161525634</x:v>
      </x:c>
      <x:c r="E26" s="27" t="n">
        <x:f>C26-D26</x:f>
        <x:v>297524.7739147561</x:v>
      </x:c>
      <x:c r="F26" s="28" t="n">
        <x:f>IF(C26=0,"n.a.",D26/C26)</x:f>
        <x:v>0.02</x:v>
      </x:c>
    </x:row>
    <x:row r="27" ht="23" customHeight="1">
      <x:c r="A27" s="7" t="str">
        <x:v>East</x:v>
      </x:c>
      <x:c r="B27" s="14" t="d">
        <x:v>2026-11-01T00:00:00.000Z</x:v>
      </x:c>
      <x:c r="C27" s="27" t="n">
        <x:f>SUMIFS('Sales'!$I$5:$I$388,'Sales'!$B$5:$B$388,A27,'Sales'!$C$5:$C$388,B27)</x:f>
        <x:v>213422.31505444204</x:v>
      </x:c>
      <x:c r="D27" s="27" t="n">
        <x:f>C27*'Assumptions'!$G$28</x:f>
        <x:v>4268.446301088841</x:v>
      </x:c>
      <x:c r="E27" s="27" t="n">
        <x:f>C27-D27</x:f>
        <x:v>209153.8687533532</x:v>
      </x:c>
      <x:c r="F27" s="28" t="n">
        <x:f>IF(C27=0,"n.a.",D27/C27)</x:f>
        <x:v>0.020000000000000004</x:v>
      </x:c>
    </x:row>
    <x:row r="28" ht="23" customHeight="1">
      <x:c r="A28" s="7" t="str">
        <x:v>East</x:v>
      </x:c>
      <x:c r="B28" s="14" t="d">
        <x:v>2026-12-01T00:00:00.000Z</x:v>
      </x:c>
      <x:c r="C28" s="27" t="n">
        <x:f>SUMIFS('Sales'!$I$5:$I$388,'Sales'!$B$5:$B$388,A28,'Sales'!$C$5:$C$388,B28)</x:f>
        <x:v>213638.54690968632</x:v>
      </x:c>
      <x:c r="D28" s="27" t="n">
        <x:f>C28*'Assumptions'!$G$28</x:f>
        <x:v>4272.770938193727</x:v>
      </x:c>
      <x:c r="E28" s="27" t="n">
        <x:f>C28-D28</x:f>
        <x:v>209365.7759714926</x:v>
      </x:c>
      <x:c r="F28" s="28" t="n">
        <x:f>IF(C28=0,"n.a.",D28/C28)</x:f>
        <x:v>0.02</x:v>
      </x:c>
    </x:row>
    <x:row r="29" ht="23" customHeight="1">
      <x:c r="A29" s="7" t="str">
        <x:v>West</x:v>
      </x:c>
      <x:c r="B29" s="14" t="d">
        <x:v>2026-01-01T00:00:00.000Z</x:v>
      </x:c>
      <x:c r="C29" s="27" t="n">
        <x:f>SUMIFS('Sales'!$I$5:$I$388,'Sales'!$B$5:$B$388,A29,'Sales'!$C$5:$C$388,B29)</x:f>
        <x:v>112354</x:v>
      </x:c>
      <x:c r="D29" s="27" t="n">
        <x:f>C29*'Assumptions'!$G$28</x:f>
        <x:v>2247.08</x:v>
      </x:c>
      <x:c r="E29" s="27" t="n">
        <x:f>C29-D29</x:f>
        <x:v>110106.92</x:v>
      </x:c>
      <x:c r="F29" s="28" t="n">
        <x:f>IF(C29=0,"n.a.",D29/C29)</x:f>
        <x:v>0.02</x:v>
      </x:c>
    </x:row>
    <x:row r="30" ht="23" customHeight="1">
      <x:c r="A30" s="7" t="str">
        <x:v>West</x:v>
      </x:c>
      <x:c r="B30" s="14" t="d">
        <x:v>2026-02-01T00:00:00.000Z</x:v>
      </x:c>
      <x:c r="C30" s="27" t="n">
        <x:f>SUMIFS('Sales'!$I$5:$I$388,'Sales'!$B$5:$B$388,A30,'Sales'!$C$5:$C$388,B30)</x:f>
        <x:v>114082.2</x:v>
      </x:c>
      <x:c r="D30" s="27" t="n">
        <x:f>C30*'Assumptions'!$G$28</x:f>
        <x:v>2281.644</x:v>
      </x:c>
      <x:c r="E30" s="27" t="n">
        <x:f>C30-D30</x:f>
        <x:v>111800.556</x:v>
      </x:c>
      <x:c r="F30" s="28" t="n">
        <x:f>IF(C30=0,"n.a.",D30/C30)</x:f>
        <x:v>0.019999999999999997</x:v>
      </x:c>
    </x:row>
    <x:row r="31" ht="23" customHeight="1">
      <x:c r="A31" s="7" t="str">
        <x:v>West</x:v>
      </x:c>
      <x:c r="B31" s="14" t="d">
        <x:v>2026-03-01T00:00:00.000Z</x:v>
      </x:c>
      <x:c r="C31" s="27" t="n">
        <x:f>SUMIFS('Sales'!$I$5:$I$388,'Sales'!$B$5:$B$388,A31,'Sales'!$C$5:$C$388,B31)</x:f>
        <x:v>111417.6</x:v>
      </x:c>
      <x:c r="D31" s="27" t="n">
        <x:f>C31*'Assumptions'!$G$28</x:f>
        <x:v>2228.3520000000003</x:v>
      </x:c>
      <x:c r="E31" s="27" t="n">
        <x:f>C31-D31</x:f>
        <x:v>109189.248</x:v>
      </x:c>
      <x:c r="F31" s="28" t="n">
        <x:f>IF(C31=0,"n.a.",D31/C31)</x:f>
        <x:v>0.02</x:v>
      </x:c>
    </x:row>
    <x:row r="32" ht="23" customHeight="1">
      <x:c r="A32" s="7" t="str">
        <x:v>West</x:v>
      </x:c>
      <x:c r="B32" s="14" t="d">
        <x:v>2026-04-01T00:00:00.000Z</x:v>
      </x:c>
      <x:c r="C32" s="27" t="n">
        <x:f>SUMIFS('Sales'!$I$5:$I$388,'Sales'!$B$5:$B$388,A32,'Sales'!$C$5:$C$388,B32)</x:f>
        <x:v>107437.40000000001</x:v>
      </x:c>
      <x:c r="D32" s="27" t="n">
        <x:f>C32*'Assumptions'!$G$28</x:f>
        <x:v>2148.748</x:v>
      </x:c>
      <x:c r="E32" s="27" t="n">
        <x:f>C32-D32</x:f>
        <x:v>105288.652</x:v>
      </x:c>
      <x:c r="F32" s="28" t="n">
        <x:f>IF(C32=0,"n.a.",D32/C32)</x:f>
        <x:v>0.02</x:v>
      </x:c>
    </x:row>
    <x:row r="33" ht="23" customHeight="1">
      <x:c r="A33" s="7" t="str">
        <x:v>West</x:v>
      </x:c>
      <x:c r="B33" s="14" t="d">
        <x:v>2026-05-01T00:00:00.000Z</x:v>
      </x:c>
      <x:c r="C33" s="27" t="n">
        <x:f>SUMIFS('Sales'!$I$5:$I$388,'Sales'!$B$5:$B$388,A33,'Sales'!$C$5:$C$388,B33)</x:f>
        <x:v>98992.4</x:v>
      </x:c>
      <x:c r="D33" s="27" t="n">
        <x:f>C33*'Assumptions'!$G$28</x:f>
        <x:v>1979.848</x:v>
      </x:c>
      <x:c r="E33" s="27" t="n">
        <x:f>C33-D33</x:f>
        <x:v>97012.552</x:v>
      </x:c>
      <x:c r="F33" s="28" t="n">
        <x:f>IF(C33=0,"n.a.",D33/C33)</x:f>
        <x:v>0.02</x:v>
      </x:c>
    </x:row>
    <x:row r="34" ht="23" customHeight="1">
      <x:c r="A34" s="7" t="str">
        <x:v>West</x:v>
      </x:c>
      <x:c r="B34" s="14" t="d">
        <x:v>2026-06-01T00:00:00.000Z</x:v>
      </x:c>
      <x:c r="C34" s="27" t="n">
        <x:f>SUMIFS('Sales'!$I$5:$I$388,'Sales'!$B$5:$B$388,A34,'Sales'!$C$5:$C$388,B34)</x:f>
        <x:v>96041.4</x:v>
      </x:c>
      <x:c r="D34" s="27" t="n">
        <x:f>C34*'Assumptions'!$G$28</x:f>
        <x:v>1920.828</x:v>
      </x:c>
      <x:c r="E34" s="27" t="n">
        <x:f>C34-D34</x:f>
        <x:v>94120.572</x:v>
      </x:c>
      <x:c r="F34" s="28" t="n">
        <x:f>IF(C34=0,"n.a.",D34/C34)</x:f>
        <x:v>0.02</x:v>
      </x:c>
    </x:row>
    <x:row r="35" ht="23" customHeight="1">
      <x:c r="A35" s="7" t="str">
        <x:v>West</x:v>
      </x:c>
      <x:c r="B35" s="14" t="d">
        <x:v>2026-07-01T00:00:00.000Z</x:v>
      </x:c>
      <x:c r="C35" s="27" t="n">
        <x:f>SUMIFS('Sales'!$I$5:$I$388,'Sales'!$B$5:$B$388,A35,'Sales'!$C$5:$C$388,B35)</x:f>
        <x:v>368266.2</x:v>
      </x:c>
      <x:c r="D35" s="27" t="n">
        <x:f>C35*'Assumptions'!$G$28</x:f>
        <x:v>7365.3240000000005</x:v>
      </x:c>
      <x:c r="E35" s="27" t="n">
        <x:f>C35-D35</x:f>
        <x:v>360900.876</x:v>
      </x:c>
      <x:c r="F35" s="28" t="n">
        <x:f>IF(C35=0,"n.a.",D35/C35)</x:f>
        <x:v>0.02</x:v>
      </x:c>
    </x:row>
    <x:row r="36" ht="23" customHeight="1">
      <x:c r="A36" s="7" t="str">
        <x:v>West</x:v>
      </x:c>
      <x:c r="B36" s="14" t="d">
        <x:v>2026-08-01T00:00:00.000Z</x:v>
      </x:c>
      <x:c r="C36" s="27" t="n">
        <x:f>SUMIFS('Sales'!$I$5:$I$388,'Sales'!$B$5:$B$388,A36,'Sales'!$C$5:$C$388,B36)</x:f>
        <x:v>395952.6</x:v>
      </x:c>
      <x:c r="D36" s="27" t="n">
        <x:f>C36*'Assumptions'!$G$28</x:f>
        <x:v>7919.052</x:v>
      </x:c>
      <x:c r="E36" s="27" t="n">
        <x:f>C36-D36</x:f>
        <x:v>388033.54799999995</x:v>
      </x:c>
      <x:c r="F36" s="28" t="n">
        <x:f>IF(C36=0,"n.a.",D36/C36)</x:f>
        <x:v>0.02</x:v>
      </x:c>
    </x:row>
    <x:row r="37" ht="23" customHeight="1">
      <x:c r="A37" s="7" t="str">
        <x:v>West</x:v>
      </x:c>
      <x:c r="B37" s="14" t="d">
        <x:v>2026-09-01T00:00:00.000Z</x:v>
      </x:c>
      <x:c r="C37" s="27" t="n">
        <x:f>SUMIFS('Sales'!$I$5:$I$388,'Sales'!$B$5:$B$388,A37,'Sales'!$C$5:$C$388,B37)</x:f>
        <x:v>415427.5940298508</x:v>
      </x:c>
      <x:c r="D37" s="27" t="n">
        <x:f>C37*'Assumptions'!$G$28</x:f>
        <x:v>8308.551880597017</x:v>
      </x:c>
      <x:c r="E37" s="27" t="n">
        <x:f>C37-D37</x:f>
        <x:v>407119.0421492538</x:v>
      </x:c>
      <x:c r="F37" s="28" t="n">
        <x:f>IF(C37=0,"n.a.",D37/C37)</x:f>
        <x:v>0.020000000000000004</x:v>
      </x:c>
    </x:row>
    <x:row r="38" ht="23" customHeight="1">
      <x:c r="A38" s="7" t="str">
        <x:v>West</x:v>
      </x:c>
      <x:c r="B38" s="14" t="d">
        <x:v>2026-10-01T00:00:00.000Z</x:v>
      </x:c>
      <x:c r="C38" s="27" t="n">
        <x:f>SUMIFS('Sales'!$I$5:$I$388,'Sales'!$B$5:$B$388,A38,'Sales'!$C$5:$C$388,B38)</x:f>
        <x:v>319389.0088571675</x:v>
      </x:c>
      <x:c r="D38" s="27" t="n">
        <x:f>C38*'Assumptions'!$G$28</x:f>
        <x:v>6387.780177143351</x:v>
      </x:c>
      <x:c r="E38" s="27" t="n">
        <x:f>C38-D38</x:f>
        <x:v>313001.22868002416</x:v>
      </x:c>
      <x:c r="F38" s="28" t="n">
        <x:f>IF(C38=0,"n.a.",D38/C38)</x:f>
        <x:v>0.02</x:v>
      </x:c>
    </x:row>
    <x:row r="39" ht="23" customHeight="1">
      <x:c r="A39" s="7" t="str">
        <x:v>West</x:v>
      </x:c>
      <x:c r="B39" s="14" t="d">
        <x:v>2026-11-01T00:00:00.000Z</x:v>
      </x:c>
      <x:c r="C39" s="27" t="n">
        <x:f>SUMIFS('Sales'!$I$5:$I$388,'Sales'!$B$5:$B$388,A39,'Sales'!$C$5:$C$388,B39)</x:f>
        <x:v>223690.4263919073</x:v>
      </x:c>
      <x:c r="D39" s="27" t="n">
        <x:f>C39*'Assumptions'!$G$28</x:f>
        <x:v>4473.808527838146</x:v>
      </x:c>
      <x:c r="E39" s="27" t="n">
        <x:f>C39-D39</x:f>
        <x:v>219216.61786406915</x:v>
      </x:c>
      <x:c r="F39" s="28" t="n">
        <x:f>IF(C39=0,"n.a.",D39/C39)</x:f>
        <x:v>0.02</x:v>
      </x:c>
    </x:row>
    <x:row r="40" ht="23" customHeight="1">
      <x:c r="A40" s="7" t="str">
        <x:v>West</x:v>
      </x:c>
      <x:c r="B40" s="14" t="d">
        <x:v>2026-12-01T00:00:00.000Z</x:v>
      </x:c>
      <x:c r="C40" s="27" t="n">
        <x:f>SUMIFS('Sales'!$I$5:$I$388,'Sales'!$B$5:$B$388,A40,'Sales'!$C$5:$C$388,B40)</x:f>
        <x:v>223426.2991893469</x:v>
      </x:c>
      <x:c r="D40" s="27" t="n">
        <x:f>C40*'Assumptions'!$G$28</x:f>
        <x:v>4468.525983786938</x:v>
      </x:c>
      <x:c r="E40" s="27" t="n">
        <x:f>C40-D40</x:f>
        <x:v>218957.77320555996</x:v>
      </x:c>
      <x:c r="F40" s="28" t="n">
        <x:f>IF(C40=0,"n.a.",D40/C40)</x:f>
        <x:v>0.02</x:v>
      </x:c>
    </x:row>
    <x:row r="41" ht="23" customHeight="1">
      <x:c r="A41" s="7" t="str">
        <x:v>North</x:v>
      </x:c>
      <x:c r="B41" s="14" t="d">
        <x:v>2026-01-01T00:00:00.000Z</x:v>
      </x:c>
      <x:c r="C41" s="27" t="n">
        <x:f>SUMIFS('Sales'!$I$5:$I$388,'Sales'!$B$5:$B$388,A41,'Sales'!$C$5:$C$388,B41)</x:f>
        <x:v>113249.2</x:v>
      </x:c>
      <x:c r="D41" s="27" t="n">
        <x:f>C41*'Assumptions'!$G$28</x:f>
        <x:v>2264.984</x:v>
      </x:c>
      <x:c r="E41" s="27" t="n">
        <x:f>C41-D41</x:f>
        <x:v>110984.216</x:v>
      </x:c>
      <x:c r="F41" s="28" t="n">
        <x:f>IF(C41=0,"n.a.",D41/C41)</x:f>
        <x:v>0.02</x:v>
      </x:c>
    </x:row>
    <x:row r="42" ht="23" customHeight="1">
      <x:c r="A42" s="7" t="str">
        <x:v>North</x:v>
      </x:c>
      <x:c r="B42" s="14" t="d">
        <x:v>2026-02-01T00:00:00.000Z</x:v>
      </x:c>
      <x:c r="C42" s="27" t="n">
        <x:f>SUMIFS('Sales'!$I$5:$I$388,'Sales'!$B$5:$B$388,A42,'Sales'!$C$5:$C$388,B42)</x:f>
        <x:v>110650.2</x:v>
      </x:c>
      <x:c r="D42" s="27" t="n">
        <x:f>C42*'Assumptions'!$G$28</x:f>
        <x:v>2213.004</x:v>
      </x:c>
      <x:c r="E42" s="27" t="n">
        <x:f>C42-D42</x:f>
        <x:v>108437.196</x:v>
      </x:c>
      <x:c r="F42" s="28" t="n">
        <x:f>IF(C42=0,"n.a.",D42/C42)</x:f>
        <x:v>0.02</x:v>
      </x:c>
    </x:row>
    <x:row r="43" ht="23" customHeight="1">
      <x:c r="A43" s="7" t="str">
        <x:v>North</x:v>
      </x:c>
      <x:c r="B43" s="14" t="d">
        <x:v>2026-03-01T00:00:00.000Z</x:v>
      </x:c>
      <x:c r="C43" s="27" t="n">
        <x:f>SUMIFS('Sales'!$I$5:$I$388,'Sales'!$B$5:$B$388,A43,'Sales'!$C$5:$C$388,B43)</x:f>
        <x:v>103981</x:v>
      </x:c>
      <x:c r="D43" s="27" t="n">
        <x:f>C43*'Assumptions'!$G$28</x:f>
        <x:v>2079.62</x:v>
      </x:c>
      <x:c r="E43" s="27" t="n">
        <x:f>C43-D43</x:f>
        <x:v>101901.38</x:v>
      </x:c>
      <x:c r="F43" s="28" t="n">
        <x:f>IF(C43=0,"n.a.",D43/C43)</x:f>
        <x:v>0.02</x:v>
      </x:c>
    </x:row>
    <x:row r="44" ht="23" customHeight="1">
      <x:c r="A44" s="7" t="str">
        <x:v>North</x:v>
      </x:c>
      <x:c r="B44" s="14" t="d">
        <x:v>2026-04-01T00:00:00.000Z</x:v>
      </x:c>
      <x:c r="C44" s="27" t="n">
        <x:f>SUMIFS('Sales'!$I$5:$I$388,'Sales'!$B$5:$B$388,A44,'Sales'!$C$5:$C$388,B44)</x:f>
        <x:v>107754</x:v>
      </x:c>
      <x:c r="D44" s="27" t="n">
        <x:f>C44*'Assumptions'!$G$28</x:f>
        <x:v>2155.08</x:v>
      </x:c>
      <x:c r="E44" s="27" t="n">
        <x:f>C44-D44</x:f>
        <x:v>105598.92</x:v>
      </x:c>
      <x:c r="F44" s="28" t="n">
        <x:f>IF(C44=0,"n.a.",D44/C44)</x:f>
        <x:v>0.02</x:v>
      </x:c>
    </x:row>
    <x:row r="45" ht="23" customHeight="1">
      <x:c r="A45" s="7" t="str">
        <x:v>North</x:v>
      </x:c>
      <x:c r="B45" s="14" t="d">
        <x:v>2026-05-01T00:00:00.000Z</x:v>
      </x:c>
      <x:c r="C45" s="27" t="n">
        <x:f>SUMIFS('Sales'!$I$5:$I$388,'Sales'!$B$5:$B$388,A45,'Sales'!$C$5:$C$388,B45)</x:f>
        <x:v>110933.4</x:v>
      </x:c>
      <x:c r="D45" s="27" t="n">
        <x:f>C45*'Assumptions'!$G$28</x:f>
        <x:v>2218.668</x:v>
      </x:c>
      <x:c r="E45" s="27" t="n">
        <x:f>C45-D45</x:f>
        <x:v>108714.73199999999</x:v>
      </x:c>
      <x:c r="F45" s="28" t="n">
        <x:f>IF(C45=0,"n.a.",D45/C45)</x:f>
        <x:v>0.02</x:v>
      </x:c>
    </x:row>
    <x:row r="46" ht="23" customHeight="1">
      <x:c r="A46" s="7" t="str">
        <x:v>North</x:v>
      </x:c>
      <x:c r="B46" s="14" t="d">
        <x:v>2026-06-01T00:00:00.000Z</x:v>
      </x:c>
      <x:c r="C46" s="27" t="n">
        <x:f>SUMIFS('Sales'!$I$5:$I$388,'Sales'!$B$5:$B$388,A46,'Sales'!$C$5:$C$388,B46)</x:f>
        <x:v>96499.20000000001</x:v>
      </x:c>
      <x:c r="D46" s="27" t="n">
        <x:f>C46*'Assumptions'!$G$28</x:f>
        <x:v>1929.9840000000004</x:v>
      </x:c>
      <x:c r="E46" s="27" t="n">
        <x:f>C46-D46</x:f>
        <x:v>94569.21600000001</x:v>
      </x:c>
      <x:c r="F46" s="28" t="n">
        <x:f>IF(C46=0,"n.a.",D46/C46)</x:f>
        <x:v>0.02</x:v>
      </x:c>
    </x:row>
    <x:row r="47" ht="23" customHeight="1">
      <x:c r="A47" s="7" t="str">
        <x:v>North</x:v>
      </x:c>
      <x:c r="B47" s="14" t="d">
        <x:v>2026-07-01T00:00:00.000Z</x:v>
      </x:c>
      <x:c r="C47" s="27" t="n">
        <x:f>SUMIFS('Sales'!$I$5:$I$388,'Sales'!$B$5:$B$388,A47,'Sales'!$C$5:$C$388,B47)</x:f>
        <x:v>390267</x:v>
      </x:c>
      <x:c r="D47" s="27" t="n">
        <x:f>C47*'Assumptions'!$G$28</x:f>
        <x:v>7805.34</x:v>
      </x:c>
      <x:c r="E47" s="27" t="n">
        <x:f>C47-D47</x:f>
        <x:v>382461.66</x:v>
      </x:c>
      <x:c r="F47" s="28" t="n">
        <x:f>IF(C47=0,"n.a.",D47/C47)</x:f>
        <x:v>0.02</x:v>
      </x:c>
    </x:row>
    <x:row r="48" ht="23" customHeight="1">
      <x:c r="A48" s="7" t="str">
        <x:v>North</x:v>
      </x:c>
      <x:c r="B48" s="14" t="d">
        <x:v>2026-08-01T00:00:00.000Z</x:v>
      </x:c>
      <x:c r="C48" s="27" t="n">
        <x:f>SUMIFS('Sales'!$I$5:$I$388,'Sales'!$B$5:$B$388,A48,'Sales'!$C$5:$C$388,B48)</x:f>
        <x:v>418221.2</x:v>
      </x:c>
      <x:c r="D48" s="27" t="n">
        <x:f>C48*'Assumptions'!$G$28</x:f>
        <x:v>8364.424</x:v>
      </x:c>
      <x:c r="E48" s="27" t="n">
        <x:f>C48-D48</x:f>
        <x:v>409856.776</x:v>
      </x:c>
      <x:c r="F48" s="28" t="n">
        <x:f>IF(C48=0,"n.a.",D48/C48)</x:f>
        <x:v>0.02</x:v>
      </x:c>
    </x:row>
    <x:row r="49" ht="23" customHeight="1">
      <x:c r="A49" s="7" t="str">
        <x:v>North</x:v>
      </x:c>
      <x:c r="B49" s="14" t="d">
        <x:v>2026-09-01T00:00:00.000Z</x:v>
      </x:c>
      <x:c r="C49" s="27" t="n">
        <x:f>SUMIFS('Sales'!$I$5:$I$388,'Sales'!$B$5:$B$388,A49,'Sales'!$C$5:$C$388,B49)</x:f>
        <x:v>437060.0537313433</x:v>
      </x:c>
      <x:c r="D49" s="27" t="n">
        <x:f>C49*'Assumptions'!$G$28</x:f>
        <x:v>8741.201074626866</x:v>
      </x:c>
      <x:c r="E49" s="27" t="n">
        <x:f>C49-D49</x:f>
        <x:v>428318.8526567164</x:v>
      </x:c>
      <x:c r="F49" s="28" t="n">
        <x:f>IF(C49=0,"n.a.",D49/C49)</x:f>
        <x:v>0.02</x:v>
      </x:c>
    </x:row>
    <x:row r="50" ht="23" customHeight="1">
      <x:c r="A50" s="7" t="str">
        <x:v>North</x:v>
      </x:c>
      <x:c r="B50" s="14" t="d">
        <x:v>2026-10-01T00:00:00.000Z</x:v>
      </x:c>
      <x:c r="C50" s="27" t="n">
        <x:f>SUMIFS('Sales'!$I$5:$I$388,'Sales'!$B$5:$B$388,A50,'Sales'!$C$5:$C$388,B50)</x:f>
        <x:v>334817.4012301798</x:v>
      </x:c>
      <x:c r="D50" s="27" t="n">
        <x:f>C50*'Assumptions'!$G$28</x:f>
        <x:v>6696.348024603597</x:v>
      </x:c>
      <x:c r="E50" s="27" t="n">
        <x:f>C50-D50</x:f>
        <x:v>328121.0532055762</x:v>
      </x:c>
      <x:c r="F50" s="28" t="n">
        <x:f>IF(C50=0,"n.a.",D50/C50)</x:f>
        <x:v>0.02</x:v>
      </x:c>
    </x:row>
    <x:row r="51" ht="23" customHeight="1">
      <x:c r="A51" s="7" t="str">
        <x:v>North</x:v>
      </x:c>
      <x:c r="B51" s="14" t="d">
        <x:v>2026-11-01T00:00:00.000Z</x:v>
      </x:c>
      <x:c r="C51" s="27" t="n">
        <x:f>SUMIFS('Sales'!$I$5:$I$388,'Sales'!$B$5:$B$388,A51,'Sales'!$C$5:$C$388,B51)</x:f>
        <x:v>234063.8123568098</x:v>
      </x:c>
      <x:c r="D51" s="27" t="n">
        <x:f>C51*'Assumptions'!$G$28</x:f>
        <x:v>4681.276247136196</x:v>
      </x:c>
      <x:c r="E51" s="27" t="n">
        <x:f>C51-D51</x:f>
        <x:v>229382.5361096736</x:v>
      </x:c>
      <x:c r="F51" s="28" t="n">
        <x:f>IF(C51=0,"n.a.",D51/C51)</x:f>
        <x:v>0.02</x:v>
      </x:c>
    </x:row>
    <x:row r="52" ht="23" customHeight="1">
      <x:c r="A52" s="7" t="str">
        <x:v>North</x:v>
      </x:c>
      <x:c r="B52" s="14" t="d">
        <x:v>2026-12-01T00:00:00.000Z</x:v>
      </x:c>
      <x:c r="C52" s="27" t="n">
        <x:f>SUMIFS('Sales'!$I$5:$I$388,'Sales'!$B$5:$B$388,A52,'Sales'!$C$5:$C$388,B52)</x:f>
        <x:v>233164.10109526868</x:v>
      </x:c>
      <x:c r="D52" s="27" t="n">
        <x:f>C52*'Assumptions'!$G$28</x:f>
        <x:v>4663.282021905374</x:v>
      </x:c>
      <x:c r="E52" s="27" t="n">
        <x:f>C52-D52</x:f>
        <x:v>228500.8190733633</x:v>
      </x:c>
      <x:c r="F52" s="28" t="n">
        <x:f>IF(C52=0,"n.a.",D52/C52)</x:f>
        <x:v>0.02</x:v>
      </x:c>
    </x:row>
    <x:row r="53" ht="23" customHeight="1">
      <x:c r="A53" s="2"/>
      <x:c r="B53" s="2"/>
      <x:c r="C53" s="2"/>
      <x:c r="D53" s="2"/>
      <x:c r="E53" s="2"/>
      <x:c r="F53" s="2"/>
    </x:row>
  </x:sheetData>
  <x:pageMargins left="0.7" right="0.7" top="0.75" bottom="0.75" header="0.3" footer="0.3"/>
  <x:tableParts count="1">
    <x:tablePart xmlns:r="http://schemas.openxmlformats.org/officeDocument/2006/relationships" r:id="R90673e02d05c4d01"/>
  </x:tableParts>
</x:worksheet>
</file>

<file path=xl/worksheets/sheet6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Inventory | distributor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0" customHeight="1">
      <x:c r="A4" s="6" t="str">
        <x:v>SKU</x:v>
      </x:c>
      <x:c r="B4" s="6" t="str">
        <x:v>Month</x:v>
      </x:c>
      <x:c r="C4" s="6" t="str">
        <x:v>Opening</x:v>
      </x:c>
      <x:c r="D4" s="6" t="str">
        <x:v>Receipts</x:v>
      </x:c>
      <x:c r="E4" s="6" t="str">
        <x:v>Desired</x:v>
      </x:c>
      <x:c r="F4" s="6" t="str">
        <x:v>Available</x:v>
      </x:c>
      <x:c r="G4" s="6" t="str">
        <x:v>Fulfilled</x:v>
      </x:c>
      <x:c r="H4" s="6" t="str">
        <x:v>Unmet</x:v>
      </x:c>
      <x:c r="I4" s="6" t="str">
        <x:v>Ending</x:v>
      </x:c>
      <x:c r="J4" s="6" t="str">
        <x:v>Safety</x:v>
      </x:c>
      <x:c r="K4" s="6" t="str">
        <x:v>Reorder</x:v>
      </x:c>
      <x:c r="L4" s="6" t="str">
        <x:v>FillRatio</x:v>
      </x:c>
      <x:c r="M4" s="6" t="str">
        <x:v>COGS</x:v>
      </x:c>
    </x:row>
    <x:row r="5" ht="23" customHeight="1">
      <x:c r="A5" s="34" t="str">
        <x:v>0001</x:v>
      </x:c>
      <x:c r="B5" s="14" t="d">
        <x:v>2026-01-01T00:00:00.000Z</x:v>
      </x:c>
      <x:c r="C5" s="27" t="n">
        <x:f>'Opening'!B5</x:f>
        <x:v>1000</x:v>
      </x:c>
      <x:c r="D5" s="27" t="n">
        <x:f>'Purchasing'!D5</x:f>
        <x:v>220</x:v>
      </x:c>
      <x:c r="E5" s="27" t="n">
        <x:f>SUMIFS('Sales'!$F$5:$F$388,'Sales'!$A$5:$A$388,A5,'Sales'!$C$5:$C$388,B5)</x:f>
        <x:v>234</x:v>
      </x:c>
      <x:c r="F5" s="27" t="n">
        <x:f>C5+D5</x:f>
        <x:v>1220</x:v>
      </x:c>
      <x:c r="G5" s="27" t="n">
        <x:f>MIN(E5,F5)</x:f>
        <x:v>234</x:v>
      </x:c>
      <x:c r="H5" s="27" t="n">
        <x:f>MAX(0,E5-F5)</x:f>
        <x:v>0</x:v>
      </x:c>
      <x:c r="I5" s="27" t="n">
        <x:f>F5-G5</x:f>
        <x:v>986</x:v>
      </x:c>
      <x:c r="J5" s="27" t="n">
        <x:f>'Opening'!C5</x:f>
        <x:v>200</x:v>
      </x:c>
      <x:c r="K5" s="27" t="n">
        <x:f>MAX(0,J5-I5)</x:f>
        <x:v>0</x:v>
      </x:c>
      <x:c r="L5" s="28" t="n">
        <x:f>IF(E5=0,1,G5/E5)</x:f>
        <x:v>1</x:v>
      </x:c>
      <x:c r="M5" s="27" t="n">
        <x:f>G5*'Purchasing'!E5</x:f>
        <x:v>22230</x:v>
      </x:c>
    </x:row>
    <x:row r="6" ht="23" customHeight="1">
      <x:c r="A6" s="34" t="str">
        <x:v>0001</x:v>
      </x:c>
      <x:c r="B6" s="14" t="d">
        <x:v>2026-02-01T00:00:00.000Z</x:v>
      </x:c>
      <x:c r="C6" s="27" t="n">
        <x:f>I5</x:f>
        <x:v>986</x:v>
      </x:c>
      <x:c r="D6" s="27" t="n">
        <x:f>'Purchasing'!D6</x:f>
        <x:v>220</x:v>
      </x:c>
      <x:c r="E6" s="27" t="n">
        <x:f>SUMIFS('Sales'!$F$5:$F$388,'Sales'!$A$5:$A$388,A6,'Sales'!$C$5:$C$388,B6)</x:f>
        <x:v>269</x:v>
      </x:c>
      <x:c r="F6" s="27" t="n">
        <x:f>C6+D6</x:f>
        <x:v>1206</x:v>
      </x:c>
      <x:c r="G6" s="27" t="n">
        <x:f>MIN(E6,F6)</x:f>
        <x:v>269</x:v>
      </x:c>
      <x:c r="H6" s="27" t="n">
        <x:f>MAX(0,E6-F6)</x:f>
        <x:v>0</x:v>
      </x:c>
      <x:c r="I6" s="27" t="n">
        <x:f>F6-G6</x:f>
        <x:v>937</x:v>
      </x:c>
      <x:c r="J6" s="27" t="n">
        <x:f>'Opening'!C5</x:f>
        <x:v>200</x:v>
      </x:c>
      <x:c r="K6" s="27" t="n">
        <x:f>MAX(0,J6-I6)</x:f>
        <x:v>0</x:v>
      </x:c>
      <x:c r="L6" s="28" t="n">
        <x:f>IF(E6=0,1,G6/E6)</x:f>
        <x:v>1</x:v>
      </x:c>
      <x:c r="M6" s="27" t="n">
        <x:f>G6*'Purchasing'!E6</x:f>
        <x:v>25555</x:v>
      </x:c>
    </x:row>
    <x:row r="7" ht="23" customHeight="1">
      <x:c r="A7" s="34" t="str">
        <x:v>0001</x:v>
      </x:c>
      <x:c r="B7" s="14" t="d">
        <x:v>2026-03-01T00:00:00.000Z</x:v>
      </x:c>
      <x:c r="C7" s="27" t="n">
        <x:f>I6</x:f>
        <x:v>937</x:v>
      </x:c>
      <x:c r="D7" s="27" t="n">
        <x:f>'Purchasing'!D7</x:f>
        <x:v>220</x:v>
      </x:c>
      <x:c r="E7" s="27" t="n">
        <x:f>SUMIFS('Sales'!$F$5:$F$388,'Sales'!$A$5:$A$388,A7,'Sales'!$C$5:$C$388,B7)</x:f>
        <x:v>209</x:v>
      </x:c>
      <x:c r="F7" s="27" t="n">
        <x:f>C7+D7</x:f>
        <x:v>1157</x:v>
      </x:c>
      <x:c r="G7" s="27" t="n">
        <x:f>MIN(E7,F7)</x:f>
        <x:v>209</x:v>
      </x:c>
      <x:c r="H7" s="27" t="n">
        <x:f>MAX(0,E7-F7)</x:f>
        <x:v>0</x:v>
      </x:c>
      <x:c r="I7" s="27" t="n">
        <x:f>F7-G7</x:f>
        <x:v>948</x:v>
      </x:c>
      <x:c r="J7" s="27" t="n">
        <x:f>'Opening'!C5</x:f>
        <x:v>200</x:v>
      </x:c>
      <x:c r="K7" s="27" t="n">
        <x:f>MAX(0,J7-I7)</x:f>
        <x:v>0</x:v>
      </x:c>
      <x:c r="L7" s="28" t="n">
        <x:f>IF(E7=0,1,G7/E7)</x:f>
        <x:v>1</x:v>
      </x:c>
      <x:c r="M7" s="27" t="n">
        <x:f>G7*'Purchasing'!E7</x:f>
        <x:v>19855</x:v>
      </x:c>
    </x:row>
    <x:row r="8" ht="23" customHeight="1">
      <x:c r="A8" s="34" t="str">
        <x:v>0001</x:v>
      </x:c>
      <x:c r="B8" s="14" t="d">
        <x:v>2026-04-01T00:00:00.000Z</x:v>
      </x:c>
      <x:c r="C8" s="27" t="n">
        <x:f>I7</x:f>
        <x:v>948</x:v>
      </x:c>
      <x:c r="D8" s="27" t="n">
        <x:f>'Purchasing'!D8</x:f>
        <x:v>220</x:v>
      </x:c>
      <x:c r="E8" s="27" t="n">
        <x:f>SUMIFS('Sales'!$F$5:$F$388,'Sales'!$A$5:$A$388,A8,'Sales'!$C$5:$C$388,B8)</x:f>
        <x:v>252</x:v>
      </x:c>
      <x:c r="F8" s="27" t="n">
        <x:f>C8+D8</x:f>
        <x:v>1168</x:v>
      </x:c>
      <x:c r="G8" s="27" t="n">
        <x:f>MIN(E8,F8)</x:f>
        <x:v>252</x:v>
      </x:c>
      <x:c r="H8" s="27" t="n">
        <x:f>MAX(0,E8-F8)</x:f>
        <x:v>0</x:v>
      </x:c>
      <x:c r="I8" s="27" t="n">
        <x:f>F8-G8</x:f>
        <x:v>916</x:v>
      </x:c>
      <x:c r="J8" s="27" t="n">
        <x:f>'Opening'!C5</x:f>
        <x:v>200</x:v>
      </x:c>
      <x:c r="K8" s="27" t="n">
        <x:f>MAX(0,J8-I8)</x:f>
        <x:v>0</x:v>
      </x:c>
      <x:c r="L8" s="28" t="n">
        <x:f>IF(E8=0,1,G8/E8)</x:f>
        <x:v>1</x:v>
      </x:c>
      <x:c r="M8" s="27" t="n">
        <x:f>G8*'Purchasing'!E8</x:f>
        <x:v>23940</x:v>
      </x:c>
    </x:row>
    <x:row r="9" ht="23" customHeight="1">
      <x:c r="A9" s="34" t="str">
        <x:v>0001</x:v>
      </x:c>
      <x:c r="B9" s="14" t="d">
        <x:v>2026-05-01T00:00:00.000Z</x:v>
      </x:c>
      <x:c r="C9" s="27" t="n">
        <x:f>I8</x:f>
        <x:v>916</x:v>
      </x:c>
      <x:c r="D9" s="27" t="n">
        <x:f>'Purchasing'!D9</x:f>
        <x:v>220</x:v>
      </x:c>
      <x:c r="E9" s="27" t="n">
        <x:f>SUMIFS('Sales'!$F$5:$F$388,'Sales'!$A$5:$A$388,A9,'Sales'!$C$5:$C$388,B9)</x:f>
        <x:v>203</x:v>
      </x:c>
      <x:c r="F9" s="27" t="n">
        <x:f>C9+D9</x:f>
        <x:v>1136</x:v>
      </x:c>
      <x:c r="G9" s="27" t="n">
        <x:f>MIN(E9,F9)</x:f>
        <x:v>203</x:v>
      </x:c>
      <x:c r="H9" s="27" t="n">
        <x:f>MAX(0,E9-F9)</x:f>
        <x:v>0</x:v>
      </x:c>
      <x:c r="I9" s="27" t="n">
        <x:f>F9-G9</x:f>
        <x:v>933</x:v>
      </x:c>
      <x:c r="J9" s="27" t="n">
        <x:f>'Opening'!C5</x:f>
        <x:v>200</x:v>
      </x:c>
      <x:c r="K9" s="27" t="n">
        <x:f>MAX(0,J9-I9)</x:f>
        <x:v>0</x:v>
      </x:c>
      <x:c r="L9" s="28" t="n">
        <x:f>IF(E9=0,1,G9/E9)</x:f>
        <x:v>1</x:v>
      </x:c>
      <x:c r="M9" s="27" t="n">
        <x:f>G9*'Purchasing'!E9</x:f>
        <x:v>19285</x:v>
      </x:c>
    </x:row>
    <x:row r="10" ht="23" customHeight="1">
      <x:c r="A10" s="34" t="str">
        <x:v>0001</x:v>
      </x:c>
      <x:c r="B10" s="14" t="d">
        <x:v>2026-06-01T00:00:00.000Z</x:v>
      </x:c>
      <x:c r="C10" s="27" t="n">
        <x:f>I9</x:f>
        <x:v>933</x:v>
      </x:c>
      <x:c r="D10" s="27" t="n">
        <x:f>'Purchasing'!D10</x:f>
        <x:v>220</x:v>
      </x:c>
      <x:c r="E10" s="27" t="n">
        <x:f>SUMIFS('Sales'!$F$5:$F$388,'Sales'!$A$5:$A$388,A10,'Sales'!$C$5:$C$388,B10)</x:f>
        <x:v>208</x:v>
      </x:c>
      <x:c r="F10" s="27" t="n">
        <x:f>C10+D10</x:f>
        <x:v>1153</x:v>
      </x:c>
      <x:c r="G10" s="27" t="n">
        <x:f>MIN(E10,F10)</x:f>
        <x:v>208</x:v>
      </x:c>
      <x:c r="H10" s="27" t="n">
        <x:f>MAX(0,E10-F10)</x:f>
        <x:v>0</x:v>
      </x:c>
      <x:c r="I10" s="27" t="n">
        <x:f>F10-G10</x:f>
        <x:v>945</x:v>
      </x:c>
      <x:c r="J10" s="27" t="n">
        <x:f>'Opening'!C5</x:f>
        <x:v>200</x:v>
      </x:c>
      <x:c r="K10" s="27" t="n">
        <x:f>MAX(0,J10-I10)</x:f>
        <x:v>0</x:v>
      </x:c>
      <x:c r="L10" s="28" t="n">
        <x:f>IF(E10=0,1,G10/E10)</x:f>
        <x:v>1</x:v>
      </x:c>
      <x:c r="M10" s="27" t="n">
        <x:f>G10*'Purchasing'!E10</x:f>
        <x:v>19760</x:v>
      </x:c>
    </x:row>
    <x:row r="11" ht="23" customHeight="1">
      <x:c r="A11" s="34" t="str">
        <x:v>0001</x:v>
      </x:c>
      <x:c r="B11" s="14" t="d">
        <x:v>2026-07-01T00:00:00.000Z</x:v>
      </x:c>
      <x:c r="C11" s="27" t="n">
        <x:f>I10</x:f>
        <x:v>945</x:v>
      </x:c>
      <x:c r="D11" s="27" t="n">
        <x:f>'Purchasing'!D11</x:f>
        <x:v>390</x:v>
      </x:c>
      <x:c r="E11" s="27" t="n">
        <x:f>SUMIFS('Sales'!$F$5:$F$388,'Sales'!$A$5:$A$388,A11,'Sales'!$C$5:$C$388,B11)</x:f>
        <x:v>620</x:v>
      </x:c>
      <x:c r="F11" s="27" t="n">
        <x:f>C11+D11</x:f>
        <x:v>1335</x:v>
      </x:c>
      <x:c r="G11" s="27" t="n">
        <x:f>MIN(E11,F11)</x:f>
        <x:v>620</x:v>
      </x:c>
      <x:c r="H11" s="27" t="n">
        <x:f>MAX(0,E11-F11)</x:f>
        <x:v>0</x:v>
      </x:c>
      <x:c r="I11" s="27" t="n">
        <x:f>F11-G11</x:f>
        <x:v>715</x:v>
      </x:c>
      <x:c r="J11" s="27" t="n">
        <x:f>'Opening'!C5</x:f>
        <x:v>200</x:v>
      </x:c>
      <x:c r="K11" s="27" t="n">
        <x:f>MAX(0,J11-I11)</x:f>
        <x:v>0</x:v>
      </x:c>
      <x:c r="L11" s="28" t="n">
        <x:f>IF(E11=0,1,G11/E11)</x:f>
        <x:v>1</x:v>
      </x:c>
      <x:c r="M11" s="27" t="n">
        <x:f>G11*'Purchasing'!E11</x:f>
        <x:v>60078</x:v>
      </x:c>
    </x:row>
    <x:row r="12" ht="23" customHeight="1">
      <x:c r="A12" s="34" t="str">
        <x:v>0001</x:v>
      </x:c>
      <x:c r="B12" s="14" t="d">
        <x:v>2026-08-01T00:00:00.000Z</x:v>
      </x:c>
      <x:c r="C12" s="27" t="n">
        <x:f>I11</x:f>
        <x:v>715</x:v>
      </x:c>
      <x:c r="D12" s="27" t="n">
        <x:f>'Purchasing'!D12</x:f>
        <x:v>390</x:v>
      </x:c>
      <x:c r="E12" s="27" t="n">
        <x:f>SUMIFS('Sales'!$F$5:$F$388,'Sales'!$A$5:$A$388,A12,'Sales'!$C$5:$C$388,B12)</x:f>
        <x:v>680</x:v>
      </x:c>
      <x:c r="F12" s="27" t="n">
        <x:f>C12+D12</x:f>
        <x:v>1105</x:v>
      </x:c>
      <x:c r="G12" s="27" t="n">
        <x:f>MIN(E12,F12)</x:f>
        <x:v>680</x:v>
      </x:c>
      <x:c r="H12" s="27" t="n">
        <x:f>MAX(0,E12-F12)</x:f>
        <x:v>0</x:v>
      </x:c>
      <x:c r="I12" s="27" t="n">
        <x:f>F12-G12</x:f>
        <x:v>425</x:v>
      </x:c>
      <x:c r="J12" s="27" t="n">
        <x:f>'Opening'!C5</x:f>
        <x:v>200</x:v>
      </x:c>
      <x:c r="K12" s="27" t="n">
        <x:f>MAX(0,J12-I12)</x:f>
        <x:v>0</x:v>
      </x:c>
      <x:c r="L12" s="28" t="n">
        <x:f>IF(E12=0,1,G12/E12)</x:f>
        <x:v>1</x:v>
      </x:c>
      <x:c r="M12" s="27" t="n">
        <x:f>G12*'Purchasing'!E12</x:f>
        <x:v>65892</x:v>
      </x:c>
    </x:row>
    <x:row r="13" ht="23" customHeight="1">
      <x:c r="A13" s="34" t="str">
        <x:v>0001</x:v>
      </x:c>
      <x:c r="B13" s="14" t="d">
        <x:v>2026-09-01T00:00:00.000Z</x:v>
      </x:c>
      <x:c r="C13" s="27" t="n">
        <x:f>I12</x:f>
        <x:v>425</x:v>
      </x:c>
      <x:c r="D13" s="27" t="n">
        <x:f>'Purchasing'!D13</x:f>
        <x:v>390</x:v>
      </x:c>
      <x:c r="E13" s="27" t="n">
        <x:f>SUMIFS('Sales'!$F$5:$F$388,'Sales'!$A$5:$A$388,A13,'Sales'!$C$5:$C$388,B13)</x:f>
        <x:v>739</x:v>
      </x:c>
      <x:c r="F13" s="27" t="n">
        <x:f>C13+D13</x:f>
        <x:v>815</x:v>
      </x:c>
      <x:c r="G13" s="27" t="n">
        <x:f>MIN(E13,F13)</x:f>
        <x:v>739</x:v>
      </x:c>
      <x:c r="H13" s="27" t="n">
        <x:f>MAX(0,E13-F13)</x:f>
        <x:v>0</x:v>
      </x:c>
      <x:c r="I13" s="27" t="n">
        <x:f>F13-G13</x:f>
        <x:v>76</x:v>
      </x:c>
      <x:c r="J13" s="27" t="n">
        <x:f>'Opening'!C5</x:f>
        <x:v>200</x:v>
      </x:c>
      <x:c r="K13" s="27" t="n">
        <x:f>MAX(0,J13-I13)</x:f>
        <x:v>124</x:v>
      </x:c>
      <x:c r="L13" s="28" t="n">
        <x:f>IF(E13=0,1,G13/E13)</x:f>
        <x:v>1</x:v>
      </x:c>
      <x:c r="M13" s="27" t="n">
        <x:f>G13*'Purchasing'!E13</x:f>
        <x:v>71609.1</x:v>
      </x:c>
    </x:row>
    <x:row r="14" ht="23" customHeight="1">
      <x:c r="A14" s="34" t="str">
        <x:v>0001</x:v>
      </x:c>
      <x:c r="B14" s="14" t="d">
        <x:v>2026-10-01T00:00:00.000Z</x:v>
      </x:c>
      <x:c r="C14" s="27" t="n">
        <x:f>I13</x:f>
        <x:v>76</x:v>
      </x:c>
      <x:c r="D14" s="27" t="n">
        <x:f>'Purchasing'!D14</x:f>
        <x:v>390</x:v>
      </x:c>
      <x:c r="E14" s="27" t="n">
        <x:f>SUMIFS('Sales'!$F$5:$F$388,'Sales'!$A$5:$A$388,A14,'Sales'!$C$5:$C$388,B14)</x:f>
        <x:v>797</x:v>
      </x:c>
      <x:c r="F14" s="27" t="n">
        <x:f>C14+D14</x:f>
        <x:v>466</x:v>
      </x:c>
      <x:c r="G14" s="27" t="n">
        <x:f>MIN(E14,F14)</x:f>
        <x:v>466</x:v>
      </x:c>
      <x:c r="H14" s="27" t="n">
        <x:f>MAX(0,E14-F14)</x:f>
        <x:v>331</x:v>
      </x:c>
      <x:c r="I14" s="27" t="n">
        <x:f>F14-G14</x:f>
        <x:v>0</x:v>
      </x:c>
      <x:c r="J14" s="27" t="n">
        <x:f>'Opening'!C5</x:f>
        <x:v>200</x:v>
      </x:c>
      <x:c r="K14" s="27" t="n">
        <x:f>MAX(0,J14-I14)</x:f>
        <x:v>200</x:v>
      </x:c>
      <x:c r="L14" s="28" t="n">
        <x:f>IF(E14=0,1,G14/E14)</x:f>
        <x:v>0.5846925972396487</x:v>
      </x:c>
      <x:c r="M14" s="27" t="n">
        <x:f>G14*'Purchasing'!E14</x:f>
        <x:v>45155.4</x:v>
      </x:c>
    </x:row>
    <x:row r="15" ht="23" customHeight="1">
      <x:c r="A15" s="34" t="str">
        <x:v>0001</x:v>
      </x:c>
      <x:c r="B15" s="14" t="d">
        <x:v>2026-11-01T00:00:00.000Z</x:v>
      </x:c>
      <x:c r="C15" s="27" t="n">
        <x:f>I14</x:f>
        <x:v>0</x:v>
      </x:c>
      <x:c r="D15" s="27" t="n">
        <x:f>'Purchasing'!D15</x:f>
        <x:v>390</x:v>
      </x:c>
      <x:c r="E15" s="27" t="n">
        <x:f>SUMIFS('Sales'!$F$5:$F$388,'Sales'!$A$5:$A$388,A15,'Sales'!$C$5:$C$388,B15)</x:f>
        <x:v>856</x:v>
      </x:c>
      <x:c r="F15" s="27" t="n">
        <x:f>C15+D15</x:f>
        <x:v>390</x:v>
      </x:c>
      <x:c r="G15" s="27" t="n">
        <x:f>MIN(E15,F15)</x:f>
        <x:v>390</x:v>
      </x:c>
      <x:c r="H15" s="27" t="n">
        <x:f>MAX(0,E15-F15)</x:f>
        <x:v>466</x:v>
      </x:c>
      <x:c r="I15" s="27" t="n">
        <x:f>F15-G15</x:f>
        <x:v>0</x:v>
      </x:c>
      <x:c r="J15" s="27" t="n">
        <x:f>'Opening'!C5</x:f>
        <x:v>200</x:v>
      </x:c>
      <x:c r="K15" s="27" t="n">
        <x:f>MAX(0,J15-I15)</x:f>
        <x:v>200</x:v>
      </x:c>
      <x:c r="L15" s="28" t="n">
        <x:f>IF(E15=0,1,G15/E15)</x:f>
        <x:v>0.45560747663551404</x:v>
      </x:c>
      <x:c r="M15" s="27" t="n">
        <x:f>G15*'Purchasing'!E15</x:f>
        <x:v>37791</x:v>
      </x:c>
    </x:row>
    <x:row r="16" ht="23" customHeight="1">
      <x:c r="A16" s="34" t="str">
        <x:v>0001</x:v>
      </x:c>
      <x:c r="B16" s="14" t="d">
        <x:v>2026-12-01T00:00:00.000Z</x:v>
      </x:c>
      <x:c r="C16" s="27" t="n">
        <x:f>I15</x:f>
        <x:v>0</x:v>
      </x:c>
      <x:c r="D16" s="27" t="n">
        <x:f>'Purchasing'!D16</x:f>
        <x:v>390</x:v>
      </x:c>
      <x:c r="E16" s="27" t="n">
        <x:f>SUMIFS('Sales'!$F$5:$F$388,'Sales'!$A$5:$A$388,A16,'Sales'!$C$5:$C$388,B16)</x:f>
        <x:v>915</x:v>
      </x:c>
      <x:c r="F16" s="27" t="n">
        <x:f>C16+D16</x:f>
        <x:v>390</x:v>
      </x:c>
      <x:c r="G16" s="27" t="n">
        <x:f>MIN(E16,F16)</x:f>
        <x:v>390</x:v>
      </x:c>
      <x:c r="H16" s="27" t="n">
        <x:f>MAX(0,E16-F16)</x:f>
        <x:v>525</x:v>
      </x:c>
      <x:c r="I16" s="27" t="n">
        <x:f>F16-G16</x:f>
        <x:v>0</x:v>
      </x:c>
      <x:c r="J16" s="27" t="n">
        <x:f>'Opening'!C5</x:f>
        <x:v>200</x:v>
      </x:c>
      <x:c r="K16" s="27" t="n">
        <x:f>MAX(0,J16-I16)</x:f>
        <x:v>200</x:v>
      </x:c>
      <x:c r="L16" s="28" t="n">
        <x:f>IF(E16=0,1,G16/E16)</x:f>
        <x:v>0.4262295081967213</x:v>
      </x:c>
      <x:c r="M16" s="27" t="n">
        <x:f>G16*'Purchasing'!E16</x:f>
        <x:v>37791</x:v>
      </x:c>
    </x:row>
    <x:row r="17" ht="23" customHeight="1">
      <x:c r="A17" s="34" t="str">
        <x:v>0002</x:v>
      </x:c>
      <x:c r="B17" s="14" t="d">
        <x:v>2026-01-01T00:00:00.000Z</x:v>
      </x:c>
      <x:c r="C17" s="27" t="n">
        <x:f>'Opening'!B6</x:f>
        <x:v>1045</x:v>
      </x:c>
      <x:c r="D17" s="27" t="n">
        <x:f>'Purchasing'!D17</x:f>
        <x:v>230</x:v>
      </x:c>
      <x:c r="E17" s="27" t="n">
        <x:f>SUMIFS('Sales'!$F$5:$F$388,'Sales'!$A$5:$A$388,A17,'Sales'!$C$5:$C$388,B17)</x:f>
        <x:v>266</x:v>
      </x:c>
      <x:c r="F17" s="27" t="n">
        <x:f>C17+D17</x:f>
        <x:v>1275</x:v>
      </x:c>
      <x:c r="G17" s="27" t="n">
        <x:f>MIN(E17,F17)</x:f>
        <x:v>266</x:v>
      </x:c>
      <x:c r="H17" s="27" t="n">
        <x:f>MAX(0,E17-F17)</x:f>
        <x:v>0</x:v>
      </x:c>
      <x:c r="I17" s="27" t="n">
        <x:f>F17-G17</x:f>
        <x:v>1009</x:v>
      </x:c>
      <x:c r="J17" s="27" t="n">
        <x:f>'Opening'!C6</x:f>
        <x:v>215</x:v>
      </x:c>
      <x:c r="K17" s="27" t="n">
        <x:f>MAX(0,J17-I17)</x:f>
        <x:v>0</x:v>
      </x:c>
      <x:c r="L17" s="28" t="n">
        <x:f>IF(E17=0,1,G17/E17)</x:f>
        <x:v>1</x:v>
      </x:c>
      <x:c r="M17" s="27" t="n">
        <x:f>G17*'Purchasing'!E17</x:f>
        <x:v>28728</x:v>
      </x:c>
    </x:row>
    <x:row r="18" ht="23" customHeight="1">
      <x:c r="A18" s="34" t="str">
        <x:v>0002</x:v>
      </x:c>
      <x:c r="B18" s="14" t="d">
        <x:v>2026-02-01T00:00:00.000Z</x:v>
      </x:c>
      <x:c r="C18" s="27" t="n">
        <x:f>I17</x:f>
        <x:v>1009</x:v>
      </x:c>
      <x:c r="D18" s="27" t="n">
        <x:f>'Purchasing'!D18</x:f>
        <x:v>230</x:v>
      </x:c>
      <x:c r="E18" s="27" t="n">
        <x:f>SUMIFS('Sales'!$F$5:$F$388,'Sales'!$A$5:$A$388,A18,'Sales'!$C$5:$C$388,B18)</x:f>
        <x:v>243</x:v>
      </x:c>
      <x:c r="F18" s="27" t="n">
        <x:f>C18+D18</x:f>
        <x:v>1239</x:v>
      </x:c>
      <x:c r="G18" s="27" t="n">
        <x:f>MIN(E18,F18)</x:f>
        <x:v>243</x:v>
      </x:c>
      <x:c r="H18" s="27" t="n">
        <x:f>MAX(0,E18-F18)</x:f>
        <x:v>0</x:v>
      </x:c>
      <x:c r="I18" s="27" t="n">
        <x:f>F18-G18</x:f>
        <x:v>996</x:v>
      </x:c>
      <x:c r="J18" s="27" t="n">
        <x:f>'Opening'!C6</x:f>
        <x:v>215</x:v>
      </x:c>
      <x:c r="K18" s="27" t="n">
        <x:f>MAX(0,J18-I18)</x:f>
        <x:v>0</x:v>
      </x:c>
      <x:c r="L18" s="28" t="n">
        <x:f>IF(E18=0,1,G18/E18)</x:f>
        <x:v>1</x:v>
      </x:c>
      <x:c r="M18" s="27" t="n">
        <x:f>G18*'Purchasing'!E18</x:f>
        <x:v>26244</x:v>
      </x:c>
    </x:row>
    <x:row r="19" ht="23" customHeight="1">
      <x:c r="A19" s="34" t="str">
        <x:v>0002</x:v>
      </x:c>
      <x:c r="B19" s="14" t="d">
        <x:v>2026-03-01T00:00:00.000Z</x:v>
      </x:c>
      <x:c r="C19" s="27" t="n">
        <x:f>I18</x:f>
        <x:v>996</x:v>
      </x:c>
      <x:c r="D19" s="27" t="n">
        <x:f>'Purchasing'!D19</x:f>
        <x:v>230</x:v>
      </x:c>
      <x:c r="E19" s="27" t="n">
        <x:f>SUMIFS('Sales'!$F$5:$F$388,'Sales'!$A$5:$A$388,A19,'Sales'!$C$5:$C$388,B19)</x:f>
        <x:v>257</x:v>
      </x:c>
      <x:c r="F19" s="27" t="n">
        <x:f>C19+D19</x:f>
        <x:v>1226</x:v>
      </x:c>
      <x:c r="G19" s="27" t="n">
        <x:f>MIN(E19,F19)</x:f>
        <x:v>257</x:v>
      </x:c>
      <x:c r="H19" s="27" t="n">
        <x:f>MAX(0,E19-F19)</x:f>
        <x:v>0</x:v>
      </x:c>
      <x:c r="I19" s="27" t="n">
        <x:f>F19-G19</x:f>
        <x:v>969</x:v>
      </x:c>
      <x:c r="J19" s="27" t="n">
        <x:f>'Opening'!C6</x:f>
        <x:v>215</x:v>
      </x:c>
      <x:c r="K19" s="27" t="n">
        <x:f>MAX(0,J19-I19)</x:f>
        <x:v>0</x:v>
      </x:c>
      <x:c r="L19" s="28" t="n">
        <x:f>IF(E19=0,1,G19/E19)</x:f>
        <x:v>1</x:v>
      </x:c>
      <x:c r="M19" s="27" t="n">
        <x:f>G19*'Purchasing'!E19</x:f>
        <x:v>27756</x:v>
      </x:c>
    </x:row>
    <x:row r="20" ht="23" customHeight="1">
      <x:c r="A20" s="34" t="str">
        <x:v>0002</x:v>
      </x:c>
      <x:c r="B20" s="14" t="d">
        <x:v>2026-04-01T00:00:00.000Z</x:v>
      </x:c>
      <x:c r="C20" s="27" t="n">
        <x:f>I19</x:f>
        <x:v>969</x:v>
      </x:c>
      <x:c r="D20" s="27" t="n">
        <x:f>'Purchasing'!D20</x:f>
        <x:v>230</x:v>
      </x:c>
      <x:c r="E20" s="27" t="n">
        <x:f>SUMIFS('Sales'!$F$5:$F$388,'Sales'!$A$5:$A$388,A20,'Sales'!$C$5:$C$388,B20)</x:f>
        <x:v>227</x:v>
      </x:c>
      <x:c r="F20" s="27" t="n">
        <x:f>C20+D20</x:f>
        <x:v>1199</x:v>
      </x:c>
      <x:c r="G20" s="27" t="n">
        <x:f>MIN(E20,F20)</x:f>
        <x:v>227</x:v>
      </x:c>
      <x:c r="H20" s="27" t="n">
        <x:f>MAX(0,E20-F20)</x:f>
        <x:v>0</x:v>
      </x:c>
      <x:c r="I20" s="27" t="n">
        <x:f>F20-G20</x:f>
        <x:v>972</x:v>
      </x:c>
      <x:c r="J20" s="27" t="n">
        <x:f>'Opening'!C6</x:f>
        <x:v>215</x:v>
      </x:c>
      <x:c r="K20" s="27" t="n">
        <x:f>MAX(0,J20-I20)</x:f>
        <x:v>0</x:v>
      </x:c>
      <x:c r="L20" s="28" t="n">
        <x:f>IF(E20=0,1,G20/E20)</x:f>
        <x:v>1</x:v>
      </x:c>
      <x:c r="M20" s="27" t="n">
        <x:f>G20*'Purchasing'!E20</x:f>
        <x:v>24516</x:v>
      </x:c>
    </x:row>
    <x:row r="21" ht="23" customHeight="1">
      <x:c r="A21" s="34" t="str">
        <x:v>0002</x:v>
      </x:c>
      <x:c r="B21" s="14" t="d">
        <x:v>2026-05-01T00:00:00.000Z</x:v>
      </x:c>
      <x:c r="C21" s="27" t="n">
        <x:f>I20</x:f>
        <x:v>972</x:v>
      </x:c>
      <x:c r="D21" s="27" t="n">
        <x:f>'Purchasing'!D21</x:f>
        <x:v>230</x:v>
      </x:c>
      <x:c r="E21" s="27" t="n">
        <x:f>SUMIFS('Sales'!$F$5:$F$388,'Sales'!$A$5:$A$388,A21,'Sales'!$C$5:$C$388,B21)</x:f>
        <x:v>235</x:v>
      </x:c>
      <x:c r="F21" s="27" t="n">
        <x:f>C21+D21</x:f>
        <x:v>1202</x:v>
      </x:c>
      <x:c r="G21" s="27" t="n">
        <x:f>MIN(E21,F21)</x:f>
        <x:v>235</x:v>
      </x:c>
      <x:c r="H21" s="27" t="n">
        <x:f>MAX(0,E21-F21)</x:f>
        <x:v>0</x:v>
      </x:c>
      <x:c r="I21" s="27" t="n">
        <x:f>F21-G21</x:f>
        <x:v>967</x:v>
      </x:c>
      <x:c r="J21" s="27" t="n">
        <x:f>'Opening'!C6</x:f>
        <x:v>215</x:v>
      </x:c>
      <x:c r="K21" s="27" t="n">
        <x:f>MAX(0,J21-I21)</x:f>
        <x:v>0</x:v>
      </x:c>
      <x:c r="L21" s="28" t="n">
        <x:f>IF(E21=0,1,G21/E21)</x:f>
        <x:v>1</x:v>
      </x:c>
      <x:c r="M21" s="27" t="n">
        <x:f>G21*'Purchasing'!E21</x:f>
        <x:v>25380</x:v>
      </x:c>
    </x:row>
    <x:row r="22" ht="23" customHeight="1">
      <x:c r="A22" s="34" t="str">
        <x:v>0002</x:v>
      </x:c>
      <x:c r="B22" s="14" t="d">
        <x:v>2026-06-01T00:00:00.000Z</x:v>
      </x:c>
      <x:c r="C22" s="27" t="n">
        <x:f>I21</x:f>
        <x:v>967</x:v>
      </x:c>
      <x:c r="D22" s="27" t="n">
        <x:f>'Purchasing'!D22</x:f>
        <x:v>230</x:v>
      </x:c>
      <x:c r="E22" s="27" t="n">
        <x:f>SUMIFS('Sales'!$F$5:$F$388,'Sales'!$A$5:$A$388,A22,'Sales'!$C$5:$C$388,B22)</x:f>
        <x:v>210</x:v>
      </x:c>
      <x:c r="F22" s="27" t="n">
        <x:f>C22+D22</x:f>
        <x:v>1197</x:v>
      </x:c>
      <x:c r="G22" s="27" t="n">
        <x:f>MIN(E22,F22)</x:f>
        <x:v>210</x:v>
      </x:c>
      <x:c r="H22" s="27" t="n">
        <x:f>MAX(0,E22-F22)</x:f>
        <x:v>0</x:v>
      </x:c>
      <x:c r="I22" s="27" t="n">
        <x:f>F22-G22</x:f>
        <x:v>987</x:v>
      </x:c>
      <x:c r="J22" s="27" t="n">
        <x:f>'Opening'!C6</x:f>
        <x:v>215</x:v>
      </x:c>
      <x:c r="K22" s="27" t="n">
        <x:f>MAX(0,J22-I22)</x:f>
        <x:v>0</x:v>
      </x:c>
      <x:c r="L22" s="28" t="n">
        <x:f>IF(E22=0,1,G22/E22)</x:f>
        <x:v>1</x:v>
      </x:c>
      <x:c r="M22" s="27" t="n">
        <x:f>G22*'Purchasing'!E22</x:f>
        <x:v>22680</x:v>
      </x:c>
    </x:row>
    <x:row r="23" ht="23" customHeight="1">
      <x:c r="A23" s="34" t="str">
        <x:v>0002</x:v>
      </x:c>
      <x:c r="B23" s="14" t="d">
        <x:v>2026-07-01T00:00:00.000Z</x:v>
      </x:c>
      <x:c r="C23" s="27" t="n">
        <x:f>I22</x:f>
        <x:v>987</x:v>
      </x:c>
      <x:c r="D23" s="27" t="n">
        <x:f>'Purchasing'!D23</x:f>
        <x:v>408</x:v>
      </x:c>
      <x:c r="E23" s="27" t="n">
        <x:f>SUMIFS('Sales'!$F$5:$F$388,'Sales'!$A$5:$A$388,A23,'Sales'!$C$5:$C$388,B23)</x:f>
        <x:v>655</x:v>
      </x:c>
      <x:c r="F23" s="27" t="n">
        <x:f>C23+D23</x:f>
        <x:v>1395</x:v>
      </x:c>
      <x:c r="G23" s="27" t="n">
        <x:f>MIN(E23,F23)</x:f>
        <x:v>655</x:v>
      </x:c>
      <x:c r="H23" s="27" t="n">
        <x:f>MAX(0,E23-F23)</x:f>
        <x:v>0</x:v>
      </x:c>
      <x:c r="I23" s="27" t="n">
        <x:f>F23-G23</x:f>
        <x:v>740</x:v>
      </x:c>
      <x:c r="J23" s="27" t="n">
        <x:f>'Opening'!C6</x:f>
        <x:v>215</x:v>
      </x:c>
      <x:c r="K23" s="27" t="n">
        <x:f>MAX(0,J23-I23)</x:f>
        <x:v>0</x:v>
      </x:c>
      <x:c r="L23" s="28" t="n">
        <x:f>IF(E23=0,1,G23/E23)</x:f>
        <x:v>1</x:v>
      </x:c>
      <x:c r="M23" s="27" t="n">
        <x:f>G23*'Purchasing'!E23</x:f>
        <x:v>72154.8</x:v>
      </x:c>
    </x:row>
    <x:row r="24" ht="23" customHeight="1">
      <x:c r="A24" s="34" t="str">
        <x:v>0002</x:v>
      </x:c>
      <x:c r="B24" s="14" t="d">
        <x:v>2026-08-01T00:00:00.000Z</x:v>
      </x:c>
      <x:c r="C24" s="27" t="n">
        <x:f>I23</x:f>
        <x:v>740</x:v>
      </x:c>
      <x:c r="D24" s="27" t="n">
        <x:f>'Purchasing'!D24</x:f>
        <x:v>408</x:v>
      </x:c>
      <x:c r="E24" s="27" t="n">
        <x:f>SUMIFS('Sales'!$F$5:$F$388,'Sales'!$A$5:$A$388,A24,'Sales'!$C$5:$C$388,B24)</x:f>
        <x:v>713</x:v>
      </x:c>
      <x:c r="F24" s="27" t="n">
        <x:f>C24+D24</x:f>
        <x:v>1148</x:v>
      </x:c>
      <x:c r="G24" s="27" t="n">
        <x:f>MIN(E24,F24)</x:f>
        <x:v>713</x:v>
      </x:c>
      <x:c r="H24" s="27" t="n">
        <x:f>MAX(0,E24-F24)</x:f>
        <x:v>0</x:v>
      </x:c>
      <x:c r="I24" s="27" t="n">
        <x:f>F24-G24</x:f>
        <x:v>435</x:v>
      </x:c>
      <x:c r="J24" s="27" t="n">
        <x:f>'Opening'!C6</x:f>
        <x:v>215</x:v>
      </x:c>
      <x:c r="K24" s="27" t="n">
        <x:f>MAX(0,J24-I24)</x:f>
        <x:v>0</x:v>
      </x:c>
      <x:c r="L24" s="28" t="n">
        <x:f>IF(E24=0,1,G24/E24)</x:f>
        <x:v>1</x:v>
      </x:c>
      <x:c r="M24" s="27" t="n">
        <x:f>G24*'Purchasing'!E24</x:f>
        <x:v>78544.08</x:v>
      </x:c>
    </x:row>
    <x:row r="25" ht="23" customHeight="1">
      <x:c r="A25" s="34" t="str">
        <x:v>0002</x:v>
      </x:c>
      <x:c r="B25" s="14" t="d">
        <x:v>2026-09-01T00:00:00.000Z</x:v>
      </x:c>
      <x:c r="C25" s="27" t="n">
        <x:f>I24</x:f>
        <x:v>435</x:v>
      </x:c>
      <x:c r="D25" s="27" t="n">
        <x:f>'Purchasing'!D25</x:f>
        <x:v>408</x:v>
      </x:c>
      <x:c r="E25" s="27" t="n">
        <x:f>SUMIFS('Sales'!$F$5:$F$388,'Sales'!$A$5:$A$388,A25,'Sales'!$C$5:$C$388,B25)</x:f>
        <x:v>772</x:v>
      </x:c>
      <x:c r="F25" s="27" t="n">
        <x:f>C25+D25</x:f>
        <x:v>843</x:v>
      </x:c>
      <x:c r="G25" s="27" t="n">
        <x:f>MIN(E25,F25)</x:f>
        <x:v>772</x:v>
      </x:c>
      <x:c r="H25" s="27" t="n">
        <x:f>MAX(0,E25-F25)</x:f>
        <x:v>0</x:v>
      </x:c>
      <x:c r="I25" s="27" t="n">
        <x:f>F25-G25</x:f>
        <x:v>71</x:v>
      </x:c>
      <x:c r="J25" s="27" t="n">
        <x:f>'Opening'!C6</x:f>
        <x:v>215</x:v>
      </x:c>
      <x:c r="K25" s="27" t="n">
        <x:f>MAX(0,J25-I25)</x:f>
        <x:v>144</x:v>
      </x:c>
      <x:c r="L25" s="28" t="n">
        <x:f>IF(E25=0,1,G25/E25)</x:f>
        <x:v>1</x:v>
      </x:c>
      <x:c r="M25" s="27" t="n">
        <x:f>G25*'Purchasing'!E25</x:f>
        <x:v>85043.52</x:v>
      </x:c>
    </x:row>
    <x:row r="26" ht="23" customHeight="1">
      <x:c r="A26" s="34" t="str">
        <x:v>0002</x:v>
      </x:c>
      <x:c r="B26" s="14" t="d">
        <x:v>2026-10-01T00:00:00.000Z</x:v>
      </x:c>
      <x:c r="C26" s="27" t="n">
        <x:f>I25</x:f>
        <x:v>71</x:v>
      </x:c>
      <x:c r="D26" s="27" t="n">
        <x:f>'Purchasing'!D26</x:f>
        <x:v>408</x:v>
      </x:c>
      <x:c r="E26" s="27" t="n">
        <x:f>SUMIFS('Sales'!$F$5:$F$388,'Sales'!$A$5:$A$388,A26,'Sales'!$C$5:$C$388,B26)</x:f>
        <x:v>831</x:v>
      </x:c>
      <x:c r="F26" s="27" t="n">
        <x:f>C26+D26</x:f>
        <x:v>479</x:v>
      </x:c>
      <x:c r="G26" s="27" t="n">
        <x:f>MIN(E26,F26)</x:f>
        <x:v>479</x:v>
      </x:c>
      <x:c r="H26" s="27" t="n">
        <x:f>MAX(0,E26-F26)</x:f>
        <x:v>352</x:v>
      </x:c>
      <x:c r="I26" s="27" t="n">
        <x:f>F26-G26</x:f>
        <x:v>0</x:v>
      </x:c>
      <x:c r="J26" s="27" t="n">
        <x:f>'Opening'!C6</x:f>
        <x:v>215</x:v>
      </x:c>
      <x:c r="K26" s="27" t="n">
        <x:f>MAX(0,J26-I26)</x:f>
        <x:v>215</x:v>
      </x:c>
      <x:c r="L26" s="28" t="n">
        <x:f>IF(E26=0,1,G26/E26)</x:f>
        <x:v>0.5764139590854392</x:v>
      </x:c>
      <x:c r="M26" s="27" t="n">
        <x:f>G26*'Purchasing'!E26</x:f>
        <x:v>52766.64</x:v>
      </x:c>
    </x:row>
    <x:row r="27" ht="23" customHeight="1">
      <x:c r="A27" s="34" t="str">
        <x:v>0002</x:v>
      </x:c>
      <x:c r="B27" s="14" t="d">
        <x:v>2026-11-01T00:00:00.000Z</x:v>
      </x:c>
      <x:c r="C27" s="27" t="n">
        <x:f>I26</x:f>
        <x:v>0</x:v>
      </x:c>
      <x:c r="D27" s="27" t="n">
        <x:f>'Purchasing'!D27</x:f>
        <x:v>408</x:v>
      </x:c>
      <x:c r="E27" s="27" t="n">
        <x:f>SUMIFS('Sales'!$F$5:$F$388,'Sales'!$A$5:$A$388,A27,'Sales'!$C$5:$C$388,B27)</x:f>
        <x:v>890</x:v>
      </x:c>
      <x:c r="F27" s="27" t="n">
        <x:f>C27+D27</x:f>
        <x:v>408</x:v>
      </x:c>
      <x:c r="G27" s="27" t="n">
        <x:f>MIN(E27,F27)</x:f>
        <x:v>408</x:v>
      </x:c>
      <x:c r="H27" s="27" t="n">
        <x:f>MAX(0,E27-F27)</x:f>
        <x:v>482</x:v>
      </x:c>
      <x:c r="I27" s="27" t="n">
        <x:f>F27-G27</x:f>
        <x:v>0</x:v>
      </x:c>
      <x:c r="J27" s="27" t="n">
        <x:f>'Opening'!C6</x:f>
        <x:v>215</x:v>
      </x:c>
      <x:c r="K27" s="27" t="n">
        <x:f>MAX(0,J27-I27)</x:f>
        <x:v>215</x:v>
      </x:c>
      <x:c r="L27" s="28" t="n">
        <x:f>IF(E27=0,1,G27/E27)</x:f>
        <x:v>0.4584269662921348</x:v>
      </x:c>
      <x:c r="M27" s="27" t="n">
        <x:f>G27*'Purchasing'!E27</x:f>
        <x:v>44945.28</x:v>
      </x:c>
    </x:row>
    <x:row r="28" ht="23" customHeight="1">
      <x:c r="A28" s="34" t="str">
        <x:v>0002</x:v>
      </x:c>
      <x:c r="B28" s="14" t="d">
        <x:v>2026-12-01T00:00:00.000Z</x:v>
      </x:c>
      <x:c r="C28" s="27" t="n">
        <x:f>I27</x:f>
        <x:v>0</x:v>
      </x:c>
      <x:c r="D28" s="27" t="n">
        <x:f>'Purchasing'!D28</x:f>
        <x:v>408</x:v>
      </x:c>
      <x:c r="E28" s="27" t="n">
        <x:f>SUMIFS('Sales'!$F$5:$F$388,'Sales'!$A$5:$A$388,A28,'Sales'!$C$5:$C$388,B28)</x:f>
        <x:v>948</x:v>
      </x:c>
      <x:c r="F28" s="27" t="n">
        <x:f>C28+D28</x:f>
        <x:v>408</x:v>
      </x:c>
      <x:c r="G28" s="27" t="n">
        <x:f>MIN(E28,F28)</x:f>
        <x:v>408</x:v>
      </x:c>
      <x:c r="H28" s="27" t="n">
        <x:f>MAX(0,E28-F28)</x:f>
        <x:v>540</x:v>
      </x:c>
      <x:c r="I28" s="27" t="n">
        <x:f>F28-G28</x:f>
        <x:v>0</x:v>
      </x:c>
      <x:c r="J28" s="27" t="n">
        <x:f>'Opening'!C6</x:f>
        <x:v>215</x:v>
      </x:c>
      <x:c r="K28" s="27" t="n">
        <x:f>MAX(0,J28-I28)</x:f>
        <x:v>215</x:v>
      </x:c>
      <x:c r="L28" s="28" t="n">
        <x:f>IF(E28=0,1,G28/E28)</x:f>
        <x:v>0.43037974683544306</x:v>
      </x:c>
      <x:c r="M28" s="27" t="n">
        <x:f>G28*'Purchasing'!E28</x:f>
        <x:v>44945.28</x:v>
      </x:c>
    </x:row>
    <x:row r="29" ht="23" customHeight="1">
      <x:c r="A29" s="34" t="str">
        <x:v>0003</x:v>
      </x:c>
      <x:c r="B29" s="14" t="d">
        <x:v>2026-01-01T00:00:00.000Z</x:v>
      </x:c>
      <x:c r="C29" s="27" t="n">
        <x:f>'Opening'!B7</x:f>
        <x:v>1090</x:v>
      </x:c>
      <x:c r="D29" s="27" t="n">
        <x:f>'Purchasing'!D29</x:f>
        <x:v>240</x:v>
      </x:c>
      <x:c r="E29" s="27" t="n">
        <x:f>SUMIFS('Sales'!$F$5:$F$388,'Sales'!$A$5:$A$388,A29,'Sales'!$C$5:$C$388,B29)</x:f>
        <x:v>237</x:v>
      </x:c>
      <x:c r="F29" s="27" t="n">
        <x:f>C29+D29</x:f>
        <x:v>1330</x:v>
      </x:c>
      <x:c r="G29" s="27" t="n">
        <x:f>MIN(E29,F29)</x:f>
        <x:v>237</x:v>
      </x:c>
      <x:c r="H29" s="27" t="n">
        <x:f>MAX(0,E29-F29)</x:f>
        <x:v>0</x:v>
      </x:c>
      <x:c r="I29" s="27" t="n">
        <x:f>F29-G29</x:f>
        <x:v>1093</x:v>
      </x:c>
      <x:c r="J29" s="27" t="n">
        <x:f>'Opening'!C7</x:f>
        <x:v>230</x:v>
      </x:c>
      <x:c r="K29" s="27" t="n">
        <x:f>MAX(0,J29-I29)</x:f>
        <x:v>0</x:v>
      </x:c>
      <x:c r="L29" s="28" t="n">
        <x:f>IF(E29=0,1,G29/E29)</x:f>
        <x:v>1</x:v>
      </x:c>
      <x:c r="M29" s="27" t="n">
        <x:f>G29*'Purchasing'!E29</x:f>
        <x:v>28677</x:v>
      </x:c>
    </x:row>
    <x:row r="30" ht="23" customHeight="1">
      <x:c r="A30" s="34" t="str">
        <x:v>0003</x:v>
      </x:c>
      <x:c r="B30" s="14" t="d">
        <x:v>2026-02-01T00:00:00.000Z</x:v>
      </x:c>
      <x:c r="C30" s="27" t="n">
        <x:f>I29</x:f>
        <x:v>1093</x:v>
      </x:c>
      <x:c r="D30" s="27" t="n">
        <x:f>'Purchasing'!D30</x:f>
        <x:v>240</x:v>
      </x:c>
      <x:c r="E30" s="27" t="n">
        <x:f>SUMIFS('Sales'!$F$5:$F$388,'Sales'!$A$5:$A$388,A30,'Sales'!$C$5:$C$388,B30)</x:f>
        <x:v>266</x:v>
      </x:c>
      <x:c r="F30" s="27" t="n">
        <x:f>C30+D30</x:f>
        <x:v>1333</x:v>
      </x:c>
      <x:c r="G30" s="27" t="n">
        <x:f>MIN(E30,F30)</x:f>
        <x:v>266</x:v>
      </x:c>
      <x:c r="H30" s="27" t="n">
        <x:f>MAX(0,E30-F30)</x:f>
        <x:v>0</x:v>
      </x:c>
      <x:c r="I30" s="27" t="n">
        <x:f>F30-G30</x:f>
        <x:v>1067</x:v>
      </x:c>
      <x:c r="J30" s="27" t="n">
        <x:f>'Opening'!C7</x:f>
        <x:v>230</x:v>
      </x:c>
      <x:c r="K30" s="27" t="n">
        <x:f>MAX(0,J30-I30)</x:f>
        <x:v>0</x:v>
      </x:c>
      <x:c r="L30" s="28" t="n">
        <x:f>IF(E30=0,1,G30/E30)</x:f>
        <x:v>1</x:v>
      </x:c>
      <x:c r="M30" s="27" t="n">
        <x:f>G30*'Purchasing'!E30</x:f>
        <x:v>32186</x:v>
      </x:c>
    </x:row>
    <x:row r="31" ht="23" customHeight="1">
      <x:c r="A31" s="34" t="str">
        <x:v>0003</x:v>
      </x:c>
      <x:c r="B31" s="14" t="d">
        <x:v>2026-03-01T00:00:00.000Z</x:v>
      </x:c>
      <x:c r="C31" s="27" t="n">
        <x:f>I30</x:f>
        <x:v>1067</x:v>
      </x:c>
      <x:c r="D31" s="27" t="n">
        <x:f>'Purchasing'!D31</x:f>
        <x:v>240</x:v>
      </x:c>
      <x:c r="E31" s="27" t="n">
        <x:f>SUMIFS('Sales'!$F$5:$F$388,'Sales'!$A$5:$A$388,A31,'Sales'!$C$5:$C$388,B31)</x:f>
        <x:v>230</x:v>
      </x:c>
      <x:c r="F31" s="27" t="n">
        <x:f>C31+D31</x:f>
        <x:v>1307</x:v>
      </x:c>
      <x:c r="G31" s="27" t="n">
        <x:f>MIN(E31,F31)</x:f>
        <x:v>230</x:v>
      </x:c>
      <x:c r="H31" s="27" t="n">
        <x:f>MAX(0,E31-F31)</x:f>
        <x:v>0</x:v>
      </x:c>
      <x:c r="I31" s="27" t="n">
        <x:f>F31-G31</x:f>
        <x:v>1077</x:v>
      </x:c>
      <x:c r="J31" s="27" t="n">
        <x:f>'Opening'!C7</x:f>
        <x:v>230</x:v>
      </x:c>
      <x:c r="K31" s="27" t="n">
        <x:f>MAX(0,J31-I31)</x:f>
        <x:v>0</x:v>
      </x:c>
      <x:c r="L31" s="28" t="n">
        <x:f>IF(E31=0,1,G31/E31)</x:f>
        <x:v>1</x:v>
      </x:c>
      <x:c r="M31" s="27" t="n">
        <x:f>G31*'Purchasing'!E31</x:f>
        <x:v>27830</x:v>
      </x:c>
    </x:row>
    <x:row r="32" ht="23" customHeight="1">
      <x:c r="A32" s="34" t="str">
        <x:v>0003</x:v>
      </x:c>
      <x:c r="B32" s="14" t="d">
        <x:v>2026-04-01T00:00:00.000Z</x:v>
      </x:c>
      <x:c r="C32" s="27" t="n">
        <x:f>I31</x:f>
        <x:v>1077</x:v>
      </x:c>
      <x:c r="D32" s="27" t="n">
        <x:f>'Purchasing'!D32</x:f>
        <x:v>240</x:v>
      </x:c>
      <x:c r="E32" s="27" t="n">
        <x:f>SUMIFS('Sales'!$F$5:$F$388,'Sales'!$A$5:$A$388,A32,'Sales'!$C$5:$C$388,B32)</x:f>
        <x:v>279</x:v>
      </x:c>
      <x:c r="F32" s="27" t="n">
        <x:f>C32+D32</x:f>
        <x:v>1317</x:v>
      </x:c>
      <x:c r="G32" s="27" t="n">
        <x:f>MIN(E32,F32)</x:f>
        <x:v>279</x:v>
      </x:c>
      <x:c r="H32" s="27" t="n">
        <x:f>MAX(0,E32-F32)</x:f>
        <x:v>0</x:v>
      </x:c>
      <x:c r="I32" s="27" t="n">
        <x:f>F32-G32</x:f>
        <x:v>1038</x:v>
      </x:c>
      <x:c r="J32" s="27" t="n">
        <x:f>'Opening'!C7</x:f>
        <x:v>230</x:v>
      </x:c>
      <x:c r="K32" s="27" t="n">
        <x:f>MAX(0,J32-I32)</x:f>
        <x:v>0</x:v>
      </x:c>
      <x:c r="L32" s="28" t="n">
        <x:f>IF(E32=0,1,G32/E32)</x:f>
        <x:v>1</x:v>
      </x:c>
      <x:c r="M32" s="27" t="n">
        <x:f>G32*'Purchasing'!E32</x:f>
        <x:v>33759</x:v>
      </x:c>
    </x:row>
    <x:row r="33" ht="23" customHeight="1">
      <x:c r="A33" s="34" t="str">
        <x:v>0003</x:v>
      </x:c>
      <x:c r="B33" s="14" t="d">
        <x:v>2026-05-01T00:00:00.000Z</x:v>
      </x:c>
      <x:c r="C33" s="27" t="n">
        <x:f>I32</x:f>
        <x:v>1038</x:v>
      </x:c>
      <x:c r="D33" s="27" t="n">
        <x:f>'Purchasing'!D33</x:f>
        <x:v>240</x:v>
      </x:c>
      <x:c r="E33" s="27" t="n">
        <x:f>SUMIFS('Sales'!$F$5:$F$388,'Sales'!$A$5:$A$388,A33,'Sales'!$C$5:$C$388,B33)</x:f>
        <x:v>249</x:v>
      </x:c>
      <x:c r="F33" s="27" t="n">
        <x:f>C33+D33</x:f>
        <x:v>1278</x:v>
      </x:c>
      <x:c r="G33" s="27" t="n">
        <x:f>MIN(E33,F33)</x:f>
        <x:v>249</x:v>
      </x:c>
      <x:c r="H33" s="27" t="n">
        <x:f>MAX(0,E33-F33)</x:f>
        <x:v>0</x:v>
      </x:c>
      <x:c r="I33" s="27" t="n">
        <x:f>F33-G33</x:f>
        <x:v>1029</x:v>
      </x:c>
      <x:c r="J33" s="27" t="n">
        <x:f>'Opening'!C7</x:f>
        <x:v>230</x:v>
      </x:c>
      <x:c r="K33" s="27" t="n">
        <x:f>MAX(0,J33-I33)</x:f>
        <x:v>0</x:v>
      </x:c>
      <x:c r="L33" s="28" t="n">
        <x:f>IF(E33=0,1,G33/E33)</x:f>
        <x:v>1</x:v>
      </x:c>
      <x:c r="M33" s="27" t="n">
        <x:f>G33*'Purchasing'!E33</x:f>
        <x:v>30129</x:v>
      </x:c>
    </x:row>
    <x:row r="34" ht="23" customHeight="1">
      <x:c r="A34" s="34" t="str">
        <x:v>0003</x:v>
      </x:c>
      <x:c r="B34" s="14" t="d">
        <x:v>2026-06-01T00:00:00.000Z</x:v>
      </x:c>
      <x:c r="C34" s="27" t="n">
        <x:f>I33</x:f>
        <x:v>1029</x:v>
      </x:c>
      <x:c r="D34" s="27" t="n">
        <x:f>'Purchasing'!D34</x:f>
        <x:v>240</x:v>
      </x:c>
      <x:c r="E34" s="27" t="n">
        <x:f>SUMIFS('Sales'!$F$5:$F$388,'Sales'!$A$5:$A$388,A34,'Sales'!$C$5:$C$388,B34)</x:f>
        <x:v>230</x:v>
      </x:c>
      <x:c r="F34" s="27" t="n">
        <x:f>C34+D34</x:f>
        <x:v>1269</x:v>
      </x:c>
      <x:c r="G34" s="27" t="n">
        <x:f>MIN(E34,F34)</x:f>
        <x:v>230</x:v>
      </x:c>
      <x:c r="H34" s="27" t="n">
        <x:f>MAX(0,E34-F34)</x:f>
        <x:v>0</x:v>
      </x:c>
      <x:c r="I34" s="27" t="n">
        <x:f>F34-G34</x:f>
        <x:v>1039</x:v>
      </x:c>
      <x:c r="J34" s="27" t="n">
        <x:f>'Opening'!C7</x:f>
        <x:v>230</x:v>
      </x:c>
      <x:c r="K34" s="27" t="n">
        <x:f>MAX(0,J34-I34)</x:f>
        <x:v>0</x:v>
      </x:c>
      <x:c r="L34" s="28" t="n">
        <x:f>IF(E34=0,1,G34/E34)</x:f>
        <x:v>1</x:v>
      </x:c>
      <x:c r="M34" s="27" t="n">
        <x:f>G34*'Purchasing'!E34</x:f>
        <x:v>27830</x:v>
      </x:c>
    </x:row>
    <x:row r="35" ht="23" customHeight="1">
      <x:c r="A35" s="34" t="str">
        <x:v>0003</x:v>
      </x:c>
      <x:c r="B35" s="14" t="d">
        <x:v>2026-07-01T00:00:00.000Z</x:v>
      </x:c>
      <x:c r="C35" s="27" t="n">
        <x:f>I34</x:f>
        <x:v>1039</x:v>
      </x:c>
      <x:c r="D35" s="27" t="n">
        <x:f>'Purchasing'!D35</x:f>
        <x:v>426</x:v>
      </x:c>
      <x:c r="E35" s="27" t="n">
        <x:f>SUMIFS('Sales'!$F$5:$F$388,'Sales'!$A$5:$A$388,A35,'Sales'!$C$5:$C$388,B35)</x:f>
        <x:v>688</x:v>
      </x:c>
      <x:c r="F35" s="27" t="n">
        <x:f>C35+D35</x:f>
        <x:v>1465</x:v>
      </x:c>
      <x:c r="G35" s="27" t="n">
        <x:f>MIN(E35,F35)</x:f>
        <x:v>688</x:v>
      </x:c>
      <x:c r="H35" s="27" t="n">
        <x:f>MAX(0,E35-F35)</x:f>
        <x:v>0</x:v>
      </x:c>
      <x:c r="I35" s="27" t="n">
        <x:f>F35-G35</x:f>
        <x:v>777</x:v>
      </x:c>
      <x:c r="J35" s="27" t="n">
        <x:f>'Opening'!C7</x:f>
        <x:v>230</x:v>
      </x:c>
      <x:c r="K35" s="27" t="n">
        <x:f>MAX(0,J35-I35)</x:f>
        <x:v>0</x:v>
      </x:c>
      <x:c r="L35" s="28" t="n">
        <x:f>IF(E35=0,1,G35/E35)</x:f>
        <x:v>1</x:v>
      </x:c>
      <x:c r="M35" s="27" t="n">
        <x:f>G35*'Purchasing'!E35</x:f>
        <x:v>84912.96</x:v>
      </x:c>
    </x:row>
    <x:row r="36" ht="23" customHeight="1">
      <x:c r="A36" s="34" t="str">
        <x:v>0003</x:v>
      </x:c>
      <x:c r="B36" s="14" t="d">
        <x:v>2026-08-01T00:00:00.000Z</x:v>
      </x:c>
      <x:c r="C36" s="27" t="n">
        <x:f>I35</x:f>
        <x:v>777</x:v>
      </x:c>
      <x:c r="D36" s="27" t="n">
        <x:f>'Purchasing'!D36</x:f>
        <x:v>426</x:v>
      </x:c>
      <x:c r="E36" s="27" t="n">
        <x:f>SUMIFS('Sales'!$F$5:$F$388,'Sales'!$A$5:$A$388,A36,'Sales'!$C$5:$C$388,B36)</x:f>
        <x:v>747</x:v>
      </x:c>
      <x:c r="F36" s="27" t="n">
        <x:f>C36+D36</x:f>
        <x:v>1203</x:v>
      </x:c>
      <x:c r="G36" s="27" t="n">
        <x:f>MIN(E36,F36)</x:f>
        <x:v>747</x:v>
      </x:c>
      <x:c r="H36" s="27" t="n">
        <x:f>MAX(0,E36-F36)</x:f>
        <x:v>0</x:v>
      </x:c>
      <x:c r="I36" s="27" t="n">
        <x:f>F36-G36</x:f>
        <x:v>456</x:v>
      </x:c>
      <x:c r="J36" s="27" t="n">
        <x:f>'Opening'!C7</x:f>
        <x:v>230</x:v>
      </x:c>
      <x:c r="K36" s="27" t="n">
        <x:f>MAX(0,J36-I36)</x:f>
        <x:v>0</x:v>
      </x:c>
      <x:c r="L36" s="28" t="n">
        <x:f>IF(E36=0,1,G36/E36)</x:f>
        <x:v>1</x:v>
      </x:c>
      <x:c r="M36" s="27" t="n">
        <x:f>G36*'Purchasing'!E36</x:f>
        <x:v>92194.74</x:v>
      </x:c>
    </x:row>
    <x:row r="37" ht="23" customHeight="1">
      <x:c r="A37" s="34" t="str">
        <x:v>0003</x:v>
      </x:c>
      <x:c r="B37" s="14" t="d">
        <x:v>2026-09-01T00:00:00.000Z</x:v>
      </x:c>
      <x:c r="C37" s="27" t="n">
        <x:f>I36</x:f>
        <x:v>456</x:v>
      </x:c>
      <x:c r="D37" s="27" t="n">
        <x:f>'Purchasing'!D37</x:f>
        <x:v>426</x:v>
      </x:c>
      <x:c r="E37" s="27" t="n">
        <x:f>SUMIFS('Sales'!$F$5:$F$388,'Sales'!$A$5:$A$388,A37,'Sales'!$C$5:$C$388,B37)</x:f>
        <x:v>806</x:v>
      </x:c>
      <x:c r="F37" s="27" t="n">
        <x:f>C37+D37</x:f>
        <x:v>882</x:v>
      </x:c>
      <x:c r="G37" s="27" t="n">
        <x:f>MIN(E37,F37)</x:f>
        <x:v>806</x:v>
      </x:c>
      <x:c r="H37" s="27" t="n">
        <x:f>MAX(0,E37-F37)</x:f>
        <x:v>0</x:v>
      </x:c>
      <x:c r="I37" s="27" t="n">
        <x:f>F37-G37</x:f>
        <x:v>76</x:v>
      </x:c>
      <x:c r="J37" s="27" t="n">
        <x:f>'Opening'!C7</x:f>
        <x:v>230</x:v>
      </x:c>
      <x:c r="K37" s="27" t="n">
        <x:f>MAX(0,J37-I37)</x:f>
        <x:v>154</x:v>
      </x:c>
      <x:c r="L37" s="28" t="n">
        <x:f>IF(E37=0,1,G37/E37)</x:f>
        <x:v>1</x:v>
      </x:c>
      <x:c r="M37" s="27" t="n">
        <x:f>G37*'Purchasing'!E37</x:f>
        <x:v>99476.52</x:v>
      </x:c>
    </x:row>
    <x:row r="38" ht="23" customHeight="1">
      <x:c r="A38" s="34" t="str">
        <x:v>0003</x:v>
      </x:c>
      <x:c r="B38" s="14" t="d">
        <x:v>2026-10-01T00:00:00.000Z</x:v>
      </x:c>
      <x:c r="C38" s="27" t="n">
        <x:f>I37</x:f>
        <x:v>76</x:v>
      </x:c>
      <x:c r="D38" s="27" t="n">
        <x:f>'Purchasing'!D38</x:f>
        <x:v>426</x:v>
      </x:c>
      <x:c r="E38" s="27" t="n">
        <x:f>SUMIFS('Sales'!$F$5:$F$388,'Sales'!$A$5:$A$388,A38,'Sales'!$C$5:$C$388,B38)</x:f>
        <x:v>864</x:v>
      </x:c>
      <x:c r="F38" s="27" t="n">
        <x:f>C38+D38</x:f>
        <x:v>502</x:v>
      </x:c>
      <x:c r="G38" s="27" t="n">
        <x:f>MIN(E38,F38)</x:f>
        <x:v>502</x:v>
      </x:c>
      <x:c r="H38" s="27" t="n">
        <x:f>MAX(0,E38-F38)</x:f>
        <x:v>362</x:v>
      </x:c>
      <x:c r="I38" s="27" t="n">
        <x:f>F38-G38</x:f>
        <x:v>0</x:v>
      </x:c>
      <x:c r="J38" s="27" t="n">
        <x:f>'Opening'!C7</x:f>
        <x:v>230</x:v>
      </x:c>
      <x:c r="K38" s="27" t="n">
        <x:f>MAX(0,J38-I38)</x:f>
        <x:v>230</x:v>
      </x:c>
      <x:c r="L38" s="28" t="n">
        <x:f>IF(E38=0,1,G38/E38)</x:f>
        <x:v>0.5810185185185185</x:v>
      </x:c>
      <x:c r="M38" s="27" t="n">
        <x:f>G38*'Purchasing'!E38</x:f>
        <x:v>61956.840000000004</x:v>
      </x:c>
    </x:row>
    <x:row r="39" ht="23" customHeight="1">
      <x:c r="A39" s="34" t="str">
        <x:v>0003</x:v>
      </x:c>
      <x:c r="B39" s="14" t="d">
        <x:v>2026-11-01T00:00:00.000Z</x:v>
      </x:c>
      <x:c r="C39" s="27" t="n">
        <x:f>I38</x:f>
        <x:v>0</x:v>
      </x:c>
      <x:c r="D39" s="27" t="n">
        <x:f>'Purchasing'!D39</x:f>
        <x:v>426</x:v>
      </x:c>
      <x:c r="E39" s="27" t="n">
        <x:f>SUMIFS('Sales'!$F$5:$F$388,'Sales'!$A$5:$A$388,A39,'Sales'!$C$5:$C$388,B39)</x:f>
        <x:v>923</x:v>
      </x:c>
      <x:c r="F39" s="27" t="n">
        <x:f>C39+D39</x:f>
        <x:v>426</x:v>
      </x:c>
      <x:c r="G39" s="27" t="n">
        <x:f>MIN(E39,F39)</x:f>
        <x:v>426</x:v>
      </x:c>
      <x:c r="H39" s="27" t="n">
        <x:f>MAX(0,E39-F39)</x:f>
        <x:v>497</x:v>
      </x:c>
      <x:c r="I39" s="27" t="n">
        <x:f>F39-G39</x:f>
        <x:v>0</x:v>
      </x:c>
      <x:c r="J39" s="27" t="n">
        <x:f>'Opening'!C7</x:f>
        <x:v>230</x:v>
      </x:c>
      <x:c r="K39" s="27" t="n">
        <x:f>MAX(0,J39-I39)</x:f>
        <x:v>230</x:v>
      </x:c>
      <x:c r="L39" s="28" t="n">
        <x:f>IF(E39=0,1,G39/E39)</x:f>
        <x:v>0.46153846153846156</x:v>
      </x:c>
      <x:c r="M39" s="27" t="n">
        <x:f>G39*'Purchasing'!E39</x:f>
        <x:v>52576.92</x:v>
      </x:c>
    </x:row>
    <x:row r="40" ht="23" customHeight="1">
      <x:c r="A40" s="34" t="str">
        <x:v>0003</x:v>
      </x:c>
      <x:c r="B40" s="14" t="d">
        <x:v>2026-12-01T00:00:00.000Z</x:v>
      </x:c>
      <x:c r="C40" s="27" t="n">
        <x:f>I39</x:f>
        <x:v>0</x:v>
      </x:c>
      <x:c r="D40" s="27" t="n">
        <x:f>'Purchasing'!D40</x:f>
        <x:v>426</x:v>
      </x:c>
      <x:c r="E40" s="27" t="n">
        <x:f>SUMIFS('Sales'!$F$5:$F$388,'Sales'!$A$5:$A$388,A40,'Sales'!$C$5:$C$388,B40)</x:f>
        <x:v>982</x:v>
      </x:c>
      <x:c r="F40" s="27" t="n">
        <x:f>C40+D40</x:f>
        <x:v>426</x:v>
      </x:c>
      <x:c r="G40" s="27" t="n">
        <x:f>MIN(E40,F40)</x:f>
        <x:v>426</x:v>
      </x:c>
      <x:c r="H40" s="27" t="n">
        <x:f>MAX(0,E40-F40)</x:f>
        <x:v>556</x:v>
      </x:c>
      <x:c r="I40" s="27" t="n">
        <x:f>F40-G40</x:f>
        <x:v>0</x:v>
      </x:c>
      <x:c r="J40" s="27" t="n">
        <x:f>'Opening'!C7</x:f>
        <x:v>230</x:v>
      </x:c>
      <x:c r="K40" s="27" t="n">
        <x:f>MAX(0,J40-I40)</x:f>
        <x:v>230</x:v>
      </x:c>
      <x:c r="L40" s="28" t="n">
        <x:f>IF(E40=0,1,G40/E40)</x:f>
        <x:v>0.43380855397148677</x:v>
      </x:c>
      <x:c r="M40" s="27" t="n">
        <x:f>G40*'Purchasing'!E40</x:f>
        <x:v>52576.92</x:v>
      </x:c>
    </x:row>
    <x:row r="41" ht="23" customHeight="1">
      <x:c r="A41" s="34" t="str">
        <x:v>0004</x:v>
      </x:c>
      <x:c r="B41" s="14" t="d">
        <x:v>2026-01-01T00:00:00.000Z</x:v>
      </x:c>
      <x:c r="C41" s="27" t="n">
        <x:f>'Opening'!B8</x:f>
        <x:v>1135</x:v>
      </x:c>
      <x:c r="D41" s="27" t="n">
        <x:f>'Purchasing'!D41</x:f>
        <x:v>250</x:v>
      </x:c>
      <x:c r="E41" s="27" t="n">
        <x:f>SUMIFS('Sales'!$F$5:$F$388,'Sales'!$A$5:$A$388,A41,'Sales'!$C$5:$C$388,B41)</x:f>
        <x:v>265</x:v>
      </x:c>
      <x:c r="F41" s="27" t="n">
        <x:f>C41+D41</x:f>
        <x:v>1385</x:v>
      </x:c>
      <x:c r="G41" s="27" t="n">
        <x:f>MIN(E41,F41)</x:f>
        <x:v>265</x:v>
      </x:c>
      <x:c r="H41" s="27" t="n">
        <x:f>MAX(0,E41-F41)</x:f>
        <x:v>0</x:v>
      </x:c>
      <x:c r="I41" s="27" t="n">
        <x:f>F41-G41</x:f>
        <x:v>1120</x:v>
      </x:c>
      <x:c r="J41" s="27" t="n">
        <x:f>'Opening'!C8</x:f>
        <x:v>245</x:v>
      </x:c>
      <x:c r="K41" s="27" t="n">
        <x:f>MAX(0,J41-I41)</x:f>
        <x:v>0</x:v>
      </x:c>
      <x:c r="L41" s="28" t="n">
        <x:f>IF(E41=0,1,G41/E41)</x:f>
        <x:v>1</x:v>
      </x:c>
      <x:c r="M41" s="27" t="n">
        <x:f>G41*'Purchasing'!E41</x:f>
        <x:v>35510</x:v>
      </x:c>
    </x:row>
    <x:row r="42" ht="23" customHeight="1">
      <x:c r="A42" s="34" t="str">
        <x:v>0004</x:v>
      </x:c>
      <x:c r="B42" s="14" t="d">
        <x:v>2026-02-01T00:00:00.000Z</x:v>
      </x:c>
      <x:c r="C42" s="27" t="n">
        <x:f>I41</x:f>
        <x:v>1120</x:v>
      </x:c>
      <x:c r="D42" s="27" t="n">
        <x:f>'Purchasing'!D42</x:f>
        <x:v>250</x:v>
      </x:c>
      <x:c r="E42" s="27" t="n">
        <x:f>SUMIFS('Sales'!$F$5:$F$388,'Sales'!$A$5:$A$388,A42,'Sales'!$C$5:$C$388,B42)</x:f>
        <x:v>268</x:v>
      </x:c>
      <x:c r="F42" s="27" t="n">
        <x:f>C42+D42</x:f>
        <x:v>1370</x:v>
      </x:c>
      <x:c r="G42" s="27" t="n">
        <x:f>MIN(E42,F42)</x:f>
        <x:v>268</x:v>
      </x:c>
      <x:c r="H42" s="27" t="n">
        <x:f>MAX(0,E42-F42)</x:f>
        <x:v>0</x:v>
      </x:c>
      <x:c r="I42" s="27" t="n">
        <x:f>F42-G42</x:f>
        <x:v>1102</x:v>
      </x:c>
      <x:c r="J42" s="27" t="n">
        <x:f>'Opening'!C8</x:f>
        <x:v>245</x:v>
      </x:c>
      <x:c r="K42" s="27" t="n">
        <x:f>MAX(0,J42-I42)</x:f>
        <x:v>0</x:v>
      </x:c>
      <x:c r="L42" s="28" t="n">
        <x:f>IF(E42=0,1,G42/E42)</x:f>
        <x:v>1</x:v>
      </x:c>
      <x:c r="M42" s="27" t="n">
        <x:f>G42*'Purchasing'!E42</x:f>
        <x:v>35912</x:v>
      </x:c>
    </x:row>
    <x:row r="43" ht="23" customHeight="1">
      <x:c r="A43" s="34" t="str">
        <x:v>0004</x:v>
      </x:c>
      <x:c r="B43" s="14" t="d">
        <x:v>2026-03-01T00:00:00.000Z</x:v>
      </x:c>
      <x:c r="C43" s="27" t="n">
        <x:f>I42</x:f>
        <x:v>1102</x:v>
      </x:c>
      <x:c r="D43" s="27" t="n">
        <x:f>'Purchasing'!D43</x:f>
        <x:v>250</x:v>
      </x:c>
      <x:c r="E43" s="27" t="n">
        <x:f>SUMIFS('Sales'!$F$5:$F$388,'Sales'!$A$5:$A$388,A43,'Sales'!$C$5:$C$388,B43)</x:f>
        <x:v>235</x:v>
      </x:c>
      <x:c r="F43" s="27" t="n">
        <x:f>C43+D43</x:f>
        <x:v>1352</x:v>
      </x:c>
      <x:c r="G43" s="27" t="n">
        <x:f>MIN(E43,F43)</x:f>
        <x:v>235</x:v>
      </x:c>
      <x:c r="H43" s="27" t="n">
        <x:f>MAX(0,E43-F43)</x:f>
        <x:v>0</x:v>
      </x:c>
      <x:c r="I43" s="27" t="n">
        <x:f>F43-G43</x:f>
        <x:v>1117</x:v>
      </x:c>
      <x:c r="J43" s="27" t="n">
        <x:f>'Opening'!C8</x:f>
        <x:v>245</x:v>
      </x:c>
      <x:c r="K43" s="27" t="n">
        <x:f>MAX(0,J43-I43)</x:f>
        <x:v>0</x:v>
      </x:c>
      <x:c r="L43" s="28" t="n">
        <x:f>IF(E43=0,1,G43/E43)</x:f>
        <x:v>1</x:v>
      </x:c>
      <x:c r="M43" s="27" t="n">
        <x:f>G43*'Purchasing'!E43</x:f>
        <x:v>31490</x:v>
      </x:c>
    </x:row>
    <x:row r="44" ht="23" customHeight="1">
      <x:c r="A44" s="34" t="str">
        <x:v>0004</x:v>
      </x:c>
      <x:c r="B44" s="14" t="d">
        <x:v>2026-04-01T00:00:00.000Z</x:v>
      </x:c>
      <x:c r="C44" s="27" t="n">
        <x:f>I43</x:f>
        <x:v>1117</x:v>
      </x:c>
      <x:c r="D44" s="27" t="n">
        <x:f>'Purchasing'!D44</x:f>
        <x:v>250</x:v>
      </x:c>
      <x:c r="E44" s="27" t="n">
        <x:f>SUMIFS('Sales'!$F$5:$F$388,'Sales'!$A$5:$A$388,A44,'Sales'!$C$5:$C$388,B44)</x:f>
        <x:v>252</x:v>
      </x:c>
      <x:c r="F44" s="27" t="n">
        <x:f>C44+D44</x:f>
        <x:v>1367</x:v>
      </x:c>
      <x:c r="G44" s="27" t="n">
        <x:f>MIN(E44,F44)</x:f>
        <x:v>252</x:v>
      </x:c>
      <x:c r="H44" s="27" t="n">
        <x:f>MAX(0,E44-F44)</x:f>
        <x:v>0</x:v>
      </x:c>
      <x:c r="I44" s="27" t="n">
        <x:f>F44-G44</x:f>
        <x:v>1115</x:v>
      </x:c>
      <x:c r="J44" s="27" t="n">
        <x:f>'Opening'!C8</x:f>
        <x:v>245</x:v>
      </x:c>
      <x:c r="K44" s="27" t="n">
        <x:f>MAX(0,J44-I44)</x:f>
        <x:v>0</x:v>
      </x:c>
      <x:c r="L44" s="28" t="n">
        <x:f>IF(E44=0,1,G44/E44)</x:f>
        <x:v>1</x:v>
      </x:c>
      <x:c r="M44" s="27" t="n">
        <x:f>G44*'Purchasing'!E44</x:f>
        <x:v>33768</x:v>
      </x:c>
    </x:row>
    <x:row r="45" ht="23" customHeight="1">
      <x:c r="A45" s="34" t="str">
        <x:v>0004</x:v>
      </x:c>
      <x:c r="B45" s="14" t="d">
        <x:v>2026-05-01T00:00:00.000Z</x:v>
      </x:c>
      <x:c r="C45" s="27" t="n">
        <x:f>I44</x:f>
        <x:v>1115</x:v>
      </x:c>
      <x:c r="D45" s="27" t="n">
        <x:f>'Purchasing'!D45</x:f>
        <x:v>250</x:v>
      </x:c>
      <x:c r="E45" s="27" t="n">
        <x:f>SUMIFS('Sales'!$F$5:$F$388,'Sales'!$A$5:$A$388,A45,'Sales'!$C$5:$C$388,B45)</x:f>
        <x:v>218</x:v>
      </x:c>
      <x:c r="F45" s="27" t="n">
        <x:f>C45+D45</x:f>
        <x:v>1365</x:v>
      </x:c>
      <x:c r="G45" s="27" t="n">
        <x:f>MIN(E45,F45)</x:f>
        <x:v>218</x:v>
      </x:c>
      <x:c r="H45" s="27" t="n">
        <x:f>MAX(0,E45-F45)</x:f>
        <x:v>0</x:v>
      </x:c>
      <x:c r="I45" s="27" t="n">
        <x:f>F45-G45</x:f>
        <x:v>1147</x:v>
      </x:c>
      <x:c r="J45" s="27" t="n">
        <x:f>'Opening'!C8</x:f>
        <x:v>245</x:v>
      </x:c>
      <x:c r="K45" s="27" t="n">
        <x:f>MAX(0,J45-I45)</x:f>
        <x:v>0</x:v>
      </x:c>
      <x:c r="L45" s="28" t="n">
        <x:f>IF(E45=0,1,G45/E45)</x:f>
        <x:v>1</x:v>
      </x:c>
      <x:c r="M45" s="27" t="n">
        <x:f>G45*'Purchasing'!E45</x:f>
        <x:v>29212</x:v>
      </x:c>
    </x:row>
    <x:row r="46" ht="23" customHeight="1">
      <x:c r="A46" s="34" t="str">
        <x:v>0004</x:v>
      </x:c>
      <x:c r="B46" s="14" t="d">
        <x:v>2026-06-01T00:00:00.000Z</x:v>
      </x:c>
      <x:c r="C46" s="27" t="n">
        <x:f>I45</x:f>
        <x:v>1147</x:v>
      </x:c>
      <x:c r="D46" s="27" t="n">
        <x:f>'Purchasing'!D46</x:f>
        <x:v>250</x:v>
      </x:c>
      <x:c r="E46" s="27" t="n">
        <x:f>SUMIFS('Sales'!$F$5:$F$388,'Sales'!$A$5:$A$388,A46,'Sales'!$C$5:$C$388,B46)</x:f>
        <x:v>221</x:v>
      </x:c>
      <x:c r="F46" s="27" t="n">
        <x:f>C46+D46</x:f>
        <x:v>1397</x:v>
      </x:c>
      <x:c r="G46" s="27" t="n">
        <x:f>MIN(E46,F46)</x:f>
        <x:v>221</x:v>
      </x:c>
      <x:c r="H46" s="27" t="n">
        <x:f>MAX(0,E46-F46)</x:f>
        <x:v>0</x:v>
      </x:c>
      <x:c r="I46" s="27" t="n">
        <x:f>F46-G46</x:f>
        <x:v>1176</x:v>
      </x:c>
      <x:c r="J46" s="27" t="n">
        <x:f>'Opening'!C8</x:f>
        <x:v>245</x:v>
      </x:c>
      <x:c r="K46" s="27" t="n">
        <x:f>MAX(0,J46-I46)</x:f>
        <x:v>0</x:v>
      </x:c>
      <x:c r="L46" s="28" t="n">
        <x:f>IF(E46=0,1,G46/E46)</x:f>
        <x:v>1</x:v>
      </x:c>
      <x:c r="M46" s="27" t="n">
        <x:f>G46*'Purchasing'!E46</x:f>
        <x:v>29614</x:v>
      </x:c>
    </x:row>
    <x:row r="47" ht="23" customHeight="1">
      <x:c r="A47" s="34" t="str">
        <x:v>0004</x:v>
      </x:c>
      <x:c r="B47" s="14" t="d">
        <x:v>2026-07-01T00:00:00.000Z</x:v>
      </x:c>
      <x:c r="C47" s="27" t="n">
        <x:f>I46</x:f>
        <x:v>1176</x:v>
      </x:c>
      <x:c r="D47" s="27" t="n">
        <x:f>'Purchasing'!D47</x:f>
        <x:v>444</x:v>
      </x:c>
      <x:c r="E47" s="27" t="n">
        <x:f>SUMIFS('Sales'!$F$5:$F$388,'Sales'!$A$5:$A$388,A47,'Sales'!$C$5:$C$388,B47)</x:f>
        <x:v>722</x:v>
      </x:c>
      <x:c r="F47" s="27" t="n">
        <x:f>C47+D47</x:f>
        <x:v>1620</x:v>
      </x:c>
      <x:c r="G47" s="27" t="n">
        <x:f>MIN(E47,F47)</x:f>
        <x:v>722</x:v>
      </x:c>
      <x:c r="H47" s="27" t="n">
        <x:f>MAX(0,E47-F47)</x:f>
        <x:v>0</x:v>
      </x:c>
      <x:c r="I47" s="27" t="n">
        <x:f>F47-G47</x:f>
        <x:v>898</x:v>
      </x:c>
      <x:c r="J47" s="27" t="n">
        <x:f>'Opening'!C8</x:f>
        <x:v>245</x:v>
      </x:c>
      <x:c r="K47" s="27" t="n">
        <x:f>MAX(0,J47-I47)</x:f>
        <x:v>0</x:v>
      </x:c>
      <x:c r="L47" s="28" t="n">
        <x:f>IF(E47=0,1,G47/E47)</x:f>
        <x:v>1</x:v>
      </x:c>
      <x:c r="M47" s="27" t="n">
        <x:f>G47*'Purchasing'!E47</x:f>
        <x:v>98682.96</x:v>
      </x:c>
    </x:row>
    <x:row r="48" ht="23" customHeight="1">
      <x:c r="A48" s="34" t="str">
        <x:v>0004</x:v>
      </x:c>
      <x:c r="B48" s="14" t="d">
        <x:v>2026-08-01T00:00:00.000Z</x:v>
      </x:c>
      <x:c r="C48" s="27" t="n">
        <x:f>I47</x:f>
        <x:v>898</x:v>
      </x:c>
      <x:c r="D48" s="27" t="n">
        <x:f>'Purchasing'!D48</x:f>
        <x:v>444</x:v>
      </x:c>
      <x:c r="E48" s="27" t="n">
        <x:f>SUMIFS('Sales'!$F$5:$F$388,'Sales'!$A$5:$A$388,A48,'Sales'!$C$5:$C$388,B48)</x:f>
        <x:v>781</x:v>
      </x:c>
      <x:c r="F48" s="27" t="n">
        <x:f>C48+D48</x:f>
        <x:v>1342</x:v>
      </x:c>
      <x:c r="G48" s="27" t="n">
        <x:f>MIN(E48,F48)</x:f>
        <x:v>781</x:v>
      </x:c>
      <x:c r="H48" s="27" t="n">
        <x:f>MAX(0,E48-F48)</x:f>
        <x:v>0</x:v>
      </x:c>
      <x:c r="I48" s="27" t="n">
        <x:f>F48-G48</x:f>
        <x:v>561</x:v>
      </x:c>
      <x:c r="J48" s="27" t="n">
        <x:f>'Opening'!C8</x:f>
        <x:v>245</x:v>
      </x:c>
      <x:c r="K48" s="27" t="n">
        <x:f>MAX(0,J48-I48)</x:f>
        <x:v>0</x:v>
      </x:c>
      <x:c r="L48" s="28" t="n">
        <x:f>IF(E48=0,1,G48/E48)</x:f>
        <x:v>1</x:v>
      </x:c>
      <x:c r="M48" s="27" t="n">
        <x:f>G48*'Purchasing'!E48</x:f>
        <x:v>106747.08</x:v>
      </x:c>
    </x:row>
    <x:row r="49" ht="23" customHeight="1">
      <x:c r="A49" s="34" t="str">
        <x:v>0004</x:v>
      </x:c>
      <x:c r="B49" s="14" t="d">
        <x:v>2026-09-01T00:00:00.000Z</x:v>
      </x:c>
      <x:c r="C49" s="27" t="n">
        <x:f>I48</x:f>
        <x:v>561</x:v>
      </x:c>
      <x:c r="D49" s="27" t="n">
        <x:f>'Purchasing'!D49</x:f>
        <x:v>444</x:v>
      </x:c>
      <x:c r="E49" s="27" t="n">
        <x:f>SUMIFS('Sales'!$F$5:$F$388,'Sales'!$A$5:$A$388,A49,'Sales'!$C$5:$C$388,B49)</x:f>
        <x:v>839</x:v>
      </x:c>
      <x:c r="F49" s="27" t="n">
        <x:f>C49+D49</x:f>
        <x:v>1005</x:v>
      </x:c>
      <x:c r="G49" s="27" t="n">
        <x:f>MIN(E49,F49)</x:f>
        <x:v>839</x:v>
      </x:c>
      <x:c r="H49" s="27" t="n">
        <x:f>MAX(0,E49-F49)</x:f>
        <x:v>0</x:v>
      </x:c>
      <x:c r="I49" s="27" t="n">
        <x:f>F49-G49</x:f>
        <x:v>166</x:v>
      </x:c>
      <x:c r="J49" s="27" t="n">
        <x:f>'Opening'!C8</x:f>
        <x:v>245</x:v>
      </x:c>
      <x:c r="K49" s="27" t="n">
        <x:f>MAX(0,J49-I49)</x:f>
        <x:v>79</x:v>
      </x:c>
      <x:c r="L49" s="28" t="n">
        <x:f>IF(E49=0,1,G49/E49)</x:f>
        <x:v>1</x:v>
      </x:c>
      <x:c r="M49" s="27" t="n">
        <x:f>G49*'Purchasing'!E49</x:f>
        <x:v>114674.52</x:v>
      </x:c>
    </x:row>
    <x:row r="50" ht="23" customHeight="1">
      <x:c r="A50" s="34" t="str">
        <x:v>0004</x:v>
      </x:c>
      <x:c r="B50" s="14" t="d">
        <x:v>2026-10-01T00:00:00.000Z</x:v>
      </x:c>
      <x:c r="C50" s="27" t="n">
        <x:f>I49</x:f>
        <x:v>166</x:v>
      </x:c>
      <x:c r="D50" s="27" t="n">
        <x:f>'Purchasing'!D50</x:f>
        <x:v>444</x:v>
      </x:c>
      <x:c r="E50" s="27" t="n">
        <x:f>SUMIFS('Sales'!$F$5:$F$388,'Sales'!$A$5:$A$388,A50,'Sales'!$C$5:$C$388,B50)</x:f>
        <x:v>898</x:v>
      </x:c>
      <x:c r="F50" s="27" t="n">
        <x:f>C50+D50</x:f>
        <x:v>610</x:v>
      </x:c>
      <x:c r="G50" s="27" t="n">
        <x:f>MIN(E50,F50)</x:f>
        <x:v>610</x:v>
      </x:c>
      <x:c r="H50" s="27" t="n">
        <x:f>MAX(0,E50-F50)</x:f>
        <x:v>288</x:v>
      </x:c>
      <x:c r="I50" s="27" t="n">
        <x:f>F50-G50</x:f>
        <x:v>0</x:v>
      </x:c>
      <x:c r="J50" s="27" t="n">
        <x:f>'Opening'!C8</x:f>
        <x:v>245</x:v>
      </x:c>
      <x:c r="K50" s="27" t="n">
        <x:f>MAX(0,J50-I50)</x:f>
        <x:v>245</x:v>
      </x:c>
      <x:c r="L50" s="28" t="n">
        <x:f>IF(E50=0,1,G50/E50)</x:f>
        <x:v>0.6792873051224945</x:v>
      </x:c>
      <x:c r="M50" s="27" t="n">
        <x:f>G50*'Purchasing'!E50</x:f>
        <x:v>83374.8</x:v>
      </x:c>
    </x:row>
    <x:row r="51" ht="23" customHeight="1">
      <x:c r="A51" s="34" t="str">
        <x:v>0004</x:v>
      </x:c>
      <x:c r="B51" s="14" t="d">
        <x:v>2026-11-01T00:00:00.000Z</x:v>
      </x:c>
      <x:c r="C51" s="27" t="n">
        <x:f>I50</x:f>
        <x:v>0</x:v>
      </x:c>
      <x:c r="D51" s="27" t="n">
        <x:f>'Purchasing'!D51</x:f>
        <x:v>444</x:v>
      </x:c>
      <x:c r="E51" s="27" t="n">
        <x:f>SUMIFS('Sales'!$F$5:$F$388,'Sales'!$A$5:$A$388,A51,'Sales'!$C$5:$C$388,B51)</x:f>
        <x:v>956</x:v>
      </x:c>
      <x:c r="F51" s="27" t="n">
        <x:f>C51+D51</x:f>
        <x:v>444</x:v>
      </x:c>
      <x:c r="G51" s="27" t="n">
        <x:f>MIN(E51,F51)</x:f>
        <x:v>444</x:v>
      </x:c>
      <x:c r="H51" s="27" t="n">
        <x:f>MAX(0,E51-F51)</x:f>
        <x:v>512</x:v>
      </x:c>
      <x:c r="I51" s="27" t="n">
        <x:f>F51-G51</x:f>
        <x:v>0</x:v>
      </x:c>
      <x:c r="J51" s="27" t="n">
        <x:f>'Opening'!C8</x:f>
        <x:v>245</x:v>
      </x:c>
      <x:c r="K51" s="27" t="n">
        <x:f>MAX(0,J51-I51)</x:f>
        <x:v>245</x:v>
      </x:c>
      <x:c r="L51" s="28" t="n">
        <x:f>IF(E51=0,1,G51/E51)</x:f>
        <x:v>0.46443514644351463</x:v>
      </x:c>
      <x:c r="M51" s="27" t="n">
        <x:f>G51*'Purchasing'!E51</x:f>
        <x:v>60685.920000000006</x:v>
      </x:c>
    </x:row>
    <x:row r="52" ht="23" customHeight="1">
      <x:c r="A52" s="34" t="str">
        <x:v>0004</x:v>
      </x:c>
      <x:c r="B52" s="14" t="d">
        <x:v>2026-12-01T00:00:00.000Z</x:v>
      </x:c>
      <x:c r="C52" s="27" t="n">
        <x:f>I51</x:f>
        <x:v>0</x:v>
      </x:c>
      <x:c r="D52" s="27" t="n">
        <x:f>'Purchasing'!D52</x:f>
        <x:v>444</x:v>
      </x:c>
      <x:c r="E52" s="27" t="n">
        <x:f>SUMIFS('Sales'!$F$5:$F$388,'Sales'!$A$5:$A$388,A52,'Sales'!$C$5:$C$388,B52)</x:f>
        <x:v>1015</x:v>
      </x:c>
      <x:c r="F52" s="27" t="n">
        <x:f>C52+D52</x:f>
        <x:v>444</x:v>
      </x:c>
      <x:c r="G52" s="27" t="n">
        <x:f>MIN(E52,F52)</x:f>
        <x:v>444</x:v>
      </x:c>
      <x:c r="H52" s="27" t="n">
        <x:f>MAX(0,E52-F52)</x:f>
        <x:v>571</x:v>
      </x:c>
      <x:c r="I52" s="27" t="n">
        <x:f>F52-G52</x:f>
        <x:v>0</x:v>
      </x:c>
      <x:c r="J52" s="27" t="n">
        <x:f>'Opening'!C8</x:f>
        <x:v>245</x:v>
      </x:c>
      <x:c r="K52" s="27" t="n">
        <x:f>MAX(0,J52-I52)</x:f>
        <x:v>245</x:v>
      </x:c>
      <x:c r="L52" s="28" t="n">
        <x:f>IF(E52=0,1,G52/E52)</x:f>
        <x:v>0.4374384236453202</x:v>
      </x:c>
      <x:c r="M52" s="27" t="n">
        <x:f>G52*'Purchasing'!E52</x:f>
        <x:v>60685.920000000006</x:v>
      </x:c>
    </x:row>
    <x:row r="53" ht="23" customHeight="1">
      <x:c r="A53" s="34" t="str">
        <x:v>0005</x:v>
      </x:c>
      <x:c r="B53" s="14" t="d">
        <x:v>2026-01-01T00:00:00.000Z</x:v>
      </x:c>
      <x:c r="C53" s="27" t="n">
        <x:f>'Opening'!B9</x:f>
        <x:v>1180</x:v>
      </x:c>
      <x:c r="D53" s="27" t="n">
        <x:f>'Purchasing'!D53</x:f>
        <x:v>260</x:v>
      </x:c>
      <x:c r="E53" s="27" t="n">
        <x:f>SUMIFS('Sales'!$F$5:$F$388,'Sales'!$A$5:$A$388,A53,'Sales'!$C$5:$C$388,B53)</x:f>
        <x:v>256</x:v>
      </x:c>
      <x:c r="F53" s="27" t="n">
        <x:f>C53+D53</x:f>
        <x:v>1440</x:v>
      </x:c>
      <x:c r="G53" s="27" t="n">
        <x:f>MIN(E53,F53)</x:f>
        <x:v>256</x:v>
      </x:c>
      <x:c r="H53" s="27" t="n">
        <x:f>MAX(0,E53-F53)</x:f>
        <x:v>0</x:v>
      </x:c>
      <x:c r="I53" s="27" t="n">
        <x:f>F53-G53</x:f>
        <x:v>1184</x:v>
      </x:c>
      <x:c r="J53" s="27" t="n">
        <x:f>'Opening'!C9</x:f>
        <x:v>260</x:v>
      </x:c>
      <x:c r="K53" s="27" t="n">
        <x:f>MAX(0,J53-I53)</x:f>
        <x:v>0</x:v>
      </x:c>
      <x:c r="L53" s="28" t="n">
        <x:f>IF(E53=0,1,G53/E53)</x:f>
        <x:v>1</x:v>
      </x:c>
      <x:c r="M53" s="27" t="n">
        <x:f>G53*'Purchasing'!E53</x:f>
        <x:v>37632</x:v>
      </x:c>
    </x:row>
    <x:row r="54" ht="23" customHeight="1">
      <x:c r="A54" s="34" t="str">
        <x:v>0005</x:v>
      </x:c>
      <x:c r="B54" s="14" t="d">
        <x:v>2026-02-01T00:00:00.000Z</x:v>
      </x:c>
      <x:c r="C54" s="27" t="n">
        <x:f>I53</x:f>
        <x:v>1184</x:v>
      </x:c>
      <x:c r="D54" s="27" t="n">
        <x:f>'Purchasing'!D54</x:f>
        <x:v>260</x:v>
      </x:c>
      <x:c r="E54" s="27" t="n">
        <x:f>SUMIFS('Sales'!$F$5:$F$388,'Sales'!$A$5:$A$388,A54,'Sales'!$C$5:$C$388,B54)</x:f>
        <x:v>242</x:v>
      </x:c>
      <x:c r="F54" s="27" t="n">
        <x:f>C54+D54</x:f>
        <x:v>1444</x:v>
      </x:c>
      <x:c r="G54" s="27" t="n">
        <x:f>MIN(E54,F54)</x:f>
        <x:v>242</x:v>
      </x:c>
      <x:c r="H54" s="27" t="n">
        <x:f>MAX(0,E54-F54)</x:f>
        <x:v>0</x:v>
      </x:c>
      <x:c r="I54" s="27" t="n">
        <x:f>F54-G54</x:f>
        <x:v>1202</x:v>
      </x:c>
      <x:c r="J54" s="27" t="n">
        <x:f>'Opening'!C9</x:f>
        <x:v>260</x:v>
      </x:c>
      <x:c r="K54" s="27" t="n">
        <x:f>MAX(0,J54-I54)</x:f>
        <x:v>0</x:v>
      </x:c>
      <x:c r="L54" s="28" t="n">
        <x:f>IF(E54=0,1,G54/E54)</x:f>
        <x:v>1</x:v>
      </x:c>
      <x:c r="M54" s="27" t="n">
        <x:f>G54*'Purchasing'!E54</x:f>
        <x:v>35574</x:v>
      </x:c>
    </x:row>
    <x:row r="55" ht="23" customHeight="1">
      <x:c r="A55" s="34" t="str">
        <x:v>0005</x:v>
      </x:c>
      <x:c r="B55" s="14" t="d">
        <x:v>2026-03-01T00:00:00.000Z</x:v>
      </x:c>
      <x:c r="C55" s="27" t="n">
        <x:f>I54</x:f>
        <x:v>1202</x:v>
      </x:c>
      <x:c r="D55" s="27" t="n">
        <x:f>'Purchasing'!D55</x:f>
        <x:v>260</x:v>
      </x:c>
      <x:c r="E55" s="27" t="n">
        <x:f>SUMIFS('Sales'!$F$5:$F$388,'Sales'!$A$5:$A$388,A55,'Sales'!$C$5:$C$388,B55)</x:f>
        <x:v>245</x:v>
      </x:c>
      <x:c r="F55" s="27" t="n">
        <x:f>C55+D55</x:f>
        <x:v>1462</x:v>
      </x:c>
      <x:c r="G55" s="27" t="n">
        <x:f>MIN(E55,F55)</x:f>
        <x:v>245</x:v>
      </x:c>
      <x:c r="H55" s="27" t="n">
        <x:f>MAX(0,E55-F55)</x:f>
        <x:v>0</x:v>
      </x:c>
      <x:c r="I55" s="27" t="n">
        <x:f>F55-G55</x:f>
        <x:v>1217</x:v>
      </x:c>
      <x:c r="J55" s="27" t="n">
        <x:f>'Opening'!C9</x:f>
        <x:v>260</x:v>
      </x:c>
      <x:c r="K55" s="27" t="n">
        <x:f>MAX(0,J55-I55)</x:f>
        <x:v>0</x:v>
      </x:c>
      <x:c r="L55" s="28" t="n">
        <x:f>IF(E55=0,1,G55/E55)</x:f>
        <x:v>1</x:v>
      </x:c>
      <x:c r="M55" s="27" t="n">
        <x:f>G55*'Purchasing'!E55</x:f>
        <x:v>36015</x:v>
      </x:c>
    </x:row>
    <x:row r="56" ht="23" customHeight="1">
      <x:c r="A56" s="34" t="str">
        <x:v>0005</x:v>
      </x:c>
      <x:c r="B56" s="14" t="d">
        <x:v>2026-04-01T00:00:00.000Z</x:v>
      </x:c>
      <x:c r="C56" s="27" t="n">
        <x:f>I55</x:f>
        <x:v>1217</x:v>
      </x:c>
      <x:c r="D56" s="27" t="n">
        <x:f>'Purchasing'!D56</x:f>
        <x:v>260</x:v>
      </x:c>
      <x:c r="E56" s="27" t="n">
        <x:f>SUMIFS('Sales'!$F$5:$F$388,'Sales'!$A$5:$A$388,A56,'Sales'!$C$5:$C$388,B56)</x:f>
        <x:v>231</x:v>
      </x:c>
      <x:c r="F56" s="27" t="n">
        <x:f>C56+D56</x:f>
        <x:v>1477</x:v>
      </x:c>
      <x:c r="G56" s="27" t="n">
        <x:f>MIN(E56,F56)</x:f>
        <x:v>231</x:v>
      </x:c>
      <x:c r="H56" s="27" t="n">
        <x:f>MAX(0,E56-F56)</x:f>
        <x:v>0</x:v>
      </x:c>
      <x:c r="I56" s="27" t="n">
        <x:f>F56-G56</x:f>
        <x:v>1246</x:v>
      </x:c>
      <x:c r="J56" s="27" t="n">
        <x:f>'Opening'!C9</x:f>
        <x:v>260</x:v>
      </x:c>
      <x:c r="K56" s="27" t="n">
        <x:f>MAX(0,J56-I56)</x:f>
        <x:v>0</x:v>
      </x:c>
      <x:c r="L56" s="28" t="n">
        <x:f>IF(E56=0,1,G56/E56)</x:f>
        <x:v>1</x:v>
      </x:c>
      <x:c r="M56" s="27" t="n">
        <x:f>G56*'Purchasing'!E56</x:f>
        <x:v>33957</x:v>
      </x:c>
    </x:row>
    <x:row r="57" ht="23" customHeight="1">
      <x:c r="A57" s="34" t="str">
        <x:v>0005</x:v>
      </x:c>
      <x:c r="B57" s="14" t="d">
        <x:v>2026-05-01T00:00:00.000Z</x:v>
      </x:c>
      <x:c r="C57" s="27" t="n">
        <x:f>I56</x:f>
        <x:v>1246</x:v>
      </x:c>
      <x:c r="D57" s="27" t="n">
        <x:f>'Purchasing'!D57</x:f>
        <x:v>260</x:v>
      </x:c>
      <x:c r="E57" s="27" t="n">
        <x:f>SUMIFS('Sales'!$F$5:$F$388,'Sales'!$A$5:$A$388,A57,'Sales'!$C$5:$C$388,B57)</x:f>
        <x:v>211</x:v>
      </x:c>
      <x:c r="F57" s="27" t="n">
        <x:f>C57+D57</x:f>
        <x:v>1506</x:v>
      </x:c>
      <x:c r="G57" s="27" t="n">
        <x:f>MIN(E57,F57)</x:f>
        <x:v>211</x:v>
      </x:c>
      <x:c r="H57" s="27" t="n">
        <x:f>MAX(0,E57-F57)</x:f>
        <x:v>0</x:v>
      </x:c>
      <x:c r="I57" s="27" t="n">
        <x:f>F57-G57</x:f>
        <x:v>1295</x:v>
      </x:c>
      <x:c r="J57" s="27" t="n">
        <x:f>'Opening'!C9</x:f>
        <x:v>260</x:v>
      </x:c>
      <x:c r="K57" s="27" t="n">
        <x:f>MAX(0,J57-I57)</x:f>
        <x:v>0</x:v>
      </x:c>
      <x:c r="L57" s="28" t="n">
        <x:f>IF(E57=0,1,G57/E57)</x:f>
        <x:v>1</x:v>
      </x:c>
      <x:c r="M57" s="27" t="n">
        <x:f>G57*'Purchasing'!E57</x:f>
        <x:v>31017</x:v>
      </x:c>
    </x:row>
    <x:row r="58" ht="23" customHeight="1">
      <x:c r="A58" s="34" t="str">
        <x:v>0005</x:v>
      </x:c>
      <x:c r="B58" s="14" t="d">
        <x:v>2026-06-01T00:00:00.000Z</x:v>
      </x:c>
      <x:c r="C58" s="27" t="n">
        <x:f>I57</x:f>
        <x:v>1295</x:v>
      </x:c>
      <x:c r="D58" s="27" t="n">
        <x:f>'Purchasing'!D58</x:f>
        <x:v>260</x:v>
      </x:c>
      <x:c r="E58" s="27" t="n">
        <x:f>SUMIFS('Sales'!$F$5:$F$388,'Sales'!$A$5:$A$388,A58,'Sales'!$C$5:$C$388,B58)</x:f>
        <x:v>227</x:v>
      </x:c>
      <x:c r="F58" s="27" t="n">
        <x:f>C58+D58</x:f>
        <x:v>1555</x:v>
      </x:c>
      <x:c r="G58" s="27" t="n">
        <x:f>MIN(E58,F58)</x:f>
        <x:v>227</x:v>
      </x:c>
      <x:c r="H58" s="27" t="n">
        <x:f>MAX(0,E58-F58)</x:f>
        <x:v>0</x:v>
      </x:c>
      <x:c r="I58" s="27" t="n">
        <x:f>F58-G58</x:f>
        <x:v>1328</x:v>
      </x:c>
      <x:c r="J58" s="27" t="n">
        <x:f>'Opening'!C9</x:f>
        <x:v>260</x:v>
      </x:c>
      <x:c r="K58" s="27" t="n">
        <x:f>MAX(0,J58-I58)</x:f>
        <x:v>0</x:v>
      </x:c>
      <x:c r="L58" s="28" t="n">
        <x:f>IF(E58=0,1,G58/E58)</x:f>
        <x:v>1</x:v>
      </x:c>
      <x:c r="M58" s="27" t="n">
        <x:f>G58*'Purchasing'!E58</x:f>
        <x:v>33369</x:v>
      </x:c>
    </x:row>
    <x:row r="59" ht="23" customHeight="1">
      <x:c r="A59" s="34" t="str">
        <x:v>0005</x:v>
      </x:c>
      <x:c r="B59" s="14" t="d">
        <x:v>2026-07-01T00:00:00.000Z</x:v>
      </x:c>
      <x:c r="C59" s="27" t="n">
        <x:f>I58</x:f>
        <x:v>1328</x:v>
      </x:c>
      <x:c r="D59" s="27" t="n">
        <x:f>'Purchasing'!D59</x:f>
        <x:v>462</x:v>
      </x:c>
      <x:c r="E59" s="27" t="n">
        <x:f>SUMIFS('Sales'!$F$5:$F$388,'Sales'!$A$5:$A$388,A59,'Sales'!$C$5:$C$388,B59)</x:f>
        <x:v>755</x:v>
      </x:c>
      <x:c r="F59" s="27" t="n">
        <x:f>C59+D59</x:f>
        <x:v>1790</x:v>
      </x:c>
      <x:c r="G59" s="27" t="n">
        <x:f>MIN(E59,F59)</x:f>
        <x:v>755</x:v>
      </x:c>
      <x:c r="H59" s="27" t="n">
        <x:f>MAX(0,E59-F59)</x:f>
        <x:v>0</x:v>
      </x:c>
      <x:c r="I59" s="27" t="n">
        <x:f>F59-G59</x:f>
        <x:v>1035</x:v>
      </x:c>
      <x:c r="J59" s="27" t="n">
        <x:f>'Opening'!C9</x:f>
        <x:v>260</x:v>
      </x:c>
      <x:c r="K59" s="27" t="n">
        <x:f>MAX(0,J59-I59)</x:f>
        <x:v>0</x:v>
      </x:c>
      <x:c r="L59" s="28" t="n">
        <x:f>IF(E59=0,1,G59/E59)</x:f>
        <x:v>1</x:v>
      </x:c>
      <x:c r="M59" s="27" t="n">
        <x:f>G59*'Purchasing'!E59</x:f>
        <x:v>113204.7</x:v>
      </x:c>
    </x:row>
    <x:row r="60" ht="23" customHeight="1">
      <x:c r="A60" s="34" t="str">
        <x:v>0005</x:v>
      </x:c>
      <x:c r="B60" s="14" t="d">
        <x:v>2026-08-01T00:00:00.000Z</x:v>
      </x:c>
      <x:c r="C60" s="27" t="n">
        <x:f>I59</x:f>
        <x:v>1035</x:v>
      </x:c>
      <x:c r="D60" s="27" t="n">
        <x:f>'Purchasing'!D60</x:f>
        <x:v>462</x:v>
      </x:c>
      <x:c r="E60" s="27" t="n">
        <x:f>SUMIFS('Sales'!$F$5:$F$388,'Sales'!$A$5:$A$388,A60,'Sales'!$C$5:$C$388,B60)</x:f>
        <x:v>814</x:v>
      </x:c>
      <x:c r="F60" s="27" t="n">
        <x:f>C60+D60</x:f>
        <x:v>1497</x:v>
      </x:c>
      <x:c r="G60" s="27" t="n">
        <x:f>MIN(E60,F60)</x:f>
        <x:v>814</x:v>
      </x:c>
      <x:c r="H60" s="27" t="n">
        <x:f>MAX(0,E60-F60)</x:f>
        <x:v>0</x:v>
      </x:c>
      <x:c r="I60" s="27" t="n">
        <x:f>F60-G60</x:f>
        <x:v>683</x:v>
      </x:c>
      <x:c r="J60" s="27" t="n">
        <x:f>'Opening'!C9</x:f>
        <x:v>260</x:v>
      </x:c>
      <x:c r="K60" s="27" t="n">
        <x:f>MAX(0,J60-I60)</x:f>
        <x:v>0</x:v>
      </x:c>
      <x:c r="L60" s="28" t="n">
        <x:f>IF(E60=0,1,G60/E60)</x:f>
        <x:v>1</x:v>
      </x:c>
      <x:c r="M60" s="27" t="n">
        <x:f>G60*'Purchasing'!E60</x:f>
        <x:v>122051.16</x:v>
      </x:c>
    </x:row>
    <x:row r="61" ht="23" customHeight="1">
      <x:c r="A61" s="34" t="str">
        <x:v>0005</x:v>
      </x:c>
      <x:c r="B61" s="14" t="d">
        <x:v>2026-09-01T00:00:00.000Z</x:v>
      </x:c>
      <x:c r="C61" s="27" t="n">
        <x:f>I60</x:f>
        <x:v>683</x:v>
      </x:c>
      <x:c r="D61" s="27" t="n">
        <x:f>'Purchasing'!D61</x:f>
        <x:v>462</x:v>
      </x:c>
      <x:c r="E61" s="27" t="n">
        <x:f>SUMIFS('Sales'!$F$5:$F$388,'Sales'!$A$5:$A$388,A61,'Sales'!$C$5:$C$388,B61)</x:f>
        <x:v>873</x:v>
      </x:c>
      <x:c r="F61" s="27" t="n">
        <x:f>C61+D61</x:f>
        <x:v>1145</x:v>
      </x:c>
      <x:c r="G61" s="27" t="n">
        <x:f>MIN(E61,F61)</x:f>
        <x:v>873</x:v>
      </x:c>
      <x:c r="H61" s="27" t="n">
        <x:f>MAX(0,E61-F61)</x:f>
        <x:v>0</x:v>
      </x:c>
      <x:c r="I61" s="27" t="n">
        <x:f>F61-G61</x:f>
        <x:v>272</x:v>
      </x:c>
      <x:c r="J61" s="27" t="n">
        <x:f>'Opening'!C9</x:f>
        <x:v>260</x:v>
      </x:c>
      <x:c r="K61" s="27" t="n">
        <x:f>MAX(0,J61-I61)</x:f>
        <x:v>0</x:v>
      </x:c>
      <x:c r="L61" s="28" t="n">
        <x:f>IF(E61=0,1,G61/E61)</x:f>
        <x:v>1</x:v>
      </x:c>
      <x:c r="M61" s="27" t="n">
        <x:f>G61*'Purchasing'!E61</x:f>
        <x:v>130897.62</x:v>
      </x:c>
    </x:row>
    <x:row r="62" ht="23" customHeight="1">
      <x:c r="A62" s="34" t="str">
        <x:v>0005</x:v>
      </x:c>
      <x:c r="B62" s="14" t="d">
        <x:v>2026-10-01T00:00:00.000Z</x:v>
      </x:c>
      <x:c r="C62" s="27" t="n">
        <x:f>I61</x:f>
        <x:v>272</x:v>
      </x:c>
      <x:c r="D62" s="27" t="n">
        <x:f>'Purchasing'!D62</x:f>
        <x:v>462</x:v>
      </x:c>
      <x:c r="E62" s="27" t="n">
        <x:f>SUMIFS('Sales'!$F$5:$F$388,'Sales'!$A$5:$A$388,A62,'Sales'!$C$5:$C$388,B62)</x:f>
        <x:v>931</x:v>
      </x:c>
      <x:c r="F62" s="27" t="n">
        <x:f>C62+D62</x:f>
        <x:v>734</x:v>
      </x:c>
      <x:c r="G62" s="27" t="n">
        <x:f>MIN(E62,F62)</x:f>
        <x:v>734</x:v>
      </x:c>
      <x:c r="H62" s="27" t="n">
        <x:f>MAX(0,E62-F62)</x:f>
        <x:v>197</x:v>
      </x:c>
      <x:c r="I62" s="27" t="n">
        <x:f>F62-G62</x:f>
        <x:v>0</x:v>
      </x:c>
      <x:c r="J62" s="27" t="n">
        <x:f>'Opening'!C9</x:f>
        <x:v>260</x:v>
      </x:c>
      <x:c r="K62" s="27" t="n">
        <x:f>MAX(0,J62-I62)</x:f>
        <x:v>260</x:v>
      </x:c>
      <x:c r="L62" s="28" t="n">
        <x:f>IF(E62=0,1,G62/E62)</x:f>
        <x:v>0.7883995703544576</x:v>
      </x:c>
      <x:c r="M62" s="27" t="n">
        <x:f>G62*'Purchasing'!E62</x:f>
        <x:v>110055.95999999999</x:v>
      </x:c>
    </x:row>
    <x:row r="63" ht="23" customHeight="1">
      <x:c r="A63" s="34" t="str">
        <x:v>0005</x:v>
      </x:c>
      <x:c r="B63" s="14" t="d">
        <x:v>2026-11-01T00:00:00.000Z</x:v>
      </x:c>
      <x:c r="C63" s="27" t="n">
        <x:f>I62</x:f>
        <x:v>0</x:v>
      </x:c>
      <x:c r="D63" s="27" t="n">
        <x:f>'Purchasing'!D63</x:f>
        <x:v>462</x:v>
      </x:c>
      <x:c r="E63" s="27" t="n">
        <x:f>SUMIFS('Sales'!$F$5:$F$388,'Sales'!$A$5:$A$388,A63,'Sales'!$C$5:$C$388,B63)</x:f>
        <x:v>989</x:v>
      </x:c>
      <x:c r="F63" s="27" t="n">
        <x:f>C63+D63</x:f>
        <x:v>462</x:v>
      </x:c>
      <x:c r="G63" s="27" t="n">
        <x:f>MIN(E63,F63)</x:f>
        <x:v>462</x:v>
      </x:c>
      <x:c r="H63" s="27" t="n">
        <x:f>MAX(0,E63-F63)</x:f>
        <x:v>527</x:v>
      </x:c>
      <x:c r="I63" s="27" t="n">
        <x:f>F63-G63</x:f>
        <x:v>0</x:v>
      </x:c>
      <x:c r="J63" s="27" t="n">
        <x:f>'Opening'!C9</x:f>
        <x:v>260</x:v>
      </x:c>
      <x:c r="K63" s="27" t="n">
        <x:f>MAX(0,J63-I63)</x:f>
        <x:v>260</x:v>
      </x:c>
      <x:c r="L63" s="28" t="n">
        <x:f>IF(E63=0,1,G63/E63)</x:f>
        <x:v>0.4671385237613751</x:v>
      </x:c>
      <x:c r="M63" s="27" t="n">
        <x:f>G63*'Purchasing'!E63</x:f>
        <x:v>69272.28</x:v>
      </x:c>
    </x:row>
    <x:row r="64" ht="23" customHeight="1">
      <x:c r="A64" s="34" t="str">
        <x:v>0005</x:v>
      </x:c>
      <x:c r="B64" s="14" t="d">
        <x:v>2026-12-01T00:00:00.000Z</x:v>
      </x:c>
      <x:c r="C64" s="27" t="n">
        <x:f>I63</x:f>
        <x:v>0</x:v>
      </x:c>
      <x:c r="D64" s="27" t="n">
        <x:f>'Purchasing'!D64</x:f>
        <x:v>462</x:v>
      </x:c>
      <x:c r="E64" s="27" t="n">
        <x:f>SUMIFS('Sales'!$F$5:$F$388,'Sales'!$A$5:$A$388,A64,'Sales'!$C$5:$C$388,B64)</x:f>
        <x:v>1047</x:v>
      </x:c>
      <x:c r="F64" s="27" t="n">
        <x:f>C64+D64</x:f>
        <x:v>462</x:v>
      </x:c>
      <x:c r="G64" s="27" t="n">
        <x:f>MIN(E64,F64)</x:f>
        <x:v>462</x:v>
      </x:c>
      <x:c r="H64" s="27" t="n">
        <x:f>MAX(0,E64-F64)</x:f>
        <x:v>585</x:v>
      </x:c>
      <x:c r="I64" s="27" t="n">
        <x:f>F64-G64</x:f>
        <x:v>0</x:v>
      </x:c>
      <x:c r="J64" s="27" t="n">
        <x:f>'Opening'!C9</x:f>
        <x:v>260</x:v>
      </x:c>
      <x:c r="K64" s="27" t="n">
        <x:f>MAX(0,J64-I64)</x:f>
        <x:v>260</x:v>
      </x:c>
      <x:c r="L64" s="28" t="n">
        <x:f>IF(E64=0,1,G64/E64)</x:f>
        <x:v>0.44126074498567336</x:v>
      </x:c>
      <x:c r="M64" s="27" t="n">
        <x:f>G64*'Purchasing'!E64</x:f>
        <x:v>69272.28</x:v>
      </x:c>
    </x:row>
    <x:row r="65" ht="23" customHeight="1">
      <x:c r="A65" s="34" t="str">
        <x:v>0006</x:v>
      </x:c>
      <x:c r="B65" s="14" t="d">
        <x:v>2026-01-01T00:00:00.000Z</x:v>
      </x:c>
      <x:c r="C65" s="27" t="n">
        <x:f>'Opening'!B10</x:f>
        <x:v>1225</x:v>
      </x:c>
      <x:c r="D65" s="27" t="n">
        <x:f>'Purchasing'!D65</x:f>
        <x:v>270</x:v>
      </x:c>
      <x:c r="E65" s="27" t="n">
        <x:f>SUMIFS('Sales'!$F$5:$F$388,'Sales'!$A$5:$A$388,A65,'Sales'!$C$5:$C$388,B65)</x:f>
        <x:v>255</x:v>
      </x:c>
      <x:c r="F65" s="27" t="n">
        <x:f>C65+D65</x:f>
        <x:v>1495</x:v>
      </x:c>
      <x:c r="G65" s="27" t="n">
        <x:f>MIN(E65,F65)</x:f>
        <x:v>255</x:v>
      </x:c>
      <x:c r="H65" s="27" t="n">
        <x:f>MAX(0,E65-F65)</x:f>
        <x:v>0</x:v>
      </x:c>
      <x:c r="I65" s="27" t="n">
        <x:f>F65-G65</x:f>
        <x:v>1240</x:v>
      </x:c>
      <x:c r="J65" s="27" t="n">
        <x:f>'Opening'!C10</x:f>
        <x:v>275</x:v>
      </x:c>
      <x:c r="K65" s="27" t="n">
        <x:f>MAX(0,J65-I65)</x:f>
        <x:v>0</x:v>
      </x:c>
      <x:c r="L65" s="28" t="n">
        <x:f>IF(E65=0,1,G65/E65)</x:f>
        <x:v>1</x:v>
      </x:c>
      <x:c r="M65" s="27" t="n">
        <x:f>G65*'Purchasing'!E65</x:f>
        <x:v>40800</x:v>
      </x:c>
    </x:row>
    <x:row r="66" ht="23" customHeight="1">
      <x:c r="A66" s="34" t="str">
        <x:v>0006</x:v>
      </x:c>
      <x:c r="B66" s="14" t="d">
        <x:v>2026-02-01T00:00:00.000Z</x:v>
      </x:c>
      <x:c r="C66" s="27" t="n">
        <x:f>I65</x:f>
        <x:v>1240</x:v>
      </x:c>
      <x:c r="D66" s="27" t="n">
        <x:f>'Purchasing'!D66</x:f>
        <x:v>270</x:v>
      </x:c>
      <x:c r="E66" s="27" t="n">
        <x:f>SUMIFS('Sales'!$F$5:$F$388,'Sales'!$A$5:$A$388,A66,'Sales'!$C$5:$C$388,B66)</x:f>
        <x:v>235</x:v>
      </x:c>
      <x:c r="F66" s="27" t="n">
        <x:f>C66+D66</x:f>
        <x:v>1510</x:v>
      </x:c>
      <x:c r="G66" s="27" t="n">
        <x:f>MIN(E66,F66)</x:f>
        <x:v>235</x:v>
      </x:c>
      <x:c r="H66" s="27" t="n">
        <x:f>MAX(0,E66-F66)</x:f>
        <x:v>0</x:v>
      </x:c>
      <x:c r="I66" s="27" t="n">
        <x:f>F66-G66</x:f>
        <x:v>1275</x:v>
      </x:c>
      <x:c r="J66" s="27" t="n">
        <x:f>'Opening'!C10</x:f>
        <x:v>275</x:v>
      </x:c>
      <x:c r="K66" s="27" t="n">
        <x:f>MAX(0,J66-I66)</x:f>
        <x:v>0</x:v>
      </x:c>
      <x:c r="L66" s="28" t="n">
        <x:f>IF(E66=0,1,G66/E66)</x:f>
        <x:v>1</x:v>
      </x:c>
      <x:c r="M66" s="27" t="n">
        <x:f>G66*'Purchasing'!E66</x:f>
        <x:v>37600</x:v>
      </x:c>
    </x:row>
    <x:row r="67" ht="23" customHeight="1">
      <x:c r="A67" s="34" t="str">
        <x:v>0006</x:v>
      </x:c>
      <x:c r="B67" s="14" t="d">
        <x:v>2026-03-01T00:00:00.000Z</x:v>
      </x:c>
      <x:c r="C67" s="27" t="n">
        <x:f>I66</x:f>
        <x:v>1275</x:v>
      </x:c>
      <x:c r="D67" s="27" t="n">
        <x:f>'Purchasing'!D67</x:f>
        <x:v>270</x:v>
      </x:c>
      <x:c r="E67" s="27" t="n">
        <x:f>SUMIFS('Sales'!$F$5:$F$388,'Sales'!$A$5:$A$388,A67,'Sales'!$C$5:$C$388,B67)</x:f>
        <x:v>222</x:v>
      </x:c>
      <x:c r="F67" s="27" t="n">
        <x:f>C67+D67</x:f>
        <x:v>1545</x:v>
      </x:c>
      <x:c r="G67" s="27" t="n">
        <x:f>MIN(E67,F67)</x:f>
        <x:v>222</x:v>
      </x:c>
      <x:c r="H67" s="27" t="n">
        <x:f>MAX(0,E67-F67)</x:f>
        <x:v>0</x:v>
      </x:c>
      <x:c r="I67" s="27" t="n">
        <x:f>F67-G67</x:f>
        <x:v>1323</x:v>
      </x:c>
      <x:c r="J67" s="27" t="n">
        <x:f>'Opening'!C10</x:f>
        <x:v>275</x:v>
      </x:c>
      <x:c r="K67" s="27" t="n">
        <x:f>MAX(0,J67-I67)</x:f>
        <x:v>0</x:v>
      </x:c>
      <x:c r="L67" s="28" t="n">
        <x:f>IF(E67=0,1,G67/E67)</x:f>
        <x:v>1</x:v>
      </x:c>
      <x:c r="M67" s="27" t="n">
        <x:f>G67*'Purchasing'!E67</x:f>
        <x:v>35520</x:v>
      </x:c>
    </x:row>
    <x:row r="68" ht="23" customHeight="1">
      <x:c r="A68" s="34" t="str">
        <x:v>0006</x:v>
      </x:c>
      <x:c r="B68" s="14" t="d">
        <x:v>2026-04-01T00:00:00.000Z</x:v>
      </x:c>
      <x:c r="C68" s="27" t="n">
        <x:f>I67</x:f>
        <x:v>1323</x:v>
      </x:c>
      <x:c r="D68" s="27" t="n">
        <x:f>'Purchasing'!D68</x:f>
        <x:v>270</x:v>
      </x:c>
      <x:c r="E68" s="27" t="n">
        <x:f>SUMIFS('Sales'!$F$5:$F$388,'Sales'!$A$5:$A$388,A68,'Sales'!$C$5:$C$388,B68)</x:f>
        <x:v>237</x:v>
      </x:c>
      <x:c r="F68" s="27" t="n">
        <x:f>C68+D68</x:f>
        <x:v>1593</x:v>
      </x:c>
      <x:c r="G68" s="27" t="n">
        <x:f>MIN(E68,F68)</x:f>
        <x:v>237</x:v>
      </x:c>
      <x:c r="H68" s="27" t="n">
        <x:f>MAX(0,E68-F68)</x:f>
        <x:v>0</x:v>
      </x:c>
      <x:c r="I68" s="27" t="n">
        <x:f>F68-G68</x:f>
        <x:v>1356</x:v>
      </x:c>
      <x:c r="J68" s="27" t="n">
        <x:f>'Opening'!C10</x:f>
        <x:v>275</x:v>
      </x:c>
      <x:c r="K68" s="27" t="n">
        <x:f>MAX(0,J68-I68)</x:f>
        <x:v>0</x:v>
      </x:c>
      <x:c r="L68" s="28" t="n">
        <x:f>IF(E68=0,1,G68/E68)</x:f>
        <x:v>1</x:v>
      </x:c>
      <x:c r="M68" s="27" t="n">
        <x:f>G68*'Purchasing'!E68</x:f>
        <x:v>37920</x:v>
      </x:c>
    </x:row>
    <x:row r="69" ht="23" customHeight="1">
      <x:c r="A69" s="34" t="str">
        <x:v>0006</x:v>
      </x:c>
      <x:c r="B69" s="14" t="d">
        <x:v>2026-05-01T00:00:00.000Z</x:v>
      </x:c>
      <x:c r="C69" s="27" t="n">
        <x:f>I68</x:f>
        <x:v>1356</x:v>
      </x:c>
      <x:c r="D69" s="27" t="n">
        <x:f>'Purchasing'!D69</x:f>
        <x:v>270</x:v>
      </x:c>
      <x:c r="E69" s="27" t="n">
        <x:f>SUMIFS('Sales'!$F$5:$F$388,'Sales'!$A$5:$A$388,A69,'Sales'!$C$5:$C$388,B69)</x:f>
        <x:v>250</x:v>
      </x:c>
      <x:c r="F69" s="27" t="n">
        <x:f>C69+D69</x:f>
        <x:v>1626</x:v>
      </x:c>
      <x:c r="G69" s="27" t="n">
        <x:f>MIN(E69,F69)</x:f>
        <x:v>250</x:v>
      </x:c>
      <x:c r="H69" s="27" t="n">
        <x:f>MAX(0,E69-F69)</x:f>
        <x:v>0</x:v>
      </x:c>
      <x:c r="I69" s="27" t="n">
        <x:f>F69-G69</x:f>
        <x:v>1376</x:v>
      </x:c>
      <x:c r="J69" s="27" t="n">
        <x:f>'Opening'!C10</x:f>
        <x:v>275</x:v>
      </x:c>
      <x:c r="K69" s="27" t="n">
        <x:f>MAX(0,J69-I69)</x:f>
        <x:v>0</x:v>
      </x:c>
      <x:c r="L69" s="28" t="n">
        <x:f>IF(E69=0,1,G69/E69)</x:f>
        <x:v>1</x:v>
      </x:c>
      <x:c r="M69" s="27" t="n">
        <x:f>G69*'Purchasing'!E69</x:f>
        <x:v>40000</x:v>
      </x:c>
    </x:row>
    <x:row r="70" ht="23" customHeight="1">
      <x:c r="A70" s="34" t="str">
        <x:v>0006</x:v>
      </x:c>
      <x:c r="B70" s="14" t="d">
        <x:v>2026-06-01T00:00:00.000Z</x:v>
      </x:c>
      <x:c r="C70" s="27" t="n">
        <x:f>I69</x:f>
        <x:v>1376</x:v>
      </x:c>
      <x:c r="D70" s="27" t="n">
        <x:f>'Purchasing'!D70</x:f>
        <x:v>270</x:v>
      </x:c>
      <x:c r="E70" s="27" t="n">
        <x:f>SUMIFS('Sales'!$F$5:$F$388,'Sales'!$A$5:$A$388,A70,'Sales'!$C$5:$C$388,B70)</x:f>
        <x:v>247</x:v>
      </x:c>
      <x:c r="F70" s="27" t="n">
        <x:f>C70+D70</x:f>
        <x:v>1646</x:v>
      </x:c>
      <x:c r="G70" s="27" t="n">
        <x:f>MIN(E70,F70)</x:f>
        <x:v>247</x:v>
      </x:c>
      <x:c r="H70" s="27" t="n">
        <x:f>MAX(0,E70-F70)</x:f>
        <x:v>0</x:v>
      </x:c>
      <x:c r="I70" s="27" t="n">
        <x:f>F70-G70</x:f>
        <x:v>1399</x:v>
      </x:c>
      <x:c r="J70" s="27" t="n">
        <x:f>'Opening'!C10</x:f>
        <x:v>275</x:v>
      </x:c>
      <x:c r="K70" s="27" t="n">
        <x:f>MAX(0,J70-I70)</x:f>
        <x:v>0</x:v>
      </x:c>
      <x:c r="L70" s="28" t="n">
        <x:f>IF(E70=0,1,G70/E70)</x:f>
        <x:v>1</x:v>
      </x:c>
      <x:c r="M70" s="27" t="n">
        <x:f>G70*'Purchasing'!E70</x:f>
        <x:v>39520</x:v>
      </x:c>
    </x:row>
    <x:row r="71" ht="23" customHeight="1">
      <x:c r="A71" s="34" t="str">
        <x:v>0006</x:v>
      </x:c>
      <x:c r="B71" s="14" t="d">
        <x:v>2026-07-01T00:00:00.000Z</x:v>
      </x:c>
      <x:c r="C71" s="27" t="n">
        <x:f>I70</x:f>
        <x:v>1399</x:v>
      </x:c>
      <x:c r="D71" s="27" t="n">
        <x:f>'Purchasing'!D71</x:f>
        <x:v>480</x:v>
      </x:c>
      <x:c r="E71" s="27" t="n">
        <x:f>SUMIFS('Sales'!$F$5:$F$388,'Sales'!$A$5:$A$388,A71,'Sales'!$C$5:$C$388,B71)</x:f>
        <x:v>789</x:v>
      </x:c>
      <x:c r="F71" s="27" t="n">
        <x:f>C71+D71</x:f>
        <x:v>1879</x:v>
      </x:c>
      <x:c r="G71" s="27" t="n">
        <x:f>MIN(E71,F71)</x:f>
        <x:v>789</x:v>
      </x:c>
      <x:c r="H71" s="27" t="n">
        <x:f>MAX(0,E71-F71)</x:f>
        <x:v>0</x:v>
      </x:c>
      <x:c r="I71" s="27" t="n">
        <x:f>F71-G71</x:f>
        <x:v>1090</x:v>
      </x:c>
      <x:c r="J71" s="27" t="n">
        <x:f>'Opening'!C10</x:f>
        <x:v>275</x:v>
      </x:c>
      <x:c r="K71" s="27" t="n">
        <x:f>MAX(0,J71-I71)</x:f>
        <x:v>0</x:v>
      </x:c>
      <x:c r="L71" s="28" t="n">
        <x:f>IF(E71=0,1,G71/E71)</x:f>
        <x:v>1</x:v>
      </x:c>
      <x:c r="M71" s="27" t="n">
        <x:f>G71*'Purchasing'!E71</x:f>
        <x:v>128764.79999999999</x:v>
      </x:c>
    </x:row>
    <x:row r="72" ht="23" customHeight="1">
      <x:c r="A72" s="34" t="str">
        <x:v>0006</x:v>
      </x:c>
      <x:c r="B72" s="14" t="d">
        <x:v>2026-08-01T00:00:00.000Z</x:v>
      </x:c>
      <x:c r="C72" s="27" t="n">
        <x:f>I71</x:f>
        <x:v>1090</x:v>
      </x:c>
      <x:c r="D72" s="27" t="n">
        <x:f>'Purchasing'!D72</x:f>
        <x:v>480</x:v>
      </x:c>
      <x:c r="E72" s="27" t="n">
        <x:f>SUMIFS('Sales'!$F$5:$F$388,'Sales'!$A$5:$A$388,A72,'Sales'!$C$5:$C$388,B72)</x:f>
        <x:v>847</x:v>
      </x:c>
      <x:c r="F72" s="27" t="n">
        <x:f>C72+D72</x:f>
        <x:v>1570</x:v>
      </x:c>
      <x:c r="G72" s="27" t="n">
        <x:f>MIN(E72,F72)</x:f>
        <x:v>847</x:v>
      </x:c>
      <x:c r="H72" s="27" t="n">
        <x:f>MAX(0,E72-F72)</x:f>
        <x:v>0</x:v>
      </x:c>
      <x:c r="I72" s="27" t="n">
        <x:f>F72-G72</x:f>
        <x:v>723</x:v>
      </x:c>
      <x:c r="J72" s="27" t="n">
        <x:f>'Opening'!C10</x:f>
        <x:v>275</x:v>
      </x:c>
      <x:c r="K72" s="27" t="n">
        <x:f>MAX(0,J72-I72)</x:f>
        <x:v>0</x:v>
      </x:c>
      <x:c r="L72" s="28" t="n">
        <x:f>IF(E72=0,1,G72/E72)</x:f>
        <x:v>1</x:v>
      </x:c>
      <x:c r="M72" s="27" t="n">
        <x:f>G72*'Purchasing'!E72</x:f>
        <x:v>138230.4</x:v>
      </x:c>
    </x:row>
    <x:row r="73" ht="23" customHeight="1">
      <x:c r="A73" s="34" t="str">
        <x:v>0006</x:v>
      </x:c>
      <x:c r="B73" s="14" t="d">
        <x:v>2026-09-01T00:00:00.000Z</x:v>
      </x:c>
      <x:c r="C73" s="27" t="n">
        <x:f>I72</x:f>
        <x:v>723</x:v>
      </x:c>
      <x:c r="D73" s="27" t="n">
        <x:f>'Purchasing'!D73</x:f>
        <x:v>480</x:v>
      </x:c>
      <x:c r="E73" s="27" t="n">
        <x:f>SUMIFS('Sales'!$F$5:$F$388,'Sales'!$A$5:$A$388,A73,'Sales'!$C$5:$C$388,B73)</x:f>
        <x:v>906</x:v>
      </x:c>
      <x:c r="F73" s="27" t="n">
        <x:f>C73+D73</x:f>
        <x:v>1203</x:v>
      </x:c>
      <x:c r="G73" s="27" t="n">
        <x:f>MIN(E73,F73)</x:f>
        <x:v>906</x:v>
      </x:c>
      <x:c r="H73" s="27" t="n">
        <x:f>MAX(0,E73-F73)</x:f>
        <x:v>0</x:v>
      </x:c>
      <x:c r="I73" s="27" t="n">
        <x:f>F73-G73</x:f>
        <x:v>297</x:v>
      </x:c>
      <x:c r="J73" s="27" t="n">
        <x:f>'Opening'!C10</x:f>
        <x:v>275</x:v>
      </x:c>
      <x:c r="K73" s="27" t="n">
        <x:f>MAX(0,J73-I73)</x:f>
        <x:v>0</x:v>
      </x:c>
      <x:c r="L73" s="28" t="n">
        <x:f>IF(E73=0,1,G73/E73)</x:f>
        <x:v>1</x:v>
      </x:c>
      <x:c r="M73" s="27" t="n">
        <x:f>G73*'Purchasing'!E73</x:f>
        <x:v>147859.19999999998</x:v>
      </x:c>
    </x:row>
    <x:row r="74" ht="23" customHeight="1">
      <x:c r="A74" s="34" t="str">
        <x:v>0006</x:v>
      </x:c>
      <x:c r="B74" s="14" t="d">
        <x:v>2026-10-01T00:00:00.000Z</x:v>
      </x:c>
      <x:c r="C74" s="27" t="n">
        <x:f>I73</x:f>
        <x:v>297</x:v>
      </x:c>
      <x:c r="D74" s="27" t="n">
        <x:f>'Purchasing'!D74</x:f>
        <x:v>480</x:v>
      </x:c>
      <x:c r="E74" s="27" t="n">
        <x:f>SUMIFS('Sales'!$F$5:$F$388,'Sales'!$A$5:$A$388,A74,'Sales'!$C$5:$C$388,B74)</x:f>
        <x:v>963</x:v>
      </x:c>
      <x:c r="F74" s="27" t="n">
        <x:f>C74+D74</x:f>
        <x:v>777</x:v>
      </x:c>
      <x:c r="G74" s="27" t="n">
        <x:f>MIN(E74,F74)</x:f>
        <x:v>777</x:v>
      </x:c>
      <x:c r="H74" s="27" t="n">
        <x:f>MAX(0,E74-F74)</x:f>
        <x:v>186</x:v>
      </x:c>
      <x:c r="I74" s="27" t="n">
        <x:f>F74-G74</x:f>
        <x:v>0</x:v>
      </x:c>
      <x:c r="J74" s="27" t="n">
        <x:f>'Opening'!C10</x:f>
        <x:v>275</x:v>
      </x:c>
      <x:c r="K74" s="27" t="n">
        <x:f>MAX(0,J74-I74)</x:f>
        <x:v>275</x:v>
      </x:c>
      <x:c r="L74" s="28" t="n">
        <x:f>IF(E74=0,1,G74/E74)</x:f>
        <x:v>0.8068535825545171</x:v>
      </x:c>
      <x:c r="M74" s="27" t="n">
        <x:f>G74*'Purchasing'!E74</x:f>
        <x:v>126806.4</x:v>
      </x:c>
    </x:row>
    <x:row r="75" ht="23" customHeight="1">
      <x:c r="A75" s="34" t="str">
        <x:v>0006</x:v>
      </x:c>
      <x:c r="B75" s="14" t="d">
        <x:v>2026-11-01T00:00:00.000Z</x:v>
      </x:c>
      <x:c r="C75" s="27" t="n">
        <x:f>I74</x:f>
        <x:v>0</x:v>
      </x:c>
      <x:c r="D75" s="27" t="n">
        <x:f>'Purchasing'!D75</x:f>
        <x:v>480</x:v>
      </x:c>
      <x:c r="E75" s="27" t="n">
        <x:f>SUMIFS('Sales'!$F$5:$F$388,'Sales'!$A$5:$A$388,A75,'Sales'!$C$5:$C$388,B75)</x:f>
        <x:v>1022</x:v>
      </x:c>
      <x:c r="F75" s="27" t="n">
        <x:f>C75+D75</x:f>
        <x:v>480</x:v>
      </x:c>
      <x:c r="G75" s="27" t="n">
        <x:f>MIN(E75,F75)</x:f>
        <x:v>480</x:v>
      </x:c>
      <x:c r="H75" s="27" t="n">
        <x:f>MAX(0,E75-F75)</x:f>
        <x:v>542</x:v>
      </x:c>
      <x:c r="I75" s="27" t="n">
        <x:f>F75-G75</x:f>
        <x:v>0</x:v>
      </x:c>
      <x:c r="J75" s="27" t="n">
        <x:f>'Opening'!C10</x:f>
        <x:v>275</x:v>
      </x:c>
      <x:c r="K75" s="27" t="n">
        <x:f>MAX(0,J75-I75)</x:f>
        <x:v>275</x:v>
      </x:c>
      <x:c r="L75" s="28" t="n">
        <x:f>IF(E75=0,1,G75/E75)</x:f>
        <x:v>0.46966731898238745</x:v>
      </x:c>
      <x:c r="M75" s="27" t="n">
        <x:f>G75*'Purchasing'!E75</x:f>
        <x:v>78336</x:v>
      </x:c>
    </x:row>
    <x:row r="76" ht="23" customHeight="1">
      <x:c r="A76" s="34" t="str">
        <x:v>0006</x:v>
      </x:c>
      <x:c r="B76" s="14" t="d">
        <x:v>2026-12-01T00:00:00.000Z</x:v>
      </x:c>
      <x:c r="C76" s="27" t="n">
        <x:f>I75</x:f>
        <x:v>0</x:v>
      </x:c>
      <x:c r="D76" s="27" t="n">
        <x:f>'Purchasing'!D76</x:f>
        <x:v>480</x:v>
      </x:c>
      <x:c r="E76" s="27" t="n">
        <x:f>SUMIFS('Sales'!$F$5:$F$388,'Sales'!$A$5:$A$388,A76,'Sales'!$C$5:$C$388,B76)</x:f>
        <x:v>1081</x:v>
      </x:c>
      <x:c r="F76" s="27" t="n">
        <x:f>C76+D76</x:f>
        <x:v>480</x:v>
      </x:c>
      <x:c r="G76" s="27" t="n">
        <x:f>MIN(E76,F76)</x:f>
        <x:v>480</x:v>
      </x:c>
      <x:c r="H76" s="27" t="n">
        <x:f>MAX(0,E76-F76)</x:f>
        <x:v>601</x:v>
      </x:c>
      <x:c r="I76" s="27" t="n">
        <x:f>F76-G76</x:f>
        <x:v>0</x:v>
      </x:c>
      <x:c r="J76" s="27" t="n">
        <x:f>'Opening'!C10</x:f>
        <x:v>275</x:v>
      </x:c>
      <x:c r="K76" s="27" t="n">
        <x:f>MAX(0,J76-I76)</x:f>
        <x:v>275</x:v>
      </x:c>
      <x:c r="L76" s="28" t="n">
        <x:f>IF(E76=0,1,G76/E76)</x:f>
        <x:v>0.4440333024976873</x:v>
      </x:c>
      <x:c r="M76" s="27" t="n">
        <x:f>G76*'Purchasing'!E76</x:f>
        <x:v>78336</x:v>
      </x:c>
    </x:row>
    <x:row r="77" ht="23" customHeight="1">
      <x:c r="A77" s="34" t="str">
        <x:v>0007</x:v>
      </x:c>
      <x:c r="B77" s="14" t="d">
        <x:v>2026-01-01T00:00:00.000Z</x:v>
      </x:c>
      <x:c r="C77" s="27" t="n">
        <x:f>'Opening'!B11</x:f>
        <x:v>1270</x:v>
      </x:c>
      <x:c r="D77" s="27" t="n">
        <x:f>'Purchasing'!D77</x:f>
        <x:v>280</x:v>
      </x:c>
      <x:c r="E77" s="27" t="n">
        <x:f>SUMIFS('Sales'!$F$5:$F$388,'Sales'!$A$5:$A$388,A77,'Sales'!$C$5:$C$388,B77)</x:f>
        <x:v>260</x:v>
      </x:c>
      <x:c r="F77" s="27" t="n">
        <x:f>C77+D77</x:f>
        <x:v>1550</x:v>
      </x:c>
      <x:c r="G77" s="27" t="n">
        <x:f>MIN(E77,F77)</x:f>
        <x:v>260</x:v>
      </x:c>
      <x:c r="H77" s="27" t="n">
        <x:f>MAX(0,E77-F77)</x:f>
        <x:v>0</x:v>
      </x:c>
      <x:c r="I77" s="27" t="n">
        <x:f>F77-G77</x:f>
        <x:v>1290</x:v>
      </x:c>
      <x:c r="J77" s="27" t="n">
        <x:f>'Opening'!C11</x:f>
        <x:v>290</x:v>
      </x:c>
      <x:c r="K77" s="27" t="n">
        <x:f>MAX(0,J77-I77)</x:f>
        <x:v>0</x:v>
      </x:c>
      <x:c r="L77" s="28" t="n">
        <x:f>IF(E77=0,1,G77/E77)</x:f>
        <x:v>1</x:v>
      </x:c>
      <x:c r="M77" s="27" t="n">
        <x:f>G77*'Purchasing'!E77</x:f>
        <x:v>44980</x:v>
      </x:c>
    </x:row>
    <x:row r="78" ht="23" customHeight="1">
      <x:c r="A78" s="34" t="str">
        <x:v>0007</x:v>
      </x:c>
      <x:c r="B78" s="14" t="d">
        <x:v>2026-02-01T00:00:00.000Z</x:v>
      </x:c>
      <x:c r="C78" s="27" t="n">
        <x:f>I77</x:f>
        <x:v>1290</x:v>
      </x:c>
      <x:c r="D78" s="27" t="n">
        <x:f>'Purchasing'!D78</x:f>
        <x:v>280</x:v>
      </x:c>
      <x:c r="E78" s="27" t="n">
        <x:f>SUMIFS('Sales'!$F$5:$F$388,'Sales'!$A$5:$A$388,A78,'Sales'!$C$5:$C$388,B78)</x:f>
        <x:v>236</x:v>
      </x:c>
      <x:c r="F78" s="27" t="n">
        <x:f>C78+D78</x:f>
        <x:v>1570</x:v>
      </x:c>
      <x:c r="G78" s="27" t="n">
        <x:f>MIN(E78,F78)</x:f>
        <x:v>236</x:v>
      </x:c>
      <x:c r="H78" s="27" t="n">
        <x:f>MAX(0,E78-F78)</x:f>
        <x:v>0</x:v>
      </x:c>
      <x:c r="I78" s="27" t="n">
        <x:f>F78-G78</x:f>
        <x:v>1334</x:v>
      </x:c>
      <x:c r="J78" s="27" t="n">
        <x:f>'Opening'!C11</x:f>
        <x:v>290</x:v>
      </x:c>
      <x:c r="K78" s="27" t="n">
        <x:f>MAX(0,J78-I78)</x:f>
        <x:v>0</x:v>
      </x:c>
      <x:c r="L78" s="28" t="n">
        <x:f>IF(E78=0,1,G78/E78)</x:f>
        <x:v>1</x:v>
      </x:c>
      <x:c r="M78" s="27" t="n">
        <x:f>G78*'Purchasing'!E78</x:f>
        <x:v>40828</x:v>
      </x:c>
    </x:row>
    <x:row r="79" ht="23" customHeight="1">
      <x:c r="A79" s="34" t="str">
        <x:v>0007</x:v>
      </x:c>
      <x:c r="B79" s="14" t="d">
        <x:v>2026-03-01T00:00:00.000Z</x:v>
      </x:c>
      <x:c r="C79" s="27" t="n">
        <x:f>I78</x:f>
        <x:v>1334</x:v>
      </x:c>
      <x:c r="D79" s="27" t="n">
        <x:f>'Purchasing'!D79</x:f>
        <x:v>280</x:v>
      </x:c>
      <x:c r="E79" s="27" t="n">
        <x:f>SUMIFS('Sales'!$F$5:$F$388,'Sales'!$A$5:$A$388,A79,'Sales'!$C$5:$C$388,B79)</x:f>
        <x:v>273</x:v>
      </x:c>
      <x:c r="F79" s="27" t="n">
        <x:f>C79+D79</x:f>
        <x:v>1614</x:v>
      </x:c>
      <x:c r="G79" s="27" t="n">
        <x:f>MIN(E79,F79)</x:f>
        <x:v>273</x:v>
      </x:c>
      <x:c r="H79" s="27" t="n">
        <x:f>MAX(0,E79-F79)</x:f>
        <x:v>0</x:v>
      </x:c>
      <x:c r="I79" s="27" t="n">
        <x:f>F79-G79</x:f>
        <x:v>1341</x:v>
      </x:c>
      <x:c r="J79" s="27" t="n">
        <x:f>'Opening'!C11</x:f>
        <x:v>290</x:v>
      </x:c>
      <x:c r="K79" s="27" t="n">
        <x:f>MAX(0,J79-I79)</x:f>
        <x:v>0</x:v>
      </x:c>
      <x:c r="L79" s="28" t="n">
        <x:f>IF(E79=0,1,G79/E79)</x:f>
        <x:v>1</x:v>
      </x:c>
      <x:c r="M79" s="27" t="n">
        <x:f>G79*'Purchasing'!E79</x:f>
        <x:v>47229</x:v>
      </x:c>
    </x:row>
    <x:row r="80" ht="23" customHeight="1">
      <x:c r="A80" s="34" t="str">
        <x:v>0007</x:v>
      </x:c>
      <x:c r="B80" s="14" t="d">
        <x:v>2026-04-01T00:00:00.000Z</x:v>
      </x:c>
      <x:c r="C80" s="27" t="n">
        <x:f>I79</x:f>
        <x:v>1341</x:v>
      </x:c>
      <x:c r="D80" s="27" t="n">
        <x:f>'Purchasing'!D80</x:f>
        <x:v>280</x:v>
      </x:c>
      <x:c r="E80" s="27" t="n">
        <x:f>SUMIFS('Sales'!$F$5:$F$388,'Sales'!$A$5:$A$388,A80,'Sales'!$C$5:$C$388,B80)</x:f>
        <x:v>249</x:v>
      </x:c>
      <x:c r="F80" s="27" t="n">
        <x:f>C80+D80</x:f>
        <x:v>1621</x:v>
      </x:c>
      <x:c r="G80" s="27" t="n">
        <x:f>MIN(E80,F80)</x:f>
        <x:v>249</x:v>
      </x:c>
      <x:c r="H80" s="27" t="n">
        <x:f>MAX(0,E80-F80)</x:f>
        <x:v>0</x:v>
      </x:c>
      <x:c r="I80" s="27" t="n">
        <x:f>F80-G80</x:f>
        <x:v>1372</x:v>
      </x:c>
      <x:c r="J80" s="27" t="n">
        <x:f>'Opening'!C11</x:f>
        <x:v>290</x:v>
      </x:c>
      <x:c r="K80" s="27" t="n">
        <x:f>MAX(0,J80-I80)</x:f>
        <x:v>0</x:v>
      </x:c>
      <x:c r="L80" s="28" t="n">
        <x:f>IF(E80=0,1,G80/E80)</x:f>
        <x:v>1</x:v>
      </x:c>
      <x:c r="M80" s="27" t="n">
        <x:f>G80*'Purchasing'!E80</x:f>
        <x:v>43077</x:v>
      </x:c>
    </x:row>
    <x:row r="81" ht="23" customHeight="1">
      <x:c r="A81" s="34" t="str">
        <x:v>0007</x:v>
      </x:c>
      <x:c r="B81" s="14" t="d">
        <x:v>2026-05-01T00:00:00.000Z</x:v>
      </x:c>
      <x:c r="C81" s="27" t="n">
        <x:f>I80</x:f>
        <x:v>1372</x:v>
      </x:c>
      <x:c r="D81" s="27" t="n">
        <x:f>'Purchasing'!D81</x:f>
        <x:v>280</x:v>
      </x:c>
      <x:c r="E81" s="27" t="n">
        <x:f>SUMIFS('Sales'!$F$5:$F$388,'Sales'!$A$5:$A$388,A81,'Sales'!$C$5:$C$388,B81)</x:f>
        <x:v>215</x:v>
      </x:c>
      <x:c r="F81" s="27" t="n">
        <x:f>C81+D81</x:f>
        <x:v>1652</x:v>
      </x:c>
      <x:c r="G81" s="27" t="n">
        <x:f>MIN(E81,F81)</x:f>
        <x:v>215</x:v>
      </x:c>
      <x:c r="H81" s="27" t="n">
        <x:f>MAX(0,E81-F81)</x:f>
        <x:v>0</x:v>
      </x:c>
      <x:c r="I81" s="27" t="n">
        <x:f>F81-G81</x:f>
        <x:v>1437</x:v>
      </x:c>
      <x:c r="J81" s="27" t="n">
        <x:f>'Opening'!C11</x:f>
        <x:v>290</x:v>
      </x:c>
      <x:c r="K81" s="27" t="n">
        <x:f>MAX(0,J81-I81)</x:f>
        <x:v>0</x:v>
      </x:c>
      <x:c r="L81" s="28" t="n">
        <x:f>IF(E81=0,1,G81/E81)</x:f>
        <x:v>1</x:v>
      </x:c>
      <x:c r="M81" s="27" t="n">
        <x:f>G81*'Purchasing'!E81</x:f>
        <x:v>37195</x:v>
      </x:c>
    </x:row>
    <x:row r="82" ht="23" customHeight="1">
      <x:c r="A82" s="34" t="str">
        <x:v>0007</x:v>
      </x:c>
      <x:c r="B82" s="14" t="d">
        <x:v>2026-06-01T00:00:00.000Z</x:v>
      </x:c>
      <x:c r="C82" s="27" t="n">
        <x:f>I81</x:f>
        <x:v>1437</x:v>
      </x:c>
      <x:c r="D82" s="27" t="n">
        <x:f>'Purchasing'!D82</x:f>
        <x:v>280</x:v>
      </x:c>
      <x:c r="E82" s="27" t="n">
        <x:f>SUMIFS('Sales'!$F$5:$F$388,'Sales'!$A$5:$A$388,A82,'Sales'!$C$5:$C$388,B82)</x:f>
        <x:v>183</x:v>
      </x:c>
      <x:c r="F82" s="27" t="n">
        <x:f>C82+D82</x:f>
        <x:v>1717</x:v>
      </x:c>
      <x:c r="G82" s="27" t="n">
        <x:f>MIN(E82,F82)</x:f>
        <x:v>183</x:v>
      </x:c>
      <x:c r="H82" s="27" t="n">
        <x:f>MAX(0,E82-F82)</x:f>
        <x:v>0</x:v>
      </x:c>
      <x:c r="I82" s="27" t="n">
        <x:f>F82-G82</x:f>
        <x:v>1534</x:v>
      </x:c>
      <x:c r="J82" s="27" t="n">
        <x:f>'Opening'!C11</x:f>
        <x:v>290</x:v>
      </x:c>
      <x:c r="K82" s="27" t="n">
        <x:f>MAX(0,J82-I82)</x:f>
        <x:v>0</x:v>
      </x:c>
      <x:c r="L82" s="28" t="n">
        <x:f>IF(E82=0,1,G82/E82)</x:f>
        <x:v>1</x:v>
      </x:c>
      <x:c r="M82" s="27" t="n">
        <x:f>G82*'Purchasing'!E82</x:f>
        <x:v>31659</x:v>
      </x:c>
    </x:row>
    <x:row r="83" ht="23" customHeight="1">
      <x:c r="A83" s="34" t="str">
        <x:v>0007</x:v>
      </x:c>
      <x:c r="B83" s="14" t="d">
        <x:v>2026-07-01T00:00:00.000Z</x:v>
      </x:c>
      <x:c r="C83" s="27" t="n">
        <x:f>I82</x:f>
        <x:v>1534</x:v>
      </x:c>
      <x:c r="D83" s="27" t="n">
        <x:f>'Purchasing'!D83</x:f>
        <x:v>498</x:v>
      </x:c>
      <x:c r="E83" s="27" t="n">
        <x:f>SUMIFS('Sales'!$F$5:$F$388,'Sales'!$A$5:$A$388,A83,'Sales'!$C$5:$C$388,B83)</x:f>
        <x:v>822</x:v>
      </x:c>
      <x:c r="F83" s="27" t="n">
        <x:f>C83+D83</x:f>
        <x:v>2032</x:v>
      </x:c>
      <x:c r="G83" s="27" t="n">
        <x:f>MIN(E83,F83)</x:f>
        <x:v>822</x:v>
      </x:c>
      <x:c r="H83" s="27" t="n">
        <x:f>MAX(0,E83-F83)</x:f>
        <x:v>0</x:v>
      </x:c>
      <x:c r="I83" s="27" t="n">
        <x:f>F83-G83</x:f>
        <x:v>1210</x:v>
      </x:c>
      <x:c r="J83" s="27" t="n">
        <x:f>'Opening'!C11</x:f>
        <x:v>290</x:v>
      </x:c>
      <x:c r="K83" s="27" t="n">
        <x:f>MAX(0,J83-I83)</x:f>
        <x:v>0</x:v>
      </x:c>
      <x:c r="L83" s="28" t="n">
        <x:f>IF(E83=0,1,G83/E83)</x:f>
        <x:v>1</x:v>
      </x:c>
      <x:c r="M83" s="27" t="n">
        <x:f>G83*'Purchasing'!E83</x:f>
        <x:v>145050.12</x:v>
      </x:c>
    </x:row>
    <x:row r="84" ht="23" customHeight="1">
      <x:c r="A84" s="34" t="str">
        <x:v>0007</x:v>
      </x:c>
      <x:c r="B84" s="14" t="d">
        <x:v>2026-08-01T00:00:00.000Z</x:v>
      </x:c>
      <x:c r="C84" s="27" t="n">
        <x:f>I83</x:f>
        <x:v>1210</x:v>
      </x:c>
      <x:c r="D84" s="27" t="n">
        <x:f>'Purchasing'!D84</x:f>
        <x:v>498</x:v>
      </x:c>
      <x:c r="E84" s="27" t="n">
        <x:f>SUMIFS('Sales'!$F$5:$F$388,'Sales'!$A$5:$A$388,A84,'Sales'!$C$5:$C$388,B84)</x:f>
        <x:v>881</x:v>
      </x:c>
      <x:c r="F84" s="27" t="n">
        <x:f>C84+D84</x:f>
        <x:v>1708</x:v>
      </x:c>
      <x:c r="G84" s="27" t="n">
        <x:f>MIN(E84,F84)</x:f>
        <x:v>881</x:v>
      </x:c>
      <x:c r="H84" s="27" t="n">
        <x:f>MAX(0,E84-F84)</x:f>
        <x:v>0</x:v>
      </x:c>
      <x:c r="I84" s="27" t="n">
        <x:f>F84-G84</x:f>
        <x:v>827</x:v>
      </x:c>
      <x:c r="J84" s="27" t="n">
        <x:f>'Opening'!C11</x:f>
        <x:v>290</x:v>
      </x:c>
      <x:c r="K84" s="27" t="n">
        <x:f>MAX(0,J84-I84)</x:f>
        <x:v>0</x:v>
      </x:c>
      <x:c r="L84" s="28" t="n">
        <x:f>IF(E84=0,1,G84/E84)</x:f>
        <x:v>1</x:v>
      </x:c>
      <x:c r="M84" s="27" t="n">
        <x:f>G84*'Purchasing'!E84</x:f>
        <x:v>155461.26</x:v>
      </x:c>
    </x:row>
    <x:row r="85" ht="23" customHeight="1">
      <x:c r="A85" s="34" t="str">
        <x:v>0007</x:v>
      </x:c>
      <x:c r="B85" s="14" t="d">
        <x:v>2026-09-01T00:00:00.000Z</x:v>
      </x:c>
      <x:c r="C85" s="27" t="n">
        <x:f>I84</x:f>
        <x:v>827</x:v>
      </x:c>
      <x:c r="D85" s="27" t="n">
        <x:f>'Purchasing'!D85</x:f>
        <x:v>0</x:v>
      </x:c>
      <x:c r="E85" s="27" t="n">
        <x:f>SUMIFS('Sales'!$F$5:$F$388,'Sales'!$A$5:$A$388,A85,'Sales'!$C$5:$C$388,B85)</x:f>
        <x:v>938</x:v>
      </x:c>
      <x:c r="F85" s="27" t="n">
        <x:f>C85+D85</x:f>
        <x:v>827</x:v>
      </x:c>
      <x:c r="G85" s="27" t="n">
        <x:f>MIN(E85,F85)</x:f>
        <x:v>827</x:v>
      </x:c>
      <x:c r="H85" s="27" t="n">
        <x:f>MAX(0,E85-F85)</x:f>
        <x:v>111</x:v>
      </x:c>
      <x:c r="I85" s="27" t="n">
        <x:f>F85-G85</x:f>
        <x:v>0</x:v>
      </x:c>
      <x:c r="J85" s="27" t="n">
        <x:f>'Opening'!C11</x:f>
        <x:v>290</x:v>
      </x:c>
      <x:c r="K85" s="27" t="n">
        <x:f>MAX(0,J85-I85)</x:f>
        <x:v>290</x:v>
      </x:c>
      <x:c r="L85" s="28" t="n">
        <x:f>IF(E85=0,1,G85/E85)</x:f>
        <x:v>0.8816631130063965</x:v>
      </x:c>
      <x:c r="M85" s="27" t="n">
        <x:f>G85*'Purchasing'!E85</x:f>
        <x:v>145932.42</x:v>
      </x:c>
    </x:row>
    <x:row r="86" ht="23" customHeight="1">
      <x:c r="A86" s="34" t="str">
        <x:v>0007</x:v>
      </x:c>
      <x:c r="B86" s="14" t="d">
        <x:v>2026-10-01T00:00:00.000Z</x:v>
      </x:c>
      <x:c r="C86" s="27" t="n">
        <x:f>I85</x:f>
        <x:v>0</x:v>
      </x:c>
      <x:c r="D86" s="27" t="n">
        <x:f>'Purchasing'!D86</x:f>
        <x:v>498</x:v>
      </x:c>
      <x:c r="E86" s="27" t="n">
        <x:f>SUMIFS('Sales'!$F$5:$F$388,'Sales'!$A$5:$A$388,A86,'Sales'!$C$5:$C$388,B86)</x:f>
        <x:v>997</x:v>
      </x:c>
      <x:c r="F86" s="27" t="n">
        <x:f>C86+D86</x:f>
        <x:v>498</x:v>
      </x:c>
      <x:c r="G86" s="27" t="n">
        <x:f>MIN(E86,F86)</x:f>
        <x:v>498</x:v>
      </x:c>
      <x:c r="H86" s="27" t="n">
        <x:f>MAX(0,E86-F86)</x:f>
        <x:v>499</x:v>
      </x:c>
      <x:c r="I86" s="27" t="n">
        <x:f>F86-G86</x:f>
        <x:v>0</x:v>
      </x:c>
      <x:c r="J86" s="27" t="n">
        <x:f>'Opening'!C11</x:f>
        <x:v>290</x:v>
      </x:c>
      <x:c r="K86" s="27" t="n">
        <x:f>MAX(0,J86-I86)</x:f>
        <x:v>290</x:v>
      </x:c>
      <x:c r="L86" s="28" t="n">
        <x:f>IF(E86=0,1,G86/E86)</x:f>
        <x:v>0.49949849548645936</x:v>
      </x:c>
      <x:c r="M86" s="27" t="n">
        <x:f>G86*'Purchasing'!E86</x:f>
        <x:v>87877.08</x:v>
      </x:c>
    </x:row>
    <x:row r="87" ht="23" customHeight="1">
      <x:c r="A87" s="34" t="str">
        <x:v>0007</x:v>
      </x:c>
      <x:c r="B87" s="14" t="d">
        <x:v>2026-11-01T00:00:00.000Z</x:v>
      </x:c>
      <x:c r="C87" s="27" t="n">
        <x:f>I86</x:f>
        <x:v>0</x:v>
      </x:c>
      <x:c r="D87" s="27" t="n">
        <x:f>'Purchasing'!D87</x:f>
        <x:v>498</x:v>
      </x:c>
      <x:c r="E87" s="27" t="n">
        <x:f>SUMIFS('Sales'!$F$5:$F$388,'Sales'!$A$5:$A$388,A87,'Sales'!$C$5:$C$388,B87)</x:f>
        <x:v>1054</x:v>
      </x:c>
      <x:c r="F87" s="27" t="n">
        <x:f>C87+D87</x:f>
        <x:v>498</x:v>
      </x:c>
      <x:c r="G87" s="27" t="n">
        <x:f>MIN(E87,F87)</x:f>
        <x:v>498</x:v>
      </x:c>
      <x:c r="H87" s="27" t="n">
        <x:f>MAX(0,E87-F87)</x:f>
        <x:v>556</x:v>
      </x:c>
      <x:c r="I87" s="27" t="n">
        <x:f>F87-G87</x:f>
        <x:v>0</x:v>
      </x:c>
      <x:c r="J87" s="27" t="n">
        <x:f>'Opening'!C11</x:f>
        <x:v>290</x:v>
      </x:c>
      <x:c r="K87" s="27" t="n">
        <x:f>MAX(0,J87-I87)</x:f>
        <x:v>290</x:v>
      </x:c>
      <x:c r="L87" s="28" t="n">
        <x:f>IF(E87=0,1,G87/E87)</x:f>
        <x:v>0.47248576850094876</x:v>
      </x:c>
      <x:c r="M87" s="27" t="n">
        <x:f>G87*'Purchasing'!E87</x:f>
        <x:v>87877.08</x:v>
      </x:c>
    </x:row>
    <x:row r="88" ht="23" customHeight="1">
      <x:c r="A88" s="34" t="str">
        <x:v>0007</x:v>
      </x:c>
      <x:c r="B88" s="14" t="d">
        <x:v>2026-12-01T00:00:00.000Z</x:v>
      </x:c>
      <x:c r="C88" s="27" t="n">
        <x:f>I87</x:f>
        <x:v>0</x:v>
      </x:c>
      <x:c r="D88" s="27" t="n">
        <x:f>'Purchasing'!D88</x:f>
        <x:v>498</x:v>
      </x:c>
      <x:c r="E88" s="27" t="n">
        <x:f>SUMIFS('Sales'!$F$5:$F$388,'Sales'!$A$5:$A$388,A88,'Sales'!$C$5:$C$388,B88)</x:f>
        <x:v>1113</x:v>
      </x:c>
      <x:c r="F88" s="27" t="n">
        <x:f>C88+D88</x:f>
        <x:v>498</x:v>
      </x:c>
      <x:c r="G88" s="27" t="n">
        <x:f>MIN(E88,F88)</x:f>
        <x:v>498</x:v>
      </x:c>
      <x:c r="H88" s="27" t="n">
        <x:f>MAX(0,E88-F88)</x:f>
        <x:v>615</x:v>
      </x:c>
      <x:c r="I88" s="27" t="n">
        <x:f>F88-G88</x:f>
        <x:v>0</x:v>
      </x:c>
      <x:c r="J88" s="27" t="n">
        <x:f>'Opening'!C11</x:f>
        <x:v>290</x:v>
      </x:c>
      <x:c r="K88" s="27" t="n">
        <x:f>MAX(0,J88-I88)</x:f>
        <x:v>290</x:v>
      </x:c>
      <x:c r="L88" s="28" t="n">
        <x:f>IF(E88=0,1,G88/E88)</x:f>
        <x:v>0.4474393530997305</x:v>
      </x:c>
      <x:c r="M88" s="27" t="n">
        <x:f>G88*'Purchasing'!E88</x:f>
        <x:v>87877.08</x:v>
      </x:c>
    </x:row>
    <x:row r="89" ht="23" customHeight="1">
      <x:c r="A89" s="34" t="str">
        <x:v>0008</x:v>
      </x:c>
      <x:c r="B89" s="14" t="d">
        <x:v>2026-01-01T00:00:00.000Z</x:v>
      </x:c>
      <x:c r="C89" s="27" t="n">
        <x:f>'Opening'!B12</x:f>
        <x:v>1315</x:v>
      </x:c>
      <x:c r="D89" s="27" t="n">
        <x:f>'Purchasing'!D89</x:f>
        <x:v>290</x:v>
      </x:c>
      <x:c r="E89" s="27" t="n">
        <x:f>SUMIFS('Sales'!$F$5:$F$388,'Sales'!$A$5:$A$388,A89,'Sales'!$C$5:$C$388,B89)</x:f>
        <x:v>249</x:v>
      </x:c>
      <x:c r="F89" s="27" t="n">
        <x:f>C89+D89</x:f>
        <x:v>1605</x:v>
      </x:c>
      <x:c r="G89" s="27" t="n">
        <x:f>MIN(E89,F89)</x:f>
        <x:v>249</x:v>
      </x:c>
      <x:c r="H89" s="27" t="n">
        <x:f>MAX(0,E89-F89)</x:f>
        <x:v>0</x:v>
      </x:c>
      <x:c r="I89" s="27" t="n">
        <x:f>F89-G89</x:f>
        <x:v>1356</x:v>
      </x:c>
      <x:c r="J89" s="27" t="n">
        <x:f>'Opening'!C12</x:f>
        <x:v>305</x:v>
      </x:c>
      <x:c r="K89" s="27" t="n">
        <x:f>MAX(0,J89-I89)</x:f>
        <x:v>0</x:v>
      </x:c>
      <x:c r="L89" s="28" t="n">
        <x:f>IF(E89=0,1,G89/E89)</x:f>
        <x:v>1</x:v>
      </x:c>
      <x:c r="M89" s="27" t="n">
        <x:f>G89*'Purchasing'!E89</x:f>
        <x:v>46314</x:v>
      </x:c>
    </x:row>
    <x:row r="90" ht="23" customHeight="1">
      <x:c r="A90" s="34" t="str">
        <x:v>0008</x:v>
      </x:c>
      <x:c r="B90" s="14" t="d">
        <x:v>2026-02-01T00:00:00.000Z</x:v>
      </x:c>
      <x:c r="C90" s="27" t="n">
        <x:f>I89</x:f>
        <x:v>1356</x:v>
      </x:c>
      <x:c r="D90" s="27" t="n">
        <x:f>'Purchasing'!D90</x:f>
        <x:v>290</x:v>
      </x:c>
      <x:c r="E90" s="27" t="n">
        <x:f>SUMIFS('Sales'!$F$5:$F$388,'Sales'!$A$5:$A$388,A90,'Sales'!$C$5:$C$388,B90)</x:f>
        <x:v>225</x:v>
      </x:c>
      <x:c r="F90" s="27" t="n">
        <x:f>C90+D90</x:f>
        <x:v>1646</x:v>
      </x:c>
      <x:c r="G90" s="27" t="n">
        <x:f>MIN(E90,F90)</x:f>
        <x:v>225</x:v>
      </x:c>
      <x:c r="H90" s="27" t="n">
        <x:f>MAX(0,E90-F90)</x:f>
        <x:v>0</x:v>
      </x:c>
      <x:c r="I90" s="27" t="n">
        <x:f>F90-G90</x:f>
        <x:v>1421</x:v>
      </x:c>
      <x:c r="J90" s="27" t="n">
        <x:f>'Opening'!C12</x:f>
        <x:v>305</x:v>
      </x:c>
      <x:c r="K90" s="27" t="n">
        <x:f>MAX(0,J90-I90)</x:f>
        <x:v>0</x:v>
      </x:c>
      <x:c r="L90" s="28" t="n">
        <x:f>IF(E90=0,1,G90/E90)</x:f>
        <x:v>1</x:v>
      </x:c>
      <x:c r="M90" s="27" t="n">
        <x:f>G90*'Purchasing'!E90</x:f>
        <x:v>41850</x:v>
      </x:c>
    </x:row>
    <x:row r="91" ht="23" customHeight="1">
      <x:c r="A91" s="34" t="str">
        <x:v>0008</x:v>
      </x:c>
      <x:c r="B91" s="14" t="d">
        <x:v>2026-03-01T00:00:00.000Z</x:v>
      </x:c>
      <x:c r="C91" s="27" t="n">
        <x:f>I90</x:f>
        <x:v>1421</x:v>
      </x:c>
      <x:c r="D91" s="27" t="n">
        <x:f>'Purchasing'!D91</x:f>
        <x:v>290</x:v>
      </x:c>
      <x:c r="E91" s="27" t="n">
        <x:f>SUMIFS('Sales'!$F$5:$F$388,'Sales'!$A$5:$A$388,A91,'Sales'!$C$5:$C$388,B91)</x:f>
        <x:v>224</x:v>
      </x:c>
      <x:c r="F91" s="27" t="n">
        <x:f>C91+D91</x:f>
        <x:v>1711</x:v>
      </x:c>
      <x:c r="G91" s="27" t="n">
        <x:f>MIN(E91,F91)</x:f>
        <x:v>224</x:v>
      </x:c>
      <x:c r="H91" s="27" t="n">
        <x:f>MAX(0,E91-F91)</x:f>
        <x:v>0</x:v>
      </x:c>
      <x:c r="I91" s="27" t="n">
        <x:f>F91-G91</x:f>
        <x:v>1487</x:v>
      </x:c>
      <x:c r="J91" s="27" t="n">
        <x:f>'Opening'!C12</x:f>
        <x:v>305</x:v>
      </x:c>
      <x:c r="K91" s="27" t="n">
        <x:f>MAX(0,J91-I91)</x:f>
        <x:v>0</x:v>
      </x:c>
      <x:c r="L91" s="28" t="n">
        <x:f>IF(E91=0,1,G91/E91)</x:f>
        <x:v>1</x:v>
      </x:c>
      <x:c r="M91" s="27" t="n">
        <x:f>G91*'Purchasing'!E91</x:f>
        <x:v>41664</x:v>
      </x:c>
    </x:row>
    <x:row r="92" ht="23" customHeight="1">
      <x:c r="A92" s="34" t="str">
        <x:v>0008</x:v>
      </x:c>
      <x:c r="B92" s="14" t="d">
        <x:v>2026-04-01T00:00:00.000Z</x:v>
      </x:c>
      <x:c r="C92" s="27" t="n">
        <x:f>I91</x:f>
        <x:v>1487</x:v>
      </x:c>
      <x:c r="D92" s="27" t="n">
        <x:f>'Purchasing'!D92</x:f>
        <x:v>290</x:v>
      </x:c>
      <x:c r="E92" s="27" t="n">
        <x:f>SUMIFS('Sales'!$F$5:$F$388,'Sales'!$A$5:$A$388,A92,'Sales'!$C$5:$C$388,B92)</x:f>
        <x:v>233</x:v>
      </x:c>
      <x:c r="F92" s="27" t="n">
        <x:f>C92+D92</x:f>
        <x:v>1777</x:v>
      </x:c>
      <x:c r="G92" s="27" t="n">
        <x:f>MIN(E92,F92)</x:f>
        <x:v>233</x:v>
      </x:c>
      <x:c r="H92" s="27" t="n">
        <x:f>MAX(0,E92-F92)</x:f>
        <x:v>0</x:v>
      </x:c>
      <x:c r="I92" s="27" t="n">
        <x:f>F92-G92</x:f>
        <x:v>1544</x:v>
      </x:c>
      <x:c r="J92" s="27" t="n">
        <x:f>'Opening'!C12</x:f>
        <x:v>305</x:v>
      </x:c>
      <x:c r="K92" s="27" t="n">
        <x:f>MAX(0,J92-I92)</x:f>
        <x:v>0</x:v>
      </x:c>
      <x:c r="L92" s="28" t="n">
        <x:f>IF(E92=0,1,G92/E92)</x:f>
        <x:v>1</x:v>
      </x:c>
      <x:c r="M92" s="27" t="n">
        <x:f>G92*'Purchasing'!E92</x:f>
        <x:v>43338</x:v>
      </x:c>
    </x:row>
    <x:row r="93" ht="23" customHeight="1">
      <x:c r="A93" s="34" t="str">
        <x:v>0008</x:v>
      </x:c>
      <x:c r="B93" s="14" t="d">
        <x:v>2026-05-01T00:00:00.000Z</x:v>
      </x:c>
      <x:c r="C93" s="27" t="n">
        <x:f>I92</x:f>
        <x:v>1544</x:v>
      </x:c>
      <x:c r="D93" s="27" t="n">
        <x:f>'Purchasing'!D93</x:f>
        <x:v>290</x:v>
      </x:c>
      <x:c r="E93" s="27" t="n">
        <x:f>SUMIFS('Sales'!$F$5:$F$388,'Sales'!$A$5:$A$388,A93,'Sales'!$C$5:$C$388,B93)</x:f>
        <x:v>224</x:v>
      </x:c>
      <x:c r="F93" s="27" t="n">
        <x:f>C93+D93</x:f>
        <x:v>1834</x:v>
      </x:c>
      <x:c r="G93" s="27" t="n">
        <x:f>MIN(E93,F93)</x:f>
        <x:v>224</x:v>
      </x:c>
      <x:c r="H93" s="27" t="n">
        <x:f>MAX(0,E93-F93)</x:f>
        <x:v>0</x:v>
      </x:c>
      <x:c r="I93" s="27" t="n">
        <x:f>F93-G93</x:f>
        <x:v>1610</x:v>
      </x:c>
      <x:c r="J93" s="27" t="n">
        <x:f>'Opening'!C12</x:f>
        <x:v>305</x:v>
      </x:c>
      <x:c r="K93" s="27" t="n">
        <x:f>MAX(0,J93-I93)</x:f>
        <x:v>0</x:v>
      </x:c>
      <x:c r="L93" s="28" t="n">
        <x:f>IF(E93=0,1,G93/E93)</x:f>
        <x:v>1</x:v>
      </x:c>
      <x:c r="M93" s="27" t="n">
        <x:f>G93*'Purchasing'!E93</x:f>
        <x:v>41664</x:v>
      </x:c>
    </x:row>
    <x:row r="94" ht="23" customHeight="1">
      <x:c r="A94" s="34" t="str">
        <x:v>0008</x:v>
      </x:c>
      <x:c r="B94" s="14" t="d">
        <x:v>2026-06-01T00:00:00.000Z</x:v>
      </x:c>
      <x:c r="C94" s="27" t="n">
        <x:f>I93</x:f>
        <x:v>1610</x:v>
      </x:c>
      <x:c r="D94" s="27" t="n">
        <x:f>'Purchasing'!D94</x:f>
        <x:v>290</x:v>
      </x:c>
      <x:c r="E94" s="27" t="n">
        <x:f>SUMIFS('Sales'!$F$5:$F$388,'Sales'!$A$5:$A$388,A94,'Sales'!$C$5:$C$388,B94)</x:f>
        <x:v>236</x:v>
      </x:c>
      <x:c r="F94" s="27" t="n">
        <x:f>C94+D94</x:f>
        <x:v>1900</x:v>
      </x:c>
      <x:c r="G94" s="27" t="n">
        <x:f>MIN(E94,F94)</x:f>
        <x:v>236</x:v>
      </x:c>
      <x:c r="H94" s="27" t="n">
        <x:f>MAX(0,E94-F94)</x:f>
        <x:v>0</x:v>
      </x:c>
      <x:c r="I94" s="27" t="n">
        <x:f>F94-G94</x:f>
        <x:v>1664</x:v>
      </x:c>
      <x:c r="J94" s="27" t="n">
        <x:f>'Opening'!C12</x:f>
        <x:v>305</x:v>
      </x:c>
      <x:c r="K94" s="27" t="n">
        <x:f>MAX(0,J94-I94)</x:f>
        <x:v>0</x:v>
      </x:c>
      <x:c r="L94" s="28" t="n">
        <x:f>IF(E94=0,1,G94/E94)</x:f>
        <x:v>1</x:v>
      </x:c>
      <x:c r="M94" s="27" t="n">
        <x:f>G94*'Purchasing'!E94</x:f>
        <x:v>43896</x:v>
      </x:c>
    </x:row>
    <x:row r="95" ht="23" customHeight="1">
      <x:c r="A95" s="34" t="str">
        <x:v>0008</x:v>
      </x:c>
      <x:c r="B95" s="14" t="d">
        <x:v>2026-07-01T00:00:00.000Z</x:v>
      </x:c>
      <x:c r="C95" s="27" t="n">
        <x:f>I94</x:f>
        <x:v>1664</x:v>
      </x:c>
      <x:c r="D95" s="27" t="n">
        <x:f>'Purchasing'!D95</x:f>
        <x:v>516</x:v>
      </x:c>
      <x:c r="E95" s="27" t="n">
        <x:f>SUMIFS('Sales'!$F$5:$F$388,'Sales'!$A$5:$A$388,A95,'Sales'!$C$5:$C$388,B95)</x:f>
        <x:v>855</x:v>
      </x:c>
      <x:c r="F95" s="27" t="n">
        <x:f>C95+D95</x:f>
        <x:v>2180</x:v>
      </x:c>
      <x:c r="G95" s="27" t="n">
        <x:f>MIN(E95,F95)</x:f>
        <x:v>855</x:v>
      </x:c>
      <x:c r="H95" s="27" t="n">
        <x:f>MAX(0,E95-F95)</x:f>
        <x:v>0</x:v>
      </x:c>
      <x:c r="I95" s="27" t="n">
        <x:f>F95-G95</x:f>
        <x:v>1325</x:v>
      </x:c>
      <x:c r="J95" s="27" t="n">
        <x:f>'Opening'!C12</x:f>
        <x:v>305</x:v>
      </x:c>
      <x:c r="K95" s="27" t="n">
        <x:f>MAX(0,J95-I95)</x:f>
        <x:v>0</x:v>
      </x:c>
      <x:c r="L95" s="28" t="n">
        <x:f>IF(E95=0,1,G95/E95)</x:f>
        <x:v>1</x:v>
      </x:c>
      <x:c r="M95" s="27" t="n">
        <x:f>G95*'Purchasing'!E95</x:f>
        <x:v>162210.6</x:v>
      </x:c>
    </x:row>
    <x:row r="96" ht="23" customHeight="1">
      <x:c r="A96" s="34" t="str">
        <x:v>0008</x:v>
      </x:c>
      <x:c r="B96" s="14" t="d">
        <x:v>2026-08-01T00:00:00.000Z</x:v>
      </x:c>
      <x:c r="C96" s="27" t="n">
        <x:f>I95</x:f>
        <x:v>1325</x:v>
      </x:c>
      <x:c r="D96" s="27" t="n">
        <x:f>'Purchasing'!D96</x:f>
        <x:v>516</x:v>
      </x:c>
      <x:c r="E96" s="27" t="n">
        <x:f>SUMIFS('Sales'!$F$5:$F$388,'Sales'!$A$5:$A$388,A96,'Sales'!$C$5:$C$388,B96)</x:f>
        <x:v>913</x:v>
      </x:c>
      <x:c r="F96" s="27" t="n">
        <x:f>C96+D96</x:f>
        <x:v>1841</x:v>
      </x:c>
      <x:c r="G96" s="27" t="n">
        <x:f>MIN(E96,F96)</x:f>
        <x:v>913</x:v>
      </x:c>
      <x:c r="H96" s="27" t="n">
        <x:f>MAX(0,E96-F96)</x:f>
        <x:v>0</x:v>
      </x:c>
      <x:c r="I96" s="27" t="n">
        <x:f>F96-G96</x:f>
        <x:v>928</x:v>
      </x:c>
      <x:c r="J96" s="27" t="n">
        <x:f>'Opening'!C12</x:f>
        <x:v>305</x:v>
      </x:c>
      <x:c r="K96" s="27" t="n">
        <x:f>MAX(0,J96-I96)</x:f>
        <x:v>0</x:v>
      </x:c>
      <x:c r="L96" s="28" t="n">
        <x:f>IF(E96=0,1,G96/E96)</x:f>
        <x:v>1</x:v>
      </x:c>
      <x:c r="M96" s="27" t="n">
        <x:f>G96*'Purchasing'!E96</x:f>
        <x:v>173214.36</x:v>
      </x:c>
    </x:row>
    <x:row r="97" ht="23" customHeight="1">
      <x:c r="A97" s="34" t="str">
        <x:v>0008</x:v>
      </x:c>
      <x:c r="B97" s="14" t="d">
        <x:v>2026-09-01T00:00:00.000Z</x:v>
      </x:c>
      <x:c r="C97" s="27" t="n">
        <x:f>I96</x:f>
        <x:v>928</x:v>
      </x:c>
      <x:c r="D97" s="27" t="n">
        <x:f>'Purchasing'!D97</x:f>
        <x:v>516</x:v>
      </x:c>
      <x:c r="E97" s="27" t="n">
        <x:f>SUMIFS('Sales'!$F$5:$F$388,'Sales'!$A$5:$A$388,A97,'Sales'!$C$5:$C$388,B97)</x:f>
        <x:v>971</x:v>
      </x:c>
      <x:c r="F97" s="27" t="n">
        <x:f>C97+D97</x:f>
        <x:v>1444</x:v>
      </x:c>
      <x:c r="G97" s="27" t="n">
        <x:f>MIN(E97,F97)</x:f>
        <x:v>971</x:v>
      </x:c>
      <x:c r="H97" s="27" t="n">
        <x:f>MAX(0,E97-F97)</x:f>
        <x:v>0</x:v>
      </x:c>
      <x:c r="I97" s="27" t="n">
        <x:f>F97-G97</x:f>
        <x:v>473</x:v>
      </x:c>
      <x:c r="J97" s="27" t="n">
        <x:f>'Opening'!C12</x:f>
        <x:v>305</x:v>
      </x:c>
      <x:c r="K97" s="27" t="n">
        <x:f>MAX(0,J97-I97)</x:f>
        <x:v>0</x:v>
      </x:c>
      <x:c r="L97" s="28" t="n">
        <x:f>IF(E97=0,1,G97/E97)</x:f>
        <x:v>1</x:v>
      </x:c>
      <x:c r="M97" s="27" t="n">
        <x:f>G97*'Purchasing'!E97</x:f>
        <x:v>184218.12</x:v>
      </x:c>
    </x:row>
    <x:row r="98" ht="23" customHeight="1">
      <x:c r="A98" s="34" t="str">
        <x:v>0008</x:v>
      </x:c>
      <x:c r="B98" s="14" t="d">
        <x:v>2026-10-01T00:00:00.000Z</x:v>
      </x:c>
      <x:c r="C98" s="27" t="n">
        <x:f>I97</x:f>
        <x:v>473</x:v>
      </x:c>
      <x:c r="D98" s="27" t="n">
        <x:f>'Purchasing'!D98</x:f>
        <x:v>516</x:v>
      </x:c>
      <x:c r="E98" s="27" t="n">
        <x:f>SUMIFS('Sales'!$F$5:$F$388,'Sales'!$A$5:$A$388,A98,'Sales'!$C$5:$C$388,B98)</x:f>
        <x:v>1029</x:v>
      </x:c>
      <x:c r="F98" s="27" t="n">
        <x:f>C98+D98</x:f>
        <x:v>989</x:v>
      </x:c>
      <x:c r="G98" s="27" t="n">
        <x:f>MIN(E98,F98)</x:f>
        <x:v>989</x:v>
      </x:c>
      <x:c r="H98" s="27" t="n">
        <x:f>MAX(0,E98-F98)</x:f>
        <x:v>40</x:v>
      </x:c>
      <x:c r="I98" s="27" t="n">
        <x:f>F98-G98</x:f>
        <x:v>0</x:v>
      </x:c>
      <x:c r="J98" s="27" t="n">
        <x:f>'Opening'!C12</x:f>
        <x:v>305</x:v>
      </x:c>
      <x:c r="K98" s="27" t="n">
        <x:f>MAX(0,J98-I98)</x:f>
        <x:v>305</x:v>
      </x:c>
      <x:c r="L98" s="28" t="n">
        <x:f>IF(E98=0,1,G98/E98)</x:f>
        <x:v>0.9611273080660836</x:v>
      </x:c>
      <x:c r="M98" s="27" t="n">
        <x:f>G98*'Purchasing'!E98</x:f>
        <x:v>187633.08</x:v>
      </x:c>
    </x:row>
    <x:row r="99" ht="23" customHeight="1">
      <x:c r="A99" s="34" t="str">
        <x:v>0008</x:v>
      </x:c>
      <x:c r="B99" s="14" t="d">
        <x:v>2026-11-01T00:00:00.000Z</x:v>
      </x:c>
      <x:c r="C99" s="27" t="n">
        <x:f>I98</x:f>
        <x:v>0</x:v>
      </x:c>
      <x:c r="D99" s="27" t="n">
        <x:f>'Purchasing'!D99</x:f>
        <x:v>516</x:v>
      </x:c>
      <x:c r="E99" s="27" t="n">
        <x:f>SUMIFS('Sales'!$F$5:$F$388,'Sales'!$A$5:$A$388,A99,'Sales'!$C$5:$C$388,B99)</x:f>
        <x:v>1087</x:v>
      </x:c>
      <x:c r="F99" s="27" t="n">
        <x:f>C99+D99</x:f>
        <x:v>516</x:v>
      </x:c>
      <x:c r="G99" s="27" t="n">
        <x:f>MIN(E99,F99)</x:f>
        <x:v>516</x:v>
      </x:c>
      <x:c r="H99" s="27" t="n">
        <x:f>MAX(0,E99-F99)</x:f>
        <x:v>571</x:v>
      </x:c>
      <x:c r="I99" s="27" t="n">
        <x:f>F99-G99</x:f>
        <x:v>0</x:v>
      </x:c>
      <x:c r="J99" s="27" t="n">
        <x:f>'Opening'!C12</x:f>
        <x:v>305</x:v>
      </x:c>
      <x:c r="K99" s="27" t="n">
        <x:f>MAX(0,J99-I99)</x:f>
        <x:v>305</x:v>
      </x:c>
      <x:c r="L99" s="28" t="n">
        <x:f>IF(E99=0,1,G99/E99)</x:f>
        <x:v>0.47470101195952163</x:v>
      </x:c>
      <x:c r="M99" s="27" t="n">
        <x:f>G99*'Purchasing'!E99</x:f>
        <x:v>97895.52</x:v>
      </x:c>
    </x:row>
    <x:row r="100" ht="23" customHeight="1">
      <x:c r="A100" s="34" t="str">
        <x:v>0008</x:v>
      </x:c>
      <x:c r="B100" s="14" t="d">
        <x:v>2026-12-01T00:00:00.000Z</x:v>
      </x:c>
      <x:c r="C100" s="27" t="n">
        <x:f>I99</x:f>
        <x:v>0</x:v>
      </x:c>
      <x:c r="D100" s="27" t="n">
        <x:f>'Purchasing'!D100</x:f>
        <x:v>516</x:v>
      </x:c>
      <x:c r="E100" s="27" t="n">
        <x:f>SUMIFS('Sales'!$F$5:$F$388,'Sales'!$A$5:$A$388,A100,'Sales'!$C$5:$C$388,B100)</x:f>
        <x:v>1146</x:v>
      </x:c>
      <x:c r="F100" s="27" t="n">
        <x:f>C100+D100</x:f>
        <x:v>516</x:v>
      </x:c>
      <x:c r="G100" s="27" t="n">
        <x:f>MIN(E100,F100)</x:f>
        <x:v>516</x:v>
      </x:c>
      <x:c r="H100" s="27" t="n">
        <x:f>MAX(0,E100-F100)</x:f>
        <x:v>630</x:v>
      </x:c>
      <x:c r="I100" s="27" t="n">
        <x:f>F100-G100</x:f>
        <x:v>0</x:v>
      </x:c>
      <x:c r="J100" s="27" t="n">
        <x:f>'Opening'!C12</x:f>
        <x:v>305</x:v>
      </x:c>
      <x:c r="K100" s="27" t="n">
        <x:f>MAX(0,J100-I100)</x:f>
        <x:v>305</x:v>
      </x:c>
      <x:c r="L100" s="28" t="n">
        <x:f>IF(E100=0,1,G100/E100)</x:f>
        <x:v>0.450261780104712</x:v>
      </x:c>
      <x:c r="M100" s="27" t="n">
        <x:f>G100*'Purchasing'!E100</x:f>
        <x:v>97895.52</x:v>
      </x:c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</x:sheetData>
  <x:conditionalFormatting sqref="H5:H100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dd368257424607"/>
  </x:tableParts>
</x:worksheet>
</file>

<file path=xl/worksheets/sheet7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Purchasing | distributor 2026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40" customHeight="1">
      <x:c r="A4" s="6" t="str">
        <x:v>SKU</x:v>
      </x:c>
      <x:c r="B4" s="6" t="str">
        <x:v>Month</x:v>
      </x:c>
      <x:c r="C4" s="6" t="str">
        <x:v>PlannedUnits</x:v>
      </x:c>
      <x:c r="D4" s="6" t="str">
        <x:v>ReceiptUnits</x:v>
      </x:c>
      <x:c r="E4" s="6" t="str">
        <x:v>UnitCost</x:v>
      </x:c>
      <x:c r="F4" s="6" t="str">
        <x:v>Spend</x:v>
      </x:c>
    </x:row>
    <x:row r="5" ht="23" customHeight="1">
      <x:c r="A5" s="34" t="str">
        <x:v>0001</x:v>
      </x:c>
      <x:c r="B5" s="14" t="d">
        <x:v>2026-01-01T00:00:00.000Z</x:v>
      </x:c>
      <x:c r="C5" s="27" t="n">
        <x:f>'Supply'!C5</x:f>
        <x:v>220</x:v>
      </x:c>
      <x:c r="D5" s="27" t="n">
        <x:f>IF(ISNUMBER('Supply'!D5),'Supply'!D5,C5)</x:f>
        <x:v>220</x:v>
      </x:c>
      <x:c r="E5" s="27" t="n">
        <x:f>'Products'!D5*INDEX('Assumptions'!$C$16:$N$16,1,MONTH(B5))</x:f>
        <x:v>95</x:v>
      </x:c>
      <x:c r="F5" s="27" t="n">
        <x:f>D5*E5</x:f>
        <x:v>20900</x:v>
      </x:c>
    </x:row>
    <x:row r="6" ht="23" customHeight="1">
      <x:c r="A6" s="34" t="str">
        <x:v>0001</x:v>
      </x:c>
      <x:c r="B6" s="14" t="d">
        <x:v>2026-02-01T00:00:00.000Z</x:v>
      </x:c>
      <x:c r="C6" s="27" t="n">
        <x:f>'Supply'!C6</x:f>
        <x:v>220</x:v>
      </x:c>
      <x:c r="D6" s="27" t="n">
        <x:f>IF(ISNUMBER('Supply'!D6),'Supply'!D6,C6)</x:f>
        <x:v>220</x:v>
      </x:c>
      <x:c r="E6" s="27" t="n">
        <x:f>'Products'!D5*INDEX('Assumptions'!$C$16:$N$16,1,MONTH(B6))</x:f>
        <x:v>95</x:v>
      </x:c>
      <x:c r="F6" s="27" t="n">
        <x:f>D6*E6</x:f>
        <x:v>20900</x:v>
      </x:c>
    </x:row>
    <x:row r="7" ht="23" customHeight="1">
      <x:c r="A7" s="34" t="str">
        <x:v>0001</x:v>
      </x:c>
      <x:c r="B7" s="14" t="d">
        <x:v>2026-03-01T00:00:00.000Z</x:v>
      </x:c>
      <x:c r="C7" s="27" t="n">
        <x:f>'Supply'!C7</x:f>
        <x:v>220</x:v>
      </x:c>
      <x:c r="D7" s="27" t="n">
        <x:f>IF(ISNUMBER('Supply'!D7),'Supply'!D7,C7)</x:f>
        <x:v>220</x:v>
      </x:c>
      <x:c r="E7" s="27" t="n">
        <x:f>'Products'!D5*INDEX('Assumptions'!$C$16:$N$16,1,MONTH(B7))</x:f>
        <x:v>95</x:v>
      </x:c>
      <x:c r="F7" s="27" t="n">
        <x:f>D7*E7</x:f>
        <x:v>20900</x:v>
      </x:c>
    </x:row>
    <x:row r="8" ht="23" customHeight="1">
      <x:c r="A8" s="34" t="str">
        <x:v>0001</x:v>
      </x:c>
      <x:c r="B8" s="14" t="d">
        <x:v>2026-04-01T00:00:00.000Z</x:v>
      </x:c>
      <x:c r="C8" s="27" t="n">
        <x:f>'Supply'!C8</x:f>
        <x:v>220</x:v>
      </x:c>
      <x:c r="D8" s="27" t="n">
        <x:f>IF(ISNUMBER('Supply'!D8),'Supply'!D8,C8)</x:f>
        <x:v>220</x:v>
      </x:c>
      <x:c r="E8" s="27" t="n">
        <x:f>'Products'!D5*INDEX('Assumptions'!$C$16:$N$16,1,MONTH(B8))</x:f>
        <x:v>95</x:v>
      </x:c>
      <x:c r="F8" s="27" t="n">
        <x:f>D8*E8</x:f>
        <x:v>20900</x:v>
      </x:c>
    </x:row>
    <x:row r="9" ht="23" customHeight="1">
      <x:c r="A9" s="34" t="str">
        <x:v>0001</x:v>
      </x:c>
      <x:c r="B9" s="14" t="d">
        <x:v>2026-05-01T00:00:00.000Z</x:v>
      </x:c>
      <x:c r="C9" s="27" t="n">
        <x:f>'Supply'!C9</x:f>
        <x:v>220</x:v>
      </x:c>
      <x:c r="D9" s="27" t="n">
        <x:f>IF(ISNUMBER('Supply'!D9),'Supply'!D9,C9)</x:f>
        <x:v>220</x:v>
      </x:c>
      <x:c r="E9" s="27" t="n">
        <x:f>'Products'!D5*INDEX('Assumptions'!$C$16:$N$16,1,MONTH(B9))</x:f>
        <x:v>95</x:v>
      </x:c>
      <x:c r="F9" s="27" t="n">
        <x:f>D9*E9</x:f>
        <x:v>20900</x:v>
      </x:c>
    </x:row>
    <x:row r="10" ht="23" customHeight="1">
      <x:c r="A10" s="34" t="str">
        <x:v>0001</x:v>
      </x:c>
      <x:c r="B10" s="14" t="d">
        <x:v>2026-06-01T00:00:00.000Z</x:v>
      </x:c>
      <x:c r="C10" s="27" t="n">
        <x:f>'Supply'!C10</x:f>
        <x:v>220</x:v>
      </x:c>
      <x:c r="D10" s="27" t="n">
        <x:f>IF(ISNUMBER('Supply'!D10),'Supply'!D10,C10)</x:f>
        <x:v>220</x:v>
      </x:c>
      <x:c r="E10" s="27" t="n">
        <x:f>'Products'!D5*INDEX('Assumptions'!$C$16:$N$16,1,MONTH(B10))</x:f>
        <x:v>95</x:v>
      </x:c>
      <x:c r="F10" s="27" t="n">
        <x:f>D10*E10</x:f>
        <x:v>20900</x:v>
      </x:c>
    </x:row>
    <x:row r="11" ht="23" customHeight="1">
      <x:c r="A11" s="34" t="str">
        <x:v>0001</x:v>
      </x:c>
      <x:c r="B11" s="14" t="d">
        <x:v>2026-07-01T00:00:00.000Z</x:v>
      </x:c>
      <x:c r="C11" s="27" t="n">
        <x:f>'Supply'!C11</x:f>
        <x:v>390</x:v>
      </x:c>
      <x:c r="D11" s="27" t="n">
        <x:f>IF(ISNUMBER('Supply'!D11),'Supply'!D11,C11)</x:f>
        <x:v>390</x:v>
      </x:c>
      <x:c r="E11" s="27" t="n">
        <x:f>'Products'!D5*INDEX('Assumptions'!$C$16:$N$16,1,MONTH(B11))</x:f>
        <x:v>96.9</x:v>
      </x:c>
      <x:c r="F11" s="27" t="n">
        <x:f>D11*E11</x:f>
        <x:v>37791</x:v>
      </x:c>
    </x:row>
    <x:row r="12" ht="23" customHeight="1">
      <x:c r="A12" s="34" t="str">
        <x:v>0001</x:v>
      </x:c>
      <x:c r="B12" s="14" t="d">
        <x:v>2026-08-01T00:00:00.000Z</x:v>
      </x:c>
      <x:c r="C12" s="27" t="n">
        <x:f>'Supply'!C12</x:f>
        <x:v>390</x:v>
      </x:c>
      <x:c r="D12" s="27" t="n">
        <x:f>IF(ISNUMBER('Supply'!D12),'Supply'!D12,C12)</x:f>
        <x:v>390</x:v>
      </x:c>
      <x:c r="E12" s="27" t="n">
        <x:f>'Products'!D5*INDEX('Assumptions'!$C$16:$N$16,1,MONTH(B12))</x:f>
        <x:v>96.9</x:v>
      </x:c>
      <x:c r="F12" s="27" t="n">
        <x:f>D12*E12</x:f>
        <x:v>37791</x:v>
      </x:c>
    </x:row>
    <x:row r="13" ht="23" customHeight="1">
      <x:c r="A13" s="34" t="str">
        <x:v>0001</x:v>
      </x:c>
      <x:c r="B13" s="14" t="d">
        <x:v>2026-09-01T00:00:00.000Z</x:v>
      </x:c>
      <x:c r="C13" s="27" t="n">
        <x:f>'Supply'!C13</x:f>
        <x:v>390</x:v>
      </x:c>
      <x:c r="D13" s="27" t="n">
        <x:f>IF(ISNUMBER('Supply'!D13),'Supply'!D13,C13)</x:f>
        <x:v>390</x:v>
      </x:c>
      <x:c r="E13" s="27" t="n">
        <x:f>'Products'!D5*INDEX('Assumptions'!$C$16:$N$16,1,MONTH(B13))</x:f>
        <x:v>96.9</x:v>
      </x:c>
      <x:c r="F13" s="27" t="n">
        <x:f>D13*E13</x:f>
        <x:v>37791</x:v>
      </x:c>
    </x:row>
    <x:row r="14" ht="23" customHeight="1">
      <x:c r="A14" s="34" t="str">
        <x:v>0001</x:v>
      </x:c>
      <x:c r="B14" s="14" t="d">
        <x:v>2026-10-01T00:00:00.000Z</x:v>
      </x:c>
      <x:c r="C14" s="27" t="n">
        <x:f>'Supply'!C14</x:f>
        <x:v>390</x:v>
      </x:c>
      <x:c r="D14" s="27" t="n">
        <x:f>IF(ISNUMBER('Supply'!D14),'Supply'!D14,C14)</x:f>
        <x:v>390</x:v>
      </x:c>
      <x:c r="E14" s="27" t="n">
        <x:f>'Products'!D5*INDEX('Assumptions'!$C$16:$N$16,1,MONTH(B14))</x:f>
        <x:v>96.9</x:v>
      </x:c>
      <x:c r="F14" s="27" t="n">
        <x:f>D14*E14</x:f>
        <x:v>37791</x:v>
      </x:c>
    </x:row>
    <x:row r="15" ht="23" customHeight="1">
      <x:c r="A15" s="34" t="str">
        <x:v>0001</x:v>
      </x:c>
      <x:c r="B15" s="14" t="d">
        <x:v>2026-11-01T00:00:00.000Z</x:v>
      </x:c>
      <x:c r="C15" s="27" t="n">
        <x:f>'Supply'!C15</x:f>
        <x:v>390</x:v>
      </x:c>
      <x:c r="D15" s="27" t="n">
        <x:f>IF(ISNUMBER('Supply'!D15),'Supply'!D15,C15)</x:f>
        <x:v>390</x:v>
      </x:c>
      <x:c r="E15" s="27" t="n">
        <x:f>'Products'!D5*INDEX('Assumptions'!$C$16:$N$16,1,MONTH(B15))</x:f>
        <x:v>96.9</x:v>
      </x:c>
      <x:c r="F15" s="27" t="n">
        <x:f>D15*E15</x:f>
        <x:v>37791</x:v>
      </x:c>
    </x:row>
    <x:row r="16" ht="23" customHeight="1">
      <x:c r="A16" s="34" t="str">
        <x:v>0001</x:v>
      </x:c>
      <x:c r="B16" s="14" t="d">
        <x:v>2026-12-01T00:00:00.000Z</x:v>
      </x:c>
      <x:c r="C16" s="27" t="n">
        <x:f>'Supply'!C16</x:f>
        <x:v>390</x:v>
      </x:c>
      <x:c r="D16" s="27" t="n">
        <x:f>IF(ISNUMBER('Supply'!D16),'Supply'!D16,C16)</x:f>
        <x:v>390</x:v>
      </x:c>
      <x:c r="E16" s="27" t="n">
        <x:f>'Products'!D5*INDEX('Assumptions'!$C$16:$N$16,1,MONTH(B16))</x:f>
        <x:v>96.9</x:v>
      </x:c>
      <x:c r="F16" s="27" t="n">
        <x:f>D16*E16</x:f>
        <x:v>37791</x:v>
      </x:c>
    </x:row>
    <x:row r="17" ht="23" customHeight="1">
      <x:c r="A17" s="34" t="str">
        <x:v>0002</x:v>
      </x:c>
      <x:c r="B17" s="14" t="d">
        <x:v>2026-01-01T00:00:00.000Z</x:v>
      </x:c>
      <x:c r="C17" s="27" t="n">
        <x:f>'Supply'!C17</x:f>
        <x:v>230</x:v>
      </x:c>
      <x:c r="D17" s="27" t="n">
        <x:f>IF(ISNUMBER('Supply'!D17),'Supply'!D17,C17)</x:f>
        <x:v>230</x:v>
      </x:c>
      <x:c r="E17" s="27" t="n">
        <x:f>'Products'!D6*INDEX('Assumptions'!$C$16:$N$16,1,MONTH(B17))</x:f>
        <x:v>108</x:v>
      </x:c>
      <x:c r="F17" s="27" t="n">
        <x:f>D17*E17</x:f>
        <x:v>24840</x:v>
      </x:c>
    </x:row>
    <x:row r="18" ht="23" customHeight="1">
      <x:c r="A18" s="34" t="str">
        <x:v>0002</x:v>
      </x:c>
      <x:c r="B18" s="14" t="d">
        <x:v>2026-02-01T00:00:00.000Z</x:v>
      </x:c>
      <x:c r="C18" s="27" t="n">
        <x:f>'Supply'!C18</x:f>
        <x:v>230</x:v>
      </x:c>
      <x:c r="D18" s="27" t="n">
        <x:f>IF(ISNUMBER('Supply'!D18),'Supply'!D18,C18)</x:f>
        <x:v>230</x:v>
      </x:c>
      <x:c r="E18" s="27" t="n">
        <x:f>'Products'!D6*INDEX('Assumptions'!$C$16:$N$16,1,MONTH(B18))</x:f>
        <x:v>108</x:v>
      </x:c>
      <x:c r="F18" s="27" t="n">
        <x:f>D18*E18</x:f>
        <x:v>24840</x:v>
      </x:c>
    </x:row>
    <x:row r="19" ht="23" customHeight="1">
      <x:c r="A19" s="34" t="str">
        <x:v>0002</x:v>
      </x:c>
      <x:c r="B19" s="14" t="d">
        <x:v>2026-03-01T00:00:00.000Z</x:v>
      </x:c>
      <x:c r="C19" s="27" t="n">
        <x:f>'Supply'!C19</x:f>
        <x:v>230</x:v>
      </x:c>
      <x:c r="D19" s="27" t="n">
        <x:f>IF(ISNUMBER('Supply'!D19),'Supply'!D19,C19)</x:f>
        <x:v>230</x:v>
      </x:c>
      <x:c r="E19" s="27" t="n">
        <x:f>'Products'!D6*INDEX('Assumptions'!$C$16:$N$16,1,MONTH(B19))</x:f>
        <x:v>108</x:v>
      </x:c>
      <x:c r="F19" s="27" t="n">
        <x:f>D19*E19</x:f>
        <x:v>24840</x:v>
      </x:c>
    </x:row>
    <x:row r="20" ht="23" customHeight="1">
      <x:c r="A20" s="34" t="str">
        <x:v>0002</x:v>
      </x:c>
      <x:c r="B20" s="14" t="d">
        <x:v>2026-04-01T00:00:00.000Z</x:v>
      </x:c>
      <x:c r="C20" s="27" t="n">
        <x:f>'Supply'!C20</x:f>
        <x:v>230</x:v>
      </x:c>
      <x:c r="D20" s="27" t="n">
        <x:f>IF(ISNUMBER('Supply'!D20),'Supply'!D20,C20)</x:f>
        <x:v>230</x:v>
      </x:c>
      <x:c r="E20" s="27" t="n">
        <x:f>'Products'!D6*INDEX('Assumptions'!$C$16:$N$16,1,MONTH(B20))</x:f>
        <x:v>108</x:v>
      </x:c>
      <x:c r="F20" s="27" t="n">
        <x:f>D20*E20</x:f>
        <x:v>24840</x:v>
      </x:c>
    </x:row>
    <x:row r="21" ht="23" customHeight="1">
      <x:c r="A21" s="34" t="str">
        <x:v>0002</x:v>
      </x:c>
      <x:c r="B21" s="14" t="d">
        <x:v>2026-05-01T00:00:00.000Z</x:v>
      </x:c>
      <x:c r="C21" s="27" t="n">
        <x:f>'Supply'!C21</x:f>
        <x:v>230</x:v>
      </x:c>
      <x:c r="D21" s="27" t="n">
        <x:f>IF(ISNUMBER('Supply'!D21),'Supply'!D21,C21)</x:f>
        <x:v>230</x:v>
      </x:c>
      <x:c r="E21" s="27" t="n">
        <x:f>'Products'!D6*INDEX('Assumptions'!$C$16:$N$16,1,MONTH(B21))</x:f>
        <x:v>108</x:v>
      </x:c>
      <x:c r="F21" s="27" t="n">
        <x:f>D21*E21</x:f>
        <x:v>24840</x:v>
      </x:c>
    </x:row>
    <x:row r="22" ht="23" customHeight="1">
      <x:c r="A22" s="34" t="str">
        <x:v>0002</x:v>
      </x:c>
      <x:c r="B22" s="14" t="d">
        <x:v>2026-06-01T00:00:00.000Z</x:v>
      </x:c>
      <x:c r="C22" s="27" t="n">
        <x:f>'Supply'!C22</x:f>
        <x:v>230</x:v>
      </x:c>
      <x:c r="D22" s="27" t="n">
        <x:f>IF(ISNUMBER('Supply'!D22),'Supply'!D22,C22)</x:f>
        <x:v>230</x:v>
      </x:c>
      <x:c r="E22" s="27" t="n">
        <x:f>'Products'!D6*INDEX('Assumptions'!$C$16:$N$16,1,MONTH(B22))</x:f>
        <x:v>108</x:v>
      </x:c>
      <x:c r="F22" s="27" t="n">
        <x:f>D22*E22</x:f>
        <x:v>24840</x:v>
      </x:c>
    </x:row>
    <x:row r="23" ht="23" customHeight="1">
      <x:c r="A23" s="34" t="str">
        <x:v>0002</x:v>
      </x:c>
      <x:c r="B23" s="14" t="d">
        <x:v>2026-07-01T00:00:00.000Z</x:v>
      </x:c>
      <x:c r="C23" s="27" t="n">
        <x:f>'Supply'!C23</x:f>
        <x:v>408</x:v>
      </x:c>
      <x:c r="D23" s="27" t="n">
        <x:f>IF(ISNUMBER('Supply'!D23),'Supply'!D23,C23)</x:f>
        <x:v>408</x:v>
      </x:c>
      <x:c r="E23" s="27" t="n">
        <x:f>'Products'!D6*INDEX('Assumptions'!$C$16:$N$16,1,MONTH(B23))</x:f>
        <x:v>110.16</x:v>
      </x:c>
      <x:c r="F23" s="27" t="n">
        <x:f>D23*E23</x:f>
        <x:v>44945.28</x:v>
      </x:c>
    </x:row>
    <x:row r="24" ht="23" customHeight="1">
      <x:c r="A24" s="34" t="str">
        <x:v>0002</x:v>
      </x:c>
      <x:c r="B24" s="14" t="d">
        <x:v>2026-08-01T00:00:00.000Z</x:v>
      </x:c>
      <x:c r="C24" s="27" t="n">
        <x:f>'Supply'!C24</x:f>
        <x:v>408</x:v>
      </x:c>
      <x:c r="D24" s="27" t="n">
        <x:f>IF(ISNUMBER('Supply'!D24),'Supply'!D24,C24)</x:f>
        <x:v>408</x:v>
      </x:c>
      <x:c r="E24" s="27" t="n">
        <x:f>'Products'!D6*INDEX('Assumptions'!$C$16:$N$16,1,MONTH(B24))</x:f>
        <x:v>110.16</x:v>
      </x:c>
      <x:c r="F24" s="27" t="n">
        <x:f>D24*E24</x:f>
        <x:v>44945.28</x:v>
      </x:c>
    </x:row>
    <x:row r="25" ht="23" customHeight="1">
      <x:c r="A25" s="34" t="str">
        <x:v>0002</x:v>
      </x:c>
      <x:c r="B25" s="14" t="d">
        <x:v>2026-09-01T00:00:00.000Z</x:v>
      </x:c>
      <x:c r="C25" s="27" t="n">
        <x:f>'Supply'!C25</x:f>
        <x:v>408</x:v>
      </x:c>
      <x:c r="D25" s="27" t="n">
        <x:f>IF(ISNUMBER('Supply'!D25),'Supply'!D25,C25)</x:f>
        <x:v>408</x:v>
      </x:c>
      <x:c r="E25" s="27" t="n">
        <x:f>'Products'!D6*INDEX('Assumptions'!$C$16:$N$16,1,MONTH(B25))</x:f>
        <x:v>110.16</x:v>
      </x:c>
      <x:c r="F25" s="27" t="n">
        <x:f>D25*E25</x:f>
        <x:v>44945.28</x:v>
      </x:c>
    </x:row>
    <x:row r="26" ht="23" customHeight="1">
      <x:c r="A26" s="34" t="str">
        <x:v>0002</x:v>
      </x:c>
      <x:c r="B26" s="14" t="d">
        <x:v>2026-10-01T00:00:00.000Z</x:v>
      </x:c>
      <x:c r="C26" s="27" t="n">
        <x:f>'Supply'!C26</x:f>
        <x:v>408</x:v>
      </x:c>
      <x:c r="D26" s="27" t="n">
        <x:f>IF(ISNUMBER('Supply'!D26),'Supply'!D26,C26)</x:f>
        <x:v>408</x:v>
      </x:c>
      <x:c r="E26" s="27" t="n">
        <x:f>'Products'!D6*INDEX('Assumptions'!$C$16:$N$16,1,MONTH(B26))</x:f>
        <x:v>110.16</x:v>
      </x:c>
      <x:c r="F26" s="27" t="n">
        <x:f>D26*E26</x:f>
        <x:v>44945.28</x:v>
      </x:c>
    </x:row>
    <x:row r="27" ht="23" customHeight="1">
      <x:c r="A27" s="34" t="str">
        <x:v>0002</x:v>
      </x:c>
      <x:c r="B27" s="14" t="d">
        <x:v>2026-11-01T00:00:00.000Z</x:v>
      </x:c>
      <x:c r="C27" s="27" t="n">
        <x:f>'Supply'!C27</x:f>
        <x:v>408</x:v>
      </x:c>
      <x:c r="D27" s="27" t="n">
        <x:f>IF(ISNUMBER('Supply'!D27),'Supply'!D27,C27)</x:f>
        <x:v>408</x:v>
      </x:c>
      <x:c r="E27" s="27" t="n">
        <x:f>'Products'!D6*INDEX('Assumptions'!$C$16:$N$16,1,MONTH(B27))</x:f>
        <x:v>110.16</x:v>
      </x:c>
      <x:c r="F27" s="27" t="n">
        <x:f>D27*E27</x:f>
        <x:v>44945.28</x:v>
      </x:c>
    </x:row>
    <x:row r="28" ht="23" customHeight="1">
      <x:c r="A28" s="34" t="str">
        <x:v>0002</x:v>
      </x:c>
      <x:c r="B28" s="14" t="d">
        <x:v>2026-12-01T00:00:00.000Z</x:v>
      </x:c>
      <x:c r="C28" s="27" t="n">
        <x:f>'Supply'!C28</x:f>
        <x:v>408</x:v>
      </x:c>
      <x:c r="D28" s="27" t="n">
        <x:f>IF(ISNUMBER('Supply'!D28),'Supply'!D28,C28)</x:f>
        <x:v>408</x:v>
      </x:c>
      <x:c r="E28" s="27" t="n">
        <x:f>'Products'!D6*INDEX('Assumptions'!$C$16:$N$16,1,MONTH(B28))</x:f>
        <x:v>110.16</x:v>
      </x:c>
      <x:c r="F28" s="27" t="n">
        <x:f>D28*E28</x:f>
        <x:v>44945.28</x:v>
      </x:c>
    </x:row>
    <x:row r="29" ht="23" customHeight="1">
      <x:c r="A29" s="34" t="str">
        <x:v>0003</x:v>
      </x:c>
      <x:c r="B29" s="14" t="d">
        <x:v>2026-01-01T00:00:00.000Z</x:v>
      </x:c>
      <x:c r="C29" s="27" t="n">
        <x:f>'Supply'!C29</x:f>
        <x:v>240</x:v>
      </x:c>
      <x:c r="D29" s="27" t="n">
        <x:f>IF(ISNUMBER('Supply'!D29),'Supply'!D29,C29)</x:f>
        <x:v>240</x:v>
      </x:c>
      <x:c r="E29" s="27" t="n">
        <x:f>'Products'!D7*INDEX('Assumptions'!$C$16:$N$16,1,MONTH(B29))</x:f>
        <x:v>121</x:v>
      </x:c>
      <x:c r="F29" s="27" t="n">
        <x:f>D29*E29</x:f>
        <x:v>29040</x:v>
      </x:c>
    </x:row>
    <x:row r="30" ht="23" customHeight="1">
      <x:c r="A30" s="34" t="str">
        <x:v>0003</x:v>
      </x:c>
      <x:c r="B30" s="14" t="d">
        <x:v>2026-02-01T00:00:00.000Z</x:v>
      </x:c>
      <x:c r="C30" s="27" t="n">
        <x:f>'Supply'!C30</x:f>
        <x:v>240</x:v>
      </x:c>
      <x:c r="D30" s="27" t="n">
        <x:f>IF(ISNUMBER('Supply'!D30),'Supply'!D30,C30)</x:f>
        <x:v>240</x:v>
      </x:c>
      <x:c r="E30" s="27" t="n">
        <x:f>'Products'!D7*INDEX('Assumptions'!$C$16:$N$16,1,MONTH(B30))</x:f>
        <x:v>121</x:v>
      </x:c>
      <x:c r="F30" s="27" t="n">
        <x:f>D30*E30</x:f>
        <x:v>29040</x:v>
      </x:c>
    </x:row>
    <x:row r="31" ht="23" customHeight="1">
      <x:c r="A31" s="34" t="str">
        <x:v>0003</x:v>
      </x:c>
      <x:c r="B31" s="14" t="d">
        <x:v>2026-03-01T00:00:00.000Z</x:v>
      </x:c>
      <x:c r="C31" s="27" t="n">
        <x:f>'Supply'!C31</x:f>
        <x:v>240</x:v>
      </x:c>
      <x:c r="D31" s="27" t="n">
        <x:f>IF(ISNUMBER('Supply'!D31),'Supply'!D31,C31)</x:f>
        <x:v>240</x:v>
      </x:c>
      <x:c r="E31" s="27" t="n">
        <x:f>'Products'!D7*INDEX('Assumptions'!$C$16:$N$16,1,MONTH(B31))</x:f>
        <x:v>121</x:v>
      </x:c>
      <x:c r="F31" s="27" t="n">
        <x:f>D31*E31</x:f>
        <x:v>29040</x:v>
      </x:c>
    </x:row>
    <x:row r="32" ht="23" customHeight="1">
      <x:c r="A32" s="34" t="str">
        <x:v>0003</x:v>
      </x:c>
      <x:c r="B32" s="14" t="d">
        <x:v>2026-04-01T00:00:00.000Z</x:v>
      </x:c>
      <x:c r="C32" s="27" t="n">
        <x:f>'Supply'!C32</x:f>
        <x:v>240</x:v>
      </x:c>
      <x:c r="D32" s="27" t="n">
        <x:f>IF(ISNUMBER('Supply'!D32),'Supply'!D32,C32)</x:f>
        <x:v>240</x:v>
      </x:c>
      <x:c r="E32" s="27" t="n">
        <x:f>'Products'!D7*INDEX('Assumptions'!$C$16:$N$16,1,MONTH(B32))</x:f>
        <x:v>121</x:v>
      </x:c>
      <x:c r="F32" s="27" t="n">
        <x:f>D32*E32</x:f>
        <x:v>29040</x:v>
      </x:c>
    </x:row>
    <x:row r="33" ht="23" customHeight="1">
      <x:c r="A33" s="34" t="str">
        <x:v>0003</x:v>
      </x:c>
      <x:c r="B33" s="14" t="d">
        <x:v>2026-05-01T00:00:00.000Z</x:v>
      </x:c>
      <x:c r="C33" s="27" t="n">
        <x:f>'Supply'!C33</x:f>
        <x:v>240</x:v>
      </x:c>
      <x:c r="D33" s="27" t="n">
        <x:f>IF(ISNUMBER('Supply'!D33),'Supply'!D33,C33)</x:f>
        <x:v>240</x:v>
      </x:c>
      <x:c r="E33" s="27" t="n">
        <x:f>'Products'!D7*INDEX('Assumptions'!$C$16:$N$16,1,MONTH(B33))</x:f>
        <x:v>121</x:v>
      </x:c>
      <x:c r="F33" s="27" t="n">
        <x:f>D33*E33</x:f>
        <x:v>29040</x:v>
      </x:c>
    </x:row>
    <x:row r="34" ht="23" customHeight="1">
      <x:c r="A34" s="34" t="str">
        <x:v>0003</x:v>
      </x:c>
      <x:c r="B34" s="14" t="d">
        <x:v>2026-06-01T00:00:00.000Z</x:v>
      </x:c>
      <x:c r="C34" s="27" t="n">
        <x:f>'Supply'!C34</x:f>
        <x:v>240</x:v>
      </x:c>
      <x:c r="D34" s="27" t="n">
        <x:f>IF(ISNUMBER('Supply'!D34),'Supply'!D34,C34)</x:f>
        <x:v>240</x:v>
      </x:c>
      <x:c r="E34" s="27" t="n">
        <x:f>'Products'!D7*INDEX('Assumptions'!$C$16:$N$16,1,MONTH(B34))</x:f>
        <x:v>121</x:v>
      </x:c>
      <x:c r="F34" s="27" t="n">
        <x:f>D34*E34</x:f>
        <x:v>29040</x:v>
      </x:c>
    </x:row>
    <x:row r="35" ht="23" customHeight="1">
      <x:c r="A35" s="34" t="str">
        <x:v>0003</x:v>
      </x:c>
      <x:c r="B35" s="14" t="d">
        <x:v>2026-07-01T00:00:00.000Z</x:v>
      </x:c>
      <x:c r="C35" s="27" t="n">
        <x:f>'Supply'!C35</x:f>
        <x:v>426</x:v>
      </x:c>
      <x:c r="D35" s="27" t="n">
        <x:f>IF(ISNUMBER('Supply'!D35),'Supply'!D35,C35)</x:f>
        <x:v>426</x:v>
      </x:c>
      <x:c r="E35" s="27" t="n">
        <x:f>'Products'!D7*INDEX('Assumptions'!$C$16:$N$16,1,MONTH(B35))</x:f>
        <x:v>123.42</x:v>
      </x:c>
      <x:c r="F35" s="27" t="n">
        <x:f>D35*E35</x:f>
        <x:v>52576.92</x:v>
      </x:c>
    </x:row>
    <x:row r="36" ht="23" customHeight="1">
      <x:c r="A36" s="34" t="str">
        <x:v>0003</x:v>
      </x:c>
      <x:c r="B36" s="14" t="d">
        <x:v>2026-08-01T00:00:00.000Z</x:v>
      </x:c>
      <x:c r="C36" s="27" t="n">
        <x:f>'Supply'!C36</x:f>
        <x:v>426</x:v>
      </x:c>
      <x:c r="D36" s="27" t="n">
        <x:f>IF(ISNUMBER('Supply'!D36),'Supply'!D36,C36)</x:f>
        <x:v>426</x:v>
      </x:c>
      <x:c r="E36" s="27" t="n">
        <x:f>'Products'!D7*INDEX('Assumptions'!$C$16:$N$16,1,MONTH(B36))</x:f>
        <x:v>123.42</x:v>
      </x:c>
      <x:c r="F36" s="27" t="n">
        <x:f>D36*E36</x:f>
        <x:v>52576.92</x:v>
      </x:c>
    </x:row>
    <x:row r="37" ht="23" customHeight="1">
      <x:c r="A37" s="34" t="str">
        <x:v>0003</x:v>
      </x:c>
      <x:c r="B37" s="14" t="d">
        <x:v>2026-09-01T00:00:00.000Z</x:v>
      </x:c>
      <x:c r="C37" s="27" t="n">
        <x:f>'Supply'!C37</x:f>
        <x:v>426</x:v>
      </x:c>
      <x:c r="D37" s="27" t="n">
        <x:f>IF(ISNUMBER('Supply'!D37),'Supply'!D37,C37)</x:f>
        <x:v>426</x:v>
      </x:c>
      <x:c r="E37" s="27" t="n">
        <x:f>'Products'!D7*INDEX('Assumptions'!$C$16:$N$16,1,MONTH(B37))</x:f>
        <x:v>123.42</x:v>
      </x:c>
      <x:c r="F37" s="27" t="n">
        <x:f>D37*E37</x:f>
        <x:v>52576.92</x:v>
      </x:c>
    </x:row>
    <x:row r="38" ht="23" customHeight="1">
      <x:c r="A38" s="34" t="str">
        <x:v>0003</x:v>
      </x:c>
      <x:c r="B38" s="14" t="d">
        <x:v>2026-10-01T00:00:00.000Z</x:v>
      </x:c>
      <x:c r="C38" s="27" t="n">
        <x:f>'Supply'!C38</x:f>
        <x:v>426</x:v>
      </x:c>
      <x:c r="D38" s="27" t="n">
        <x:f>IF(ISNUMBER('Supply'!D38),'Supply'!D38,C38)</x:f>
        <x:v>426</x:v>
      </x:c>
      <x:c r="E38" s="27" t="n">
        <x:f>'Products'!D7*INDEX('Assumptions'!$C$16:$N$16,1,MONTH(B38))</x:f>
        <x:v>123.42</x:v>
      </x:c>
      <x:c r="F38" s="27" t="n">
        <x:f>D38*E38</x:f>
        <x:v>52576.92</x:v>
      </x:c>
    </x:row>
    <x:row r="39" ht="23" customHeight="1">
      <x:c r="A39" s="34" t="str">
        <x:v>0003</x:v>
      </x:c>
      <x:c r="B39" s="14" t="d">
        <x:v>2026-11-01T00:00:00.000Z</x:v>
      </x:c>
      <x:c r="C39" s="27" t="n">
        <x:f>'Supply'!C39</x:f>
        <x:v>426</x:v>
      </x:c>
      <x:c r="D39" s="27" t="n">
        <x:f>IF(ISNUMBER('Supply'!D39),'Supply'!D39,C39)</x:f>
        <x:v>426</x:v>
      </x:c>
      <x:c r="E39" s="27" t="n">
        <x:f>'Products'!D7*INDEX('Assumptions'!$C$16:$N$16,1,MONTH(B39))</x:f>
        <x:v>123.42</x:v>
      </x:c>
      <x:c r="F39" s="27" t="n">
        <x:f>D39*E39</x:f>
        <x:v>52576.92</x:v>
      </x:c>
    </x:row>
    <x:row r="40" ht="23" customHeight="1">
      <x:c r="A40" s="34" t="str">
        <x:v>0003</x:v>
      </x:c>
      <x:c r="B40" s="14" t="d">
        <x:v>2026-12-01T00:00:00.000Z</x:v>
      </x:c>
      <x:c r="C40" s="27" t="n">
        <x:f>'Supply'!C40</x:f>
        <x:v>426</x:v>
      </x:c>
      <x:c r="D40" s="27" t="n">
        <x:f>IF(ISNUMBER('Supply'!D40),'Supply'!D40,C40)</x:f>
        <x:v>426</x:v>
      </x:c>
      <x:c r="E40" s="27" t="n">
        <x:f>'Products'!D7*INDEX('Assumptions'!$C$16:$N$16,1,MONTH(B40))</x:f>
        <x:v>123.42</x:v>
      </x:c>
      <x:c r="F40" s="27" t="n">
        <x:f>D40*E40</x:f>
        <x:v>52576.92</x:v>
      </x:c>
    </x:row>
    <x:row r="41" ht="23" customHeight="1">
      <x:c r="A41" s="34" t="str">
        <x:v>0004</x:v>
      </x:c>
      <x:c r="B41" s="14" t="d">
        <x:v>2026-01-01T00:00:00.000Z</x:v>
      </x:c>
      <x:c r="C41" s="27" t="n">
        <x:f>'Supply'!C41</x:f>
        <x:v>250</x:v>
      </x:c>
      <x:c r="D41" s="27" t="n">
        <x:f>IF(ISNUMBER('Supply'!D41),'Supply'!D41,C41)</x:f>
        <x:v>250</x:v>
      </x:c>
      <x:c r="E41" s="27" t="n">
        <x:f>'Products'!D8*INDEX('Assumptions'!$C$16:$N$16,1,MONTH(B41))</x:f>
        <x:v>134</x:v>
      </x:c>
      <x:c r="F41" s="27" t="n">
        <x:f>D41*E41</x:f>
        <x:v>33500</x:v>
      </x:c>
    </x:row>
    <x:row r="42" ht="23" customHeight="1">
      <x:c r="A42" s="34" t="str">
        <x:v>0004</x:v>
      </x:c>
      <x:c r="B42" s="14" t="d">
        <x:v>2026-02-01T00:00:00.000Z</x:v>
      </x:c>
      <x:c r="C42" s="27" t="n">
        <x:f>'Supply'!C42</x:f>
        <x:v>250</x:v>
      </x:c>
      <x:c r="D42" s="27" t="n">
        <x:f>IF(ISNUMBER('Supply'!D42),'Supply'!D42,C42)</x:f>
        <x:v>250</x:v>
      </x:c>
      <x:c r="E42" s="27" t="n">
        <x:f>'Products'!D8*INDEX('Assumptions'!$C$16:$N$16,1,MONTH(B42))</x:f>
        <x:v>134</x:v>
      </x:c>
      <x:c r="F42" s="27" t="n">
        <x:f>D42*E42</x:f>
        <x:v>33500</x:v>
      </x:c>
    </x:row>
    <x:row r="43" ht="23" customHeight="1">
      <x:c r="A43" s="34" t="str">
        <x:v>0004</x:v>
      </x:c>
      <x:c r="B43" s="14" t="d">
        <x:v>2026-03-01T00:00:00.000Z</x:v>
      </x:c>
      <x:c r="C43" s="27" t="n">
        <x:f>'Supply'!C43</x:f>
        <x:v>250</x:v>
      </x:c>
      <x:c r="D43" s="27" t="n">
        <x:f>IF(ISNUMBER('Supply'!D43),'Supply'!D43,C43)</x:f>
        <x:v>250</x:v>
      </x:c>
      <x:c r="E43" s="27" t="n">
        <x:f>'Products'!D8*INDEX('Assumptions'!$C$16:$N$16,1,MONTH(B43))</x:f>
        <x:v>134</x:v>
      </x:c>
      <x:c r="F43" s="27" t="n">
        <x:f>D43*E43</x:f>
        <x:v>33500</x:v>
      </x:c>
    </x:row>
    <x:row r="44" ht="23" customHeight="1">
      <x:c r="A44" s="34" t="str">
        <x:v>0004</x:v>
      </x:c>
      <x:c r="B44" s="14" t="d">
        <x:v>2026-04-01T00:00:00.000Z</x:v>
      </x:c>
      <x:c r="C44" s="27" t="n">
        <x:f>'Supply'!C44</x:f>
        <x:v>250</x:v>
      </x:c>
      <x:c r="D44" s="27" t="n">
        <x:f>IF(ISNUMBER('Supply'!D44),'Supply'!D44,C44)</x:f>
        <x:v>250</x:v>
      </x:c>
      <x:c r="E44" s="27" t="n">
        <x:f>'Products'!D8*INDEX('Assumptions'!$C$16:$N$16,1,MONTH(B44))</x:f>
        <x:v>134</x:v>
      </x:c>
      <x:c r="F44" s="27" t="n">
        <x:f>D44*E44</x:f>
        <x:v>33500</x:v>
      </x:c>
    </x:row>
    <x:row r="45" ht="23" customHeight="1">
      <x:c r="A45" s="34" t="str">
        <x:v>0004</x:v>
      </x:c>
      <x:c r="B45" s="14" t="d">
        <x:v>2026-05-01T00:00:00.000Z</x:v>
      </x:c>
      <x:c r="C45" s="27" t="n">
        <x:f>'Supply'!C45</x:f>
        <x:v>250</x:v>
      </x:c>
      <x:c r="D45" s="27" t="n">
        <x:f>IF(ISNUMBER('Supply'!D45),'Supply'!D45,C45)</x:f>
        <x:v>250</x:v>
      </x:c>
      <x:c r="E45" s="27" t="n">
        <x:f>'Products'!D8*INDEX('Assumptions'!$C$16:$N$16,1,MONTH(B45))</x:f>
        <x:v>134</x:v>
      </x:c>
      <x:c r="F45" s="27" t="n">
        <x:f>D45*E45</x:f>
        <x:v>33500</x:v>
      </x:c>
    </x:row>
    <x:row r="46" ht="23" customHeight="1">
      <x:c r="A46" s="34" t="str">
        <x:v>0004</x:v>
      </x:c>
      <x:c r="B46" s="14" t="d">
        <x:v>2026-06-01T00:00:00.000Z</x:v>
      </x:c>
      <x:c r="C46" s="27" t="n">
        <x:f>'Supply'!C46</x:f>
        <x:v>250</x:v>
      </x:c>
      <x:c r="D46" s="27" t="n">
        <x:f>IF(ISNUMBER('Supply'!D46),'Supply'!D46,C46)</x:f>
        <x:v>250</x:v>
      </x:c>
      <x:c r="E46" s="27" t="n">
        <x:f>'Products'!D8*INDEX('Assumptions'!$C$16:$N$16,1,MONTH(B46))</x:f>
        <x:v>134</x:v>
      </x:c>
      <x:c r="F46" s="27" t="n">
        <x:f>D46*E46</x:f>
        <x:v>33500</x:v>
      </x:c>
    </x:row>
    <x:row r="47" ht="23" customHeight="1">
      <x:c r="A47" s="34" t="str">
        <x:v>0004</x:v>
      </x:c>
      <x:c r="B47" s="14" t="d">
        <x:v>2026-07-01T00:00:00.000Z</x:v>
      </x:c>
      <x:c r="C47" s="27" t="n">
        <x:f>'Supply'!C47</x:f>
        <x:v>444</x:v>
      </x:c>
      <x:c r="D47" s="27" t="n">
        <x:f>IF(ISNUMBER('Supply'!D47),'Supply'!D47,C47)</x:f>
        <x:v>444</x:v>
      </x:c>
      <x:c r="E47" s="27" t="n">
        <x:f>'Products'!D8*INDEX('Assumptions'!$C$16:$N$16,1,MONTH(B47))</x:f>
        <x:v>136.68</x:v>
      </x:c>
      <x:c r="F47" s="27" t="n">
        <x:f>D47*E47</x:f>
        <x:v>60685.920000000006</x:v>
      </x:c>
    </x:row>
    <x:row r="48" ht="23" customHeight="1">
      <x:c r="A48" s="34" t="str">
        <x:v>0004</x:v>
      </x:c>
      <x:c r="B48" s="14" t="d">
        <x:v>2026-08-01T00:00:00.000Z</x:v>
      </x:c>
      <x:c r="C48" s="27" t="n">
        <x:f>'Supply'!C48</x:f>
        <x:v>444</x:v>
      </x:c>
      <x:c r="D48" s="27" t="n">
        <x:f>IF(ISNUMBER('Supply'!D48),'Supply'!D48,C48)</x:f>
        <x:v>444</x:v>
      </x:c>
      <x:c r="E48" s="27" t="n">
        <x:f>'Products'!D8*INDEX('Assumptions'!$C$16:$N$16,1,MONTH(B48))</x:f>
        <x:v>136.68</x:v>
      </x:c>
      <x:c r="F48" s="27" t="n">
        <x:f>D48*E48</x:f>
        <x:v>60685.920000000006</x:v>
      </x:c>
    </x:row>
    <x:row r="49" ht="23" customHeight="1">
      <x:c r="A49" s="34" t="str">
        <x:v>0004</x:v>
      </x:c>
      <x:c r="B49" s="14" t="d">
        <x:v>2026-09-01T00:00:00.000Z</x:v>
      </x:c>
      <x:c r="C49" s="27" t="n">
        <x:f>'Supply'!C49</x:f>
        <x:v>444</x:v>
      </x:c>
      <x:c r="D49" s="27" t="n">
        <x:f>IF(ISNUMBER('Supply'!D49),'Supply'!D49,C49)</x:f>
        <x:v>444</x:v>
      </x:c>
      <x:c r="E49" s="27" t="n">
        <x:f>'Products'!D8*INDEX('Assumptions'!$C$16:$N$16,1,MONTH(B49))</x:f>
        <x:v>136.68</x:v>
      </x:c>
      <x:c r="F49" s="27" t="n">
        <x:f>D49*E49</x:f>
        <x:v>60685.920000000006</x:v>
      </x:c>
    </x:row>
    <x:row r="50" ht="23" customHeight="1">
      <x:c r="A50" s="34" t="str">
        <x:v>0004</x:v>
      </x:c>
      <x:c r="B50" s="14" t="d">
        <x:v>2026-10-01T00:00:00.000Z</x:v>
      </x:c>
      <x:c r="C50" s="27" t="n">
        <x:f>'Supply'!C50</x:f>
        <x:v>444</x:v>
      </x:c>
      <x:c r="D50" s="27" t="n">
        <x:f>IF(ISNUMBER('Supply'!D50),'Supply'!D50,C50)</x:f>
        <x:v>444</x:v>
      </x:c>
      <x:c r="E50" s="27" t="n">
        <x:f>'Products'!D8*INDEX('Assumptions'!$C$16:$N$16,1,MONTH(B50))</x:f>
        <x:v>136.68</x:v>
      </x:c>
      <x:c r="F50" s="27" t="n">
        <x:f>D50*E50</x:f>
        <x:v>60685.920000000006</x:v>
      </x:c>
    </x:row>
    <x:row r="51" ht="23" customHeight="1">
      <x:c r="A51" s="34" t="str">
        <x:v>0004</x:v>
      </x:c>
      <x:c r="B51" s="14" t="d">
        <x:v>2026-11-01T00:00:00.000Z</x:v>
      </x:c>
      <x:c r="C51" s="27" t="n">
        <x:f>'Supply'!C51</x:f>
        <x:v>444</x:v>
      </x:c>
      <x:c r="D51" s="27" t="n">
        <x:f>IF(ISNUMBER('Supply'!D51),'Supply'!D51,C51)</x:f>
        <x:v>444</x:v>
      </x:c>
      <x:c r="E51" s="27" t="n">
        <x:f>'Products'!D8*INDEX('Assumptions'!$C$16:$N$16,1,MONTH(B51))</x:f>
        <x:v>136.68</x:v>
      </x:c>
      <x:c r="F51" s="27" t="n">
        <x:f>D51*E51</x:f>
        <x:v>60685.920000000006</x:v>
      </x:c>
    </x:row>
    <x:row r="52" ht="23" customHeight="1">
      <x:c r="A52" s="34" t="str">
        <x:v>0004</x:v>
      </x:c>
      <x:c r="B52" s="14" t="d">
        <x:v>2026-12-01T00:00:00.000Z</x:v>
      </x:c>
      <x:c r="C52" s="27" t="n">
        <x:f>'Supply'!C52</x:f>
        <x:v>444</x:v>
      </x:c>
      <x:c r="D52" s="27" t="n">
        <x:f>IF(ISNUMBER('Supply'!D52),'Supply'!D52,C52)</x:f>
        <x:v>444</x:v>
      </x:c>
      <x:c r="E52" s="27" t="n">
        <x:f>'Products'!D8*INDEX('Assumptions'!$C$16:$N$16,1,MONTH(B52))</x:f>
        <x:v>136.68</x:v>
      </x:c>
      <x:c r="F52" s="27" t="n">
        <x:f>D52*E52</x:f>
        <x:v>60685.920000000006</x:v>
      </x:c>
    </x:row>
    <x:row r="53" ht="23" customHeight="1">
      <x:c r="A53" s="34" t="str">
        <x:v>0005</x:v>
      </x:c>
      <x:c r="B53" s="14" t="d">
        <x:v>2026-01-01T00:00:00.000Z</x:v>
      </x:c>
      <x:c r="C53" s="27" t="n">
        <x:f>'Supply'!C53</x:f>
        <x:v>260</x:v>
      </x:c>
      <x:c r="D53" s="27" t="n">
        <x:f>IF(ISNUMBER('Supply'!D53),'Supply'!D53,C53)</x:f>
        <x:v>260</x:v>
      </x:c>
      <x:c r="E53" s="27" t="n">
        <x:f>'Products'!D9*INDEX('Assumptions'!$C$16:$N$16,1,MONTH(B53))</x:f>
        <x:v>147</x:v>
      </x:c>
      <x:c r="F53" s="27" t="n">
        <x:f>D53*E53</x:f>
        <x:v>38220</x:v>
      </x:c>
    </x:row>
    <x:row r="54" ht="23" customHeight="1">
      <x:c r="A54" s="34" t="str">
        <x:v>0005</x:v>
      </x:c>
      <x:c r="B54" s="14" t="d">
        <x:v>2026-02-01T00:00:00.000Z</x:v>
      </x:c>
      <x:c r="C54" s="27" t="n">
        <x:f>'Supply'!C54</x:f>
        <x:v>260</x:v>
      </x:c>
      <x:c r="D54" s="27" t="n">
        <x:f>IF(ISNUMBER('Supply'!D54),'Supply'!D54,C54)</x:f>
        <x:v>260</x:v>
      </x:c>
      <x:c r="E54" s="27" t="n">
        <x:f>'Products'!D9*INDEX('Assumptions'!$C$16:$N$16,1,MONTH(B54))</x:f>
        <x:v>147</x:v>
      </x:c>
      <x:c r="F54" s="27" t="n">
        <x:f>D54*E54</x:f>
        <x:v>38220</x:v>
      </x:c>
    </x:row>
    <x:row r="55" ht="23" customHeight="1">
      <x:c r="A55" s="34" t="str">
        <x:v>0005</x:v>
      </x:c>
      <x:c r="B55" s="14" t="d">
        <x:v>2026-03-01T00:00:00.000Z</x:v>
      </x:c>
      <x:c r="C55" s="27" t="n">
        <x:f>'Supply'!C55</x:f>
        <x:v>260</x:v>
      </x:c>
      <x:c r="D55" s="27" t="n">
        <x:f>IF(ISNUMBER('Supply'!D55),'Supply'!D55,C55)</x:f>
        <x:v>260</x:v>
      </x:c>
      <x:c r="E55" s="27" t="n">
        <x:f>'Products'!D9*INDEX('Assumptions'!$C$16:$N$16,1,MONTH(B55))</x:f>
        <x:v>147</x:v>
      </x:c>
      <x:c r="F55" s="27" t="n">
        <x:f>D55*E55</x:f>
        <x:v>38220</x:v>
      </x:c>
    </x:row>
    <x:row r="56" ht="23" customHeight="1">
      <x:c r="A56" s="34" t="str">
        <x:v>0005</x:v>
      </x:c>
      <x:c r="B56" s="14" t="d">
        <x:v>2026-04-01T00:00:00.000Z</x:v>
      </x:c>
      <x:c r="C56" s="27" t="n">
        <x:f>'Supply'!C56</x:f>
        <x:v>260</x:v>
      </x:c>
      <x:c r="D56" s="27" t="n">
        <x:f>IF(ISNUMBER('Supply'!D56),'Supply'!D56,C56)</x:f>
        <x:v>260</x:v>
      </x:c>
      <x:c r="E56" s="27" t="n">
        <x:f>'Products'!D9*INDEX('Assumptions'!$C$16:$N$16,1,MONTH(B56))</x:f>
        <x:v>147</x:v>
      </x:c>
      <x:c r="F56" s="27" t="n">
        <x:f>D56*E56</x:f>
        <x:v>38220</x:v>
      </x:c>
    </x:row>
    <x:row r="57" ht="23" customHeight="1">
      <x:c r="A57" s="34" t="str">
        <x:v>0005</x:v>
      </x:c>
      <x:c r="B57" s="14" t="d">
        <x:v>2026-05-01T00:00:00.000Z</x:v>
      </x:c>
      <x:c r="C57" s="27" t="n">
        <x:f>'Supply'!C57</x:f>
        <x:v>260</x:v>
      </x:c>
      <x:c r="D57" s="27" t="n">
        <x:f>IF(ISNUMBER('Supply'!D57),'Supply'!D57,C57)</x:f>
        <x:v>260</x:v>
      </x:c>
      <x:c r="E57" s="27" t="n">
        <x:f>'Products'!D9*INDEX('Assumptions'!$C$16:$N$16,1,MONTH(B57))</x:f>
        <x:v>147</x:v>
      </x:c>
      <x:c r="F57" s="27" t="n">
        <x:f>D57*E57</x:f>
        <x:v>38220</x:v>
      </x:c>
    </x:row>
    <x:row r="58" ht="23" customHeight="1">
      <x:c r="A58" s="34" t="str">
        <x:v>0005</x:v>
      </x:c>
      <x:c r="B58" s="14" t="d">
        <x:v>2026-06-01T00:00:00.000Z</x:v>
      </x:c>
      <x:c r="C58" s="27" t="n">
        <x:f>'Supply'!C58</x:f>
        <x:v>260</x:v>
      </x:c>
      <x:c r="D58" s="27" t="n">
        <x:f>IF(ISNUMBER('Supply'!D58),'Supply'!D58,C58)</x:f>
        <x:v>260</x:v>
      </x:c>
      <x:c r="E58" s="27" t="n">
        <x:f>'Products'!D9*INDEX('Assumptions'!$C$16:$N$16,1,MONTH(B58))</x:f>
        <x:v>147</x:v>
      </x:c>
      <x:c r="F58" s="27" t="n">
        <x:f>D58*E58</x:f>
        <x:v>38220</x:v>
      </x:c>
    </x:row>
    <x:row r="59" ht="23" customHeight="1">
      <x:c r="A59" s="34" t="str">
        <x:v>0005</x:v>
      </x:c>
      <x:c r="B59" s="14" t="d">
        <x:v>2026-07-01T00:00:00.000Z</x:v>
      </x:c>
      <x:c r="C59" s="27" t="n">
        <x:f>'Supply'!C59</x:f>
        <x:v>462</x:v>
      </x:c>
      <x:c r="D59" s="27" t="n">
        <x:f>IF(ISNUMBER('Supply'!D59),'Supply'!D59,C59)</x:f>
        <x:v>462</x:v>
      </x:c>
      <x:c r="E59" s="27" t="n">
        <x:f>'Products'!D9*INDEX('Assumptions'!$C$16:$N$16,1,MONTH(B59))</x:f>
        <x:v>149.94</x:v>
      </x:c>
      <x:c r="F59" s="27" t="n">
        <x:f>D59*E59</x:f>
        <x:v>69272.28</x:v>
      </x:c>
    </x:row>
    <x:row r="60" ht="23" customHeight="1">
      <x:c r="A60" s="34" t="str">
        <x:v>0005</x:v>
      </x:c>
      <x:c r="B60" s="14" t="d">
        <x:v>2026-08-01T00:00:00.000Z</x:v>
      </x:c>
      <x:c r="C60" s="27" t="n">
        <x:f>'Supply'!C60</x:f>
        <x:v>462</x:v>
      </x:c>
      <x:c r="D60" s="27" t="n">
        <x:f>IF(ISNUMBER('Supply'!D60),'Supply'!D60,C60)</x:f>
        <x:v>462</x:v>
      </x:c>
      <x:c r="E60" s="27" t="n">
        <x:f>'Products'!D9*INDEX('Assumptions'!$C$16:$N$16,1,MONTH(B60))</x:f>
        <x:v>149.94</x:v>
      </x:c>
      <x:c r="F60" s="27" t="n">
        <x:f>D60*E60</x:f>
        <x:v>69272.28</x:v>
      </x:c>
    </x:row>
    <x:row r="61" ht="23" customHeight="1">
      <x:c r="A61" s="34" t="str">
        <x:v>0005</x:v>
      </x:c>
      <x:c r="B61" s="14" t="d">
        <x:v>2026-09-01T00:00:00.000Z</x:v>
      </x:c>
      <x:c r="C61" s="27" t="n">
        <x:f>'Supply'!C61</x:f>
        <x:v>462</x:v>
      </x:c>
      <x:c r="D61" s="27" t="n">
        <x:f>IF(ISNUMBER('Supply'!D61),'Supply'!D61,C61)</x:f>
        <x:v>462</x:v>
      </x:c>
      <x:c r="E61" s="27" t="n">
        <x:f>'Products'!D9*INDEX('Assumptions'!$C$16:$N$16,1,MONTH(B61))</x:f>
        <x:v>149.94</x:v>
      </x:c>
      <x:c r="F61" s="27" t="n">
        <x:f>D61*E61</x:f>
        <x:v>69272.28</x:v>
      </x:c>
    </x:row>
    <x:row r="62" ht="23" customHeight="1">
      <x:c r="A62" s="34" t="str">
        <x:v>0005</x:v>
      </x:c>
      <x:c r="B62" s="14" t="d">
        <x:v>2026-10-01T00:00:00.000Z</x:v>
      </x:c>
      <x:c r="C62" s="27" t="n">
        <x:f>'Supply'!C62</x:f>
        <x:v>462</x:v>
      </x:c>
      <x:c r="D62" s="27" t="n">
        <x:f>IF(ISNUMBER('Supply'!D62),'Supply'!D62,C62)</x:f>
        <x:v>462</x:v>
      </x:c>
      <x:c r="E62" s="27" t="n">
        <x:f>'Products'!D9*INDEX('Assumptions'!$C$16:$N$16,1,MONTH(B62))</x:f>
        <x:v>149.94</x:v>
      </x:c>
      <x:c r="F62" s="27" t="n">
        <x:f>D62*E62</x:f>
        <x:v>69272.28</x:v>
      </x:c>
    </x:row>
    <x:row r="63" ht="23" customHeight="1">
      <x:c r="A63" s="34" t="str">
        <x:v>0005</x:v>
      </x:c>
      <x:c r="B63" s="14" t="d">
        <x:v>2026-11-01T00:00:00.000Z</x:v>
      </x:c>
      <x:c r="C63" s="27" t="n">
        <x:f>'Supply'!C63</x:f>
        <x:v>462</x:v>
      </x:c>
      <x:c r="D63" s="27" t="n">
        <x:f>IF(ISNUMBER('Supply'!D63),'Supply'!D63,C63)</x:f>
        <x:v>462</x:v>
      </x:c>
      <x:c r="E63" s="27" t="n">
        <x:f>'Products'!D9*INDEX('Assumptions'!$C$16:$N$16,1,MONTH(B63))</x:f>
        <x:v>149.94</x:v>
      </x:c>
      <x:c r="F63" s="27" t="n">
        <x:f>D63*E63</x:f>
        <x:v>69272.28</x:v>
      </x:c>
    </x:row>
    <x:row r="64" ht="23" customHeight="1">
      <x:c r="A64" s="34" t="str">
        <x:v>0005</x:v>
      </x:c>
      <x:c r="B64" s="14" t="d">
        <x:v>2026-12-01T00:00:00.000Z</x:v>
      </x:c>
      <x:c r="C64" s="27" t="n">
        <x:f>'Supply'!C64</x:f>
        <x:v>462</x:v>
      </x:c>
      <x:c r="D64" s="27" t="n">
        <x:f>IF(ISNUMBER('Supply'!D64),'Supply'!D64,C64)</x:f>
        <x:v>462</x:v>
      </x:c>
      <x:c r="E64" s="27" t="n">
        <x:f>'Products'!D9*INDEX('Assumptions'!$C$16:$N$16,1,MONTH(B64))</x:f>
        <x:v>149.94</x:v>
      </x:c>
      <x:c r="F64" s="27" t="n">
        <x:f>D64*E64</x:f>
        <x:v>69272.28</x:v>
      </x:c>
    </x:row>
    <x:row r="65" ht="23" customHeight="1">
      <x:c r="A65" s="34" t="str">
        <x:v>0006</x:v>
      </x:c>
      <x:c r="B65" s="14" t="d">
        <x:v>2026-01-01T00:00:00.000Z</x:v>
      </x:c>
      <x:c r="C65" s="27" t="n">
        <x:f>'Supply'!C65</x:f>
        <x:v>270</x:v>
      </x:c>
      <x:c r="D65" s="27" t="n">
        <x:f>IF(ISNUMBER('Supply'!D65),'Supply'!D65,C65)</x:f>
        <x:v>270</x:v>
      </x:c>
      <x:c r="E65" s="27" t="n">
        <x:f>'Products'!D10*INDEX('Assumptions'!$C$16:$N$16,1,MONTH(B65))</x:f>
        <x:v>160</x:v>
      </x:c>
      <x:c r="F65" s="27" t="n">
        <x:f>D65*E65</x:f>
        <x:v>43200</x:v>
      </x:c>
    </x:row>
    <x:row r="66" ht="23" customHeight="1">
      <x:c r="A66" s="34" t="str">
        <x:v>0006</x:v>
      </x:c>
      <x:c r="B66" s="14" t="d">
        <x:v>2026-02-01T00:00:00.000Z</x:v>
      </x:c>
      <x:c r="C66" s="27" t="n">
        <x:f>'Supply'!C66</x:f>
        <x:v>270</x:v>
      </x:c>
      <x:c r="D66" s="27" t="n">
        <x:f>IF(ISNUMBER('Supply'!D66),'Supply'!D66,C66)</x:f>
        <x:v>270</x:v>
      </x:c>
      <x:c r="E66" s="27" t="n">
        <x:f>'Products'!D10*INDEX('Assumptions'!$C$16:$N$16,1,MONTH(B66))</x:f>
        <x:v>160</x:v>
      </x:c>
      <x:c r="F66" s="27" t="n">
        <x:f>D66*E66</x:f>
        <x:v>43200</x:v>
      </x:c>
    </x:row>
    <x:row r="67" ht="23" customHeight="1">
      <x:c r="A67" s="34" t="str">
        <x:v>0006</x:v>
      </x:c>
      <x:c r="B67" s="14" t="d">
        <x:v>2026-03-01T00:00:00.000Z</x:v>
      </x:c>
      <x:c r="C67" s="27" t="n">
        <x:f>'Supply'!C67</x:f>
        <x:v>270</x:v>
      </x:c>
      <x:c r="D67" s="27" t="n">
        <x:f>IF(ISNUMBER('Supply'!D67),'Supply'!D67,C67)</x:f>
        <x:v>270</x:v>
      </x:c>
      <x:c r="E67" s="27" t="n">
        <x:f>'Products'!D10*INDEX('Assumptions'!$C$16:$N$16,1,MONTH(B67))</x:f>
        <x:v>160</x:v>
      </x:c>
      <x:c r="F67" s="27" t="n">
        <x:f>D67*E67</x:f>
        <x:v>43200</x:v>
      </x:c>
    </x:row>
    <x:row r="68" ht="23" customHeight="1">
      <x:c r="A68" s="34" t="str">
        <x:v>0006</x:v>
      </x:c>
      <x:c r="B68" s="14" t="d">
        <x:v>2026-04-01T00:00:00.000Z</x:v>
      </x:c>
      <x:c r="C68" s="27" t="n">
        <x:f>'Supply'!C68</x:f>
        <x:v>270</x:v>
      </x:c>
      <x:c r="D68" s="27" t="n">
        <x:f>IF(ISNUMBER('Supply'!D68),'Supply'!D68,C68)</x:f>
        <x:v>270</x:v>
      </x:c>
      <x:c r="E68" s="27" t="n">
        <x:f>'Products'!D10*INDEX('Assumptions'!$C$16:$N$16,1,MONTH(B68))</x:f>
        <x:v>160</x:v>
      </x:c>
      <x:c r="F68" s="27" t="n">
        <x:f>D68*E68</x:f>
        <x:v>43200</x:v>
      </x:c>
    </x:row>
    <x:row r="69" ht="23" customHeight="1">
      <x:c r="A69" s="34" t="str">
        <x:v>0006</x:v>
      </x:c>
      <x:c r="B69" s="14" t="d">
        <x:v>2026-05-01T00:00:00.000Z</x:v>
      </x:c>
      <x:c r="C69" s="27" t="n">
        <x:f>'Supply'!C69</x:f>
        <x:v>270</x:v>
      </x:c>
      <x:c r="D69" s="27" t="n">
        <x:f>IF(ISNUMBER('Supply'!D69),'Supply'!D69,C69)</x:f>
        <x:v>270</x:v>
      </x:c>
      <x:c r="E69" s="27" t="n">
        <x:f>'Products'!D10*INDEX('Assumptions'!$C$16:$N$16,1,MONTH(B69))</x:f>
        <x:v>160</x:v>
      </x:c>
      <x:c r="F69" s="27" t="n">
        <x:f>D69*E69</x:f>
        <x:v>43200</x:v>
      </x:c>
    </x:row>
    <x:row r="70" ht="23" customHeight="1">
      <x:c r="A70" s="34" t="str">
        <x:v>0006</x:v>
      </x:c>
      <x:c r="B70" s="14" t="d">
        <x:v>2026-06-01T00:00:00.000Z</x:v>
      </x:c>
      <x:c r="C70" s="27" t="n">
        <x:f>'Supply'!C70</x:f>
        <x:v>270</x:v>
      </x:c>
      <x:c r="D70" s="27" t="n">
        <x:f>IF(ISNUMBER('Supply'!D70),'Supply'!D70,C70)</x:f>
        <x:v>270</x:v>
      </x:c>
      <x:c r="E70" s="27" t="n">
        <x:f>'Products'!D10*INDEX('Assumptions'!$C$16:$N$16,1,MONTH(B70))</x:f>
        <x:v>160</x:v>
      </x:c>
      <x:c r="F70" s="27" t="n">
        <x:f>D70*E70</x:f>
        <x:v>43200</x:v>
      </x:c>
    </x:row>
    <x:row r="71" ht="23" customHeight="1">
      <x:c r="A71" s="34" t="str">
        <x:v>0006</x:v>
      </x:c>
      <x:c r="B71" s="14" t="d">
        <x:v>2026-07-01T00:00:00.000Z</x:v>
      </x:c>
      <x:c r="C71" s="27" t="n">
        <x:f>'Supply'!C71</x:f>
        <x:v>480</x:v>
      </x:c>
      <x:c r="D71" s="27" t="n">
        <x:f>IF(ISNUMBER('Supply'!D71),'Supply'!D71,C71)</x:f>
        <x:v>480</x:v>
      </x:c>
      <x:c r="E71" s="27" t="n">
        <x:f>'Products'!D10*INDEX('Assumptions'!$C$16:$N$16,1,MONTH(B71))</x:f>
        <x:v>163.2</x:v>
      </x:c>
      <x:c r="F71" s="27" t="n">
        <x:f>D71*E71</x:f>
        <x:v>78336</x:v>
      </x:c>
    </x:row>
    <x:row r="72" ht="23" customHeight="1">
      <x:c r="A72" s="34" t="str">
        <x:v>0006</x:v>
      </x:c>
      <x:c r="B72" s="14" t="d">
        <x:v>2026-08-01T00:00:00.000Z</x:v>
      </x:c>
      <x:c r="C72" s="27" t="n">
        <x:f>'Supply'!C72</x:f>
        <x:v>480</x:v>
      </x:c>
      <x:c r="D72" s="27" t="n">
        <x:f>IF(ISNUMBER('Supply'!D72),'Supply'!D72,C72)</x:f>
        <x:v>480</x:v>
      </x:c>
      <x:c r="E72" s="27" t="n">
        <x:f>'Products'!D10*INDEX('Assumptions'!$C$16:$N$16,1,MONTH(B72))</x:f>
        <x:v>163.2</x:v>
      </x:c>
      <x:c r="F72" s="27" t="n">
        <x:f>D72*E72</x:f>
        <x:v>78336</x:v>
      </x:c>
    </x:row>
    <x:row r="73" ht="23" customHeight="1">
      <x:c r="A73" s="34" t="str">
        <x:v>0006</x:v>
      </x:c>
      <x:c r="B73" s="14" t="d">
        <x:v>2026-09-01T00:00:00.000Z</x:v>
      </x:c>
      <x:c r="C73" s="27" t="n">
        <x:f>'Supply'!C73</x:f>
        <x:v>480</x:v>
      </x:c>
      <x:c r="D73" s="27" t="n">
        <x:f>IF(ISNUMBER('Supply'!D73),'Supply'!D73,C73)</x:f>
        <x:v>480</x:v>
      </x:c>
      <x:c r="E73" s="27" t="n">
        <x:f>'Products'!D10*INDEX('Assumptions'!$C$16:$N$16,1,MONTH(B73))</x:f>
        <x:v>163.2</x:v>
      </x:c>
      <x:c r="F73" s="27" t="n">
        <x:f>D73*E73</x:f>
        <x:v>78336</x:v>
      </x:c>
    </x:row>
    <x:row r="74" ht="23" customHeight="1">
      <x:c r="A74" s="34" t="str">
        <x:v>0006</x:v>
      </x:c>
      <x:c r="B74" s="14" t="d">
        <x:v>2026-10-01T00:00:00.000Z</x:v>
      </x:c>
      <x:c r="C74" s="27" t="n">
        <x:f>'Supply'!C74</x:f>
        <x:v>480</x:v>
      </x:c>
      <x:c r="D74" s="27" t="n">
        <x:f>IF(ISNUMBER('Supply'!D74),'Supply'!D74,C74)</x:f>
        <x:v>480</x:v>
      </x:c>
      <x:c r="E74" s="27" t="n">
        <x:f>'Products'!D10*INDEX('Assumptions'!$C$16:$N$16,1,MONTH(B74))</x:f>
        <x:v>163.2</x:v>
      </x:c>
      <x:c r="F74" s="27" t="n">
        <x:f>D74*E74</x:f>
        <x:v>78336</x:v>
      </x:c>
    </x:row>
    <x:row r="75" ht="23" customHeight="1">
      <x:c r="A75" s="34" t="str">
        <x:v>0006</x:v>
      </x:c>
      <x:c r="B75" s="14" t="d">
        <x:v>2026-11-01T00:00:00.000Z</x:v>
      </x:c>
      <x:c r="C75" s="27" t="n">
        <x:f>'Supply'!C75</x:f>
        <x:v>480</x:v>
      </x:c>
      <x:c r="D75" s="27" t="n">
        <x:f>IF(ISNUMBER('Supply'!D75),'Supply'!D75,C75)</x:f>
        <x:v>480</x:v>
      </x:c>
      <x:c r="E75" s="27" t="n">
        <x:f>'Products'!D10*INDEX('Assumptions'!$C$16:$N$16,1,MONTH(B75))</x:f>
        <x:v>163.2</x:v>
      </x:c>
      <x:c r="F75" s="27" t="n">
        <x:f>D75*E75</x:f>
        <x:v>78336</x:v>
      </x:c>
    </x:row>
    <x:row r="76" ht="23" customHeight="1">
      <x:c r="A76" s="34" t="str">
        <x:v>0006</x:v>
      </x:c>
      <x:c r="B76" s="14" t="d">
        <x:v>2026-12-01T00:00:00.000Z</x:v>
      </x:c>
      <x:c r="C76" s="27" t="n">
        <x:f>'Supply'!C76</x:f>
        <x:v>480</x:v>
      </x:c>
      <x:c r="D76" s="27" t="n">
        <x:f>IF(ISNUMBER('Supply'!D76),'Supply'!D76,C76)</x:f>
        <x:v>480</x:v>
      </x:c>
      <x:c r="E76" s="27" t="n">
        <x:f>'Products'!D10*INDEX('Assumptions'!$C$16:$N$16,1,MONTH(B76))</x:f>
        <x:v>163.2</x:v>
      </x:c>
      <x:c r="F76" s="27" t="n">
        <x:f>D76*E76</x:f>
        <x:v>78336</x:v>
      </x:c>
    </x:row>
    <x:row r="77" ht="23" customHeight="1">
      <x:c r="A77" s="34" t="str">
        <x:v>0007</x:v>
      </x:c>
      <x:c r="B77" s="14" t="d">
        <x:v>2026-01-01T00:00:00.000Z</x:v>
      </x:c>
      <x:c r="C77" s="27" t="n">
        <x:f>'Supply'!C77</x:f>
        <x:v>280</x:v>
      </x:c>
      <x:c r="D77" s="27" t="n">
        <x:f>IF(ISNUMBER('Supply'!D77),'Supply'!D77,C77)</x:f>
        <x:v>280</x:v>
      </x:c>
      <x:c r="E77" s="27" t="n">
        <x:f>'Products'!D11*INDEX('Assumptions'!$C$16:$N$16,1,MONTH(B77))</x:f>
        <x:v>173</x:v>
      </x:c>
      <x:c r="F77" s="27" t="n">
        <x:f>D77*E77</x:f>
        <x:v>48440</x:v>
      </x:c>
    </x:row>
    <x:row r="78" ht="23" customHeight="1">
      <x:c r="A78" s="34" t="str">
        <x:v>0007</x:v>
      </x:c>
      <x:c r="B78" s="14" t="d">
        <x:v>2026-02-01T00:00:00.000Z</x:v>
      </x:c>
      <x:c r="C78" s="27" t="n">
        <x:f>'Supply'!C78</x:f>
        <x:v>280</x:v>
      </x:c>
      <x:c r="D78" s="27" t="n">
        <x:f>IF(ISNUMBER('Supply'!D78),'Supply'!D78,C78)</x:f>
        <x:v>280</x:v>
      </x:c>
      <x:c r="E78" s="27" t="n">
        <x:f>'Products'!D11*INDEX('Assumptions'!$C$16:$N$16,1,MONTH(B78))</x:f>
        <x:v>173</x:v>
      </x:c>
      <x:c r="F78" s="27" t="n">
        <x:f>D78*E78</x:f>
        <x:v>48440</x:v>
      </x:c>
    </x:row>
    <x:row r="79" ht="23" customHeight="1">
      <x:c r="A79" s="34" t="str">
        <x:v>0007</x:v>
      </x:c>
      <x:c r="B79" s="14" t="d">
        <x:v>2026-03-01T00:00:00.000Z</x:v>
      </x:c>
      <x:c r="C79" s="27" t="n">
        <x:f>'Supply'!C79</x:f>
        <x:v>280</x:v>
      </x:c>
      <x:c r="D79" s="27" t="n">
        <x:f>IF(ISNUMBER('Supply'!D79),'Supply'!D79,C79)</x:f>
        <x:v>280</x:v>
      </x:c>
      <x:c r="E79" s="27" t="n">
        <x:f>'Products'!D11*INDEX('Assumptions'!$C$16:$N$16,1,MONTH(B79))</x:f>
        <x:v>173</x:v>
      </x:c>
      <x:c r="F79" s="27" t="n">
        <x:f>D79*E79</x:f>
        <x:v>48440</x:v>
      </x:c>
    </x:row>
    <x:row r="80" ht="23" customHeight="1">
      <x:c r="A80" s="34" t="str">
        <x:v>0007</x:v>
      </x:c>
      <x:c r="B80" s="14" t="d">
        <x:v>2026-04-01T00:00:00.000Z</x:v>
      </x:c>
      <x:c r="C80" s="27" t="n">
        <x:f>'Supply'!C80</x:f>
        <x:v>280</x:v>
      </x:c>
      <x:c r="D80" s="27" t="n">
        <x:f>IF(ISNUMBER('Supply'!D80),'Supply'!D80,C80)</x:f>
        <x:v>280</x:v>
      </x:c>
      <x:c r="E80" s="27" t="n">
        <x:f>'Products'!D11*INDEX('Assumptions'!$C$16:$N$16,1,MONTH(B80))</x:f>
        <x:v>173</x:v>
      </x:c>
      <x:c r="F80" s="27" t="n">
        <x:f>D80*E80</x:f>
        <x:v>48440</x:v>
      </x:c>
    </x:row>
    <x:row r="81" ht="23" customHeight="1">
      <x:c r="A81" s="34" t="str">
        <x:v>0007</x:v>
      </x:c>
      <x:c r="B81" s="14" t="d">
        <x:v>2026-05-01T00:00:00.000Z</x:v>
      </x:c>
      <x:c r="C81" s="27" t="n">
        <x:f>'Supply'!C81</x:f>
        <x:v>280</x:v>
      </x:c>
      <x:c r="D81" s="27" t="n">
        <x:f>IF(ISNUMBER('Supply'!D81),'Supply'!D81,C81)</x:f>
        <x:v>280</x:v>
      </x:c>
      <x:c r="E81" s="27" t="n">
        <x:f>'Products'!D11*INDEX('Assumptions'!$C$16:$N$16,1,MONTH(B81))</x:f>
        <x:v>173</x:v>
      </x:c>
      <x:c r="F81" s="27" t="n">
        <x:f>D81*E81</x:f>
        <x:v>48440</x:v>
      </x:c>
    </x:row>
    <x:row r="82" ht="23" customHeight="1">
      <x:c r="A82" s="34" t="str">
        <x:v>0007</x:v>
      </x:c>
      <x:c r="B82" s="14" t="d">
        <x:v>2026-06-01T00:00:00.000Z</x:v>
      </x:c>
      <x:c r="C82" s="27" t="n">
        <x:f>'Supply'!C82</x:f>
        <x:v>280</x:v>
      </x:c>
      <x:c r="D82" s="27" t="n">
        <x:f>IF(ISNUMBER('Supply'!D82),'Supply'!D82,C82)</x:f>
        <x:v>280</x:v>
      </x:c>
      <x:c r="E82" s="27" t="n">
        <x:f>'Products'!D11*INDEX('Assumptions'!$C$16:$N$16,1,MONTH(B82))</x:f>
        <x:v>173</x:v>
      </x:c>
      <x:c r="F82" s="27" t="n">
        <x:f>D82*E82</x:f>
        <x:v>48440</x:v>
      </x:c>
    </x:row>
    <x:row r="83" ht="23" customHeight="1">
      <x:c r="A83" s="34" t="str">
        <x:v>0007</x:v>
      </x:c>
      <x:c r="B83" s="14" t="d">
        <x:v>2026-07-01T00:00:00.000Z</x:v>
      </x:c>
      <x:c r="C83" s="27" t="n">
        <x:f>'Supply'!C83</x:f>
        <x:v>498</x:v>
      </x:c>
      <x:c r="D83" s="27" t="n">
        <x:f>IF(ISNUMBER('Supply'!D83),'Supply'!D83,C83)</x:f>
        <x:v>498</x:v>
      </x:c>
      <x:c r="E83" s="27" t="n">
        <x:f>'Products'!D11*INDEX('Assumptions'!$C$16:$N$16,1,MONTH(B83))</x:f>
        <x:v>176.46</x:v>
      </x:c>
      <x:c r="F83" s="27" t="n">
        <x:f>D83*E83</x:f>
        <x:v>87877.08</x:v>
      </x:c>
    </x:row>
    <x:row r="84" ht="23" customHeight="1">
      <x:c r="A84" s="34" t="str">
        <x:v>0007</x:v>
      </x:c>
      <x:c r="B84" s="14" t="d">
        <x:v>2026-08-01T00:00:00.000Z</x:v>
      </x:c>
      <x:c r="C84" s="27" t="n">
        <x:f>'Supply'!C84</x:f>
        <x:v>498</x:v>
      </x:c>
      <x:c r="D84" s="27" t="n">
        <x:f>IF(ISNUMBER('Supply'!D84),'Supply'!D84,C84)</x:f>
        <x:v>498</x:v>
      </x:c>
      <x:c r="E84" s="27" t="n">
        <x:f>'Products'!D11*INDEX('Assumptions'!$C$16:$N$16,1,MONTH(B84))</x:f>
        <x:v>176.46</x:v>
      </x:c>
      <x:c r="F84" s="27" t="n">
        <x:f>D84*E84</x:f>
        <x:v>87877.08</x:v>
      </x:c>
    </x:row>
    <x:row r="85" ht="23" customHeight="1">
      <x:c r="A85" s="34" t="str">
        <x:v>0007</x:v>
      </x:c>
      <x:c r="B85" s="14" t="d">
        <x:v>2026-09-01T00:00:00.000Z</x:v>
      </x:c>
      <x:c r="C85" s="27" t="n">
        <x:f>'Supply'!C85</x:f>
        <x:v>498</x:v>
      </x:c>
      <x:c r="D85" s="27" t="n">
        <x:f>IF(ISNUMBER('Supply'!D85),'Supply'!D85,C85)</x:f>
        <x:v>0</x:v>
      </x:c>
      <x:c r="E85" s="27" t="n">
        <x:f>'Products'!D11*INDEX('Assumptions'!$C$16:$N$16,1,MONTH(B85))</x:f>
        <x:v>176.46</x:v>
      </x:c>
      <x:c r="F85" s="27" t="n">
        <x:f>D85*E85</x:f>
        <x:v>0</x:v>
      </x:c>
    </x:row>
    <x:row r="86" ht="23" customHeight="1">
      <x:c r="A86" s="34" t="str">
        <x:v>0007</x:v>
      </x:c>
      <x:c r="B86" s="14" t="d">
        <x:v>2026-10-01T00:00:00.000Z</x:v>
      </x:c>
      <x:c r="C86" s="27" t="n">
        <x:f>'Supply'!C86</x:f>
        <x:v>498</x:v>
      </x:c>
      <x:c r="D86" s="27" t="n">
        <x:f>IF(ISNUMBER('Supply'!D86),'Supply'!D86,C86)</x:f>
        <x:v>498</x:v>
      </x:c>
      <x:c r="E86" s="27" t="n">
        <x:f>'Products'!D11*INDEX('Assumptions'!$C$16:$N$16,1,MONTH(B86))</x:f>
        <x:v>176.46</x:v>
      </x:c>
      <x:c r="F86" s="27" t="n">
        <x:f>D86*E86</x:f>
        <x:v>87877.08</x:v>
      </x:c>
    </x:row>
    <x:row r="87" ht="23" customHeight="1">
      <x:c r="A87" s="34" t="str">
        <x:v>0007</x:v>
      </x:c>
      <x:c r="B87" s="14" t="d">
        <x:v>2026-11-01T00:00:00.000Z</x:v>
      </x:c>
      <x:c r="C87" s="27" t="n">
        <x:f>'Supply'!C87</x:f>
        <x:v>498</x:v>
      </x:c>
      <x:c r="D87" s="27" t="n">
        <x:f>IF(ISNUMBER('Supply'!D87),'Supply'!D87,C87)</x:f>
        <x:v>498</x:v>
      </x:c>
      <x:c r="E87" s="27" t="n">
        <x:f>'Products'!D11*INDEX('Assumptions'!$C$16:$N$16,1,MONTH(B87))</x:f>
        <x:v>176.46</x:v>
      </x:c>
      <x:c r="F87" s="27" t="n">
        <x:f>D87*E87</x:f>
        <x:v>87877.08</x:v>
      </x:c>
    </x:row>
    <x:row r="88" ht="23" customHeight="1">
      <x:c r="A88" s="34" t="str">
        <x:v>0007</x:v>
      </x:c>
      <x:c r="B88" s="14" t="d">
        <x:v>2026-12-01T00:00:00.000Z</x:v>
      </x:c>
      <x:c r="C88" s="27" t="n">
        <x:f>'Supply'!C88</x:f>
        <x:v>498</x:v>
      </x:c>
      <x:c r="D88" s="27" t="n">
        <x:f>IF(ISNUMBER('Supply'!D88),'Supply'!D88,C88)</x:f>
        <x:v>498</x:v>
      </x:c>
      <x:c r="E88" s="27" t="n">
        <x:f>'Products'!D11*INDEX('Assumptions'!$C$16:$N$16,1,MONTH(B88))</x:f>
        <x:v>176.46</x:v>
      </x:c>
      <x:c r="F88" s="27" t="n">
        <x:f>D88*E88</x:f>
        <x:v>87877.08</x:v>
      </x:c>
    </x:row>
    <x:row r="89" ht="23" customHeight="1">
      <x:c r="A89" s="34" t="str">
        <x:v>0008</x:v>
      </x:c>
      <x:c r="B89" s="14" t="d">
        <x:v>2026-01-01T00:00:00.000Z</x:v>
      </x:c>
      <x:c r="C89" s="27" t="n">
        <x:f>'Supply'!C89</x:f>
        <x:v>290</x:v>
      </x:c>
      <x:c r="D89" s="27" t="n">
        <x:f>IF(ISNUMBER('Supply'!D89),'Supply'!D89,C89)</x:f>
        <x:v>290</x:v>
      </x:c>
      <x:c r="E89" s="27" t="n">
        <x:f>'Products'!D12*INDEX('Assumptions'!$C$16:$N$16,1,MONTH(B89))</x:f>
        <x:v>186</x:v>
      </x:c>
      <x:c r="F89" s="27" t="n">
        <x:f>D89*E89</x:f>
        <x:v>53940</x:v>
      </x:c>
    </x:row>
    <x:row r="90" ht="23" customHeight="1">
      <x:c r="A90" s="34" t="str">
        <x:v>0008</x:v>
      </x:c>
      <x:c r="B90" s="14" t="d">
        <x:v>2026-02-01T00:00:00.000Z</x:v>
      </x:c>
      <x:c r="C90" s="27" t="n">
        <x:f>'Supply'!C90</x:f>
        <x:v>290</x:v>
      </x:c>
      <x:c r="D90" s="27" t="n">
        <x:f>IF(ISNUMBER('Supply'!D90),'Supply'!D90,C90)</x:f>
        <x:v>290</x:v>
      </x:c>
      <x:c r="E90" s="27" t="n">
        <x:f>'Products'!D12*INDEX('Assumptions'!$C$16:$N$16,1,MONTH(B90))</x:f>
        <x:v>186</x:v>
      </x:c>
      <x:c r="F90" s="27" t="n">
        <x:f>D90*E90</x:f>
        <x:v>53940</x:v>
      </x:c>
    </x:row>
    <x:row r="91" ht="23" customHeight="1">
      <x:c r="A91" s="34" t="str">
        <x:v>0008</x:v>
      </x:c>
      <x:c r="B91" s="14" t="d">
        <x:v>2026-03-01T00:00:00.000Z</x:v>
      </x:c>
      <x:c r="C91" s="27" t="n">
        <x:f>'Supply'!C91</x:f>
        <x:v>290</x:v>
      </x:c>
      <x:c r="D91" s="27" t="n">
        <x:f>IF(ISNUMBER('Supply'!D91),'Supply'!D91,C91)</x:f>
        <x:v>290</x:v>
      </x:c>
      <x:c r="E91" s="27" t="n">
        <x:f>'Products'!D12*INDEX('Assumptions'!$C$16:$N$16,1,MONTH(B91))</x:f>
        <x:v>186</x:v>
      </x:c>
      <x:c r="F91" s="27" t="n">
        <x:f>D91*E91</x:f>
        <x:v>53940</x:v>
      </x:c>
    </x:row>
    <x:row r="92" ht="23" customHeight="1">
      <x:c r="A92" s="34" t="str">
        <x:v>0008</x:v>
      </x:c>
      <x:c r="B92" s="14" t="d">
        <x:v>2026-04-01T00:00:00.000Z</x:v>
      </x:c>
      <x:c r="C92" s="27" t="n">
        <x:f>'Supply'!C92</x:f>
        <x:v>290</x:v>
      </x:c>
      <x:c r="D92" s="27" t="n">
        <x:f>IF(ISNUMBER('Supply'!D92),'Supply'!D92,C92)</x:f>
        <x:v>290</x:v>
      </x:c>
      <x:c r="E92" s="27" t="n">
        <x:f>'Products'!D12*INDEX('Assumptions'!$C$16:$N$16,1,MONTH(B92))</x:f>
        <x:v>186</x:v>
      </x:c>
      <x:c r="F92" s="27" t="n">
        <x:f>D92*E92</x:f>
        <x:v>53940</x:v>
      </x:c>
    </x:row>
    <x:row r="93" ht="23" customHeight="1">
      <x:c r="A93" s="34" t="str">
        <x:v>0008</x:v>
      </x:c>
      <x:c r="B93" s="14" t="d">
        <x:v>2026-05-01T00:00:00.000Z</x:v>
      </x:c>
      <x:c r="C93" s="27" t="n">
        <x:f>'Supply'!C93</x:f>
        <x:v>290</x:v>
      </x:c>
      <x:c r="D93" s="27" t="n">
        <x:f>IF(ISNUMBER('Supply'!D93),'Supply'!D93,C93)</x:f>
        <x:v>290</x:v>
      </x:c>
      <x:c r="E93" s="27" t="n">
        <x:f>'Products'!D12*INDEX('Assumptions'!$C$16:$N$16,1,MONTH(B93))</x:f>
        <x:v>186</x:v>
      </x:c>
      <x:c r="F93" s="27" t="n">
        <x:f>D93*E93</x:f>
        <x:v>53940</x:v>
      </x:c>
    </x:row>
    <x:row r="94" ht="23" customHeight="1">
      <x:c r="A94" s="34" t="str">
        <x:v>0008</x:v>
      </x:c>
      <x:c r="B94" s="14" t="d">
        <x:v>2026-06-01T00:00:00.000Z</x:v>
      </x:c>
      <x:c r="C94" s="27" t="n">
        <x:f>'Supply'!C94</x:f>
        <x:v>290</x:v>
      </x:c>
      <x:c r="D94" s="27" t="n">
        <x:f>IF(ISNUMBER('Supply'!D94),'Supply'!D94,C94)</x:f>
        <x:v>290</x:v>
      </x:c>
      <x:c r="E94" s="27" t="n">
        <x:f>'Products'!D12*INDEX('Assumptions'!$C$16:$N$16,1,MONTH(B94))</x:f>
        <x:v>186</x:v>
      </x:c>
      <x:c r="F94" s="27" t="n">
        <x:f>D94*E94</x:f>
        <x:v>53940</x:v>
      </x:c>
    </x:row>
    <x:row r="95" ht="23" customHeight="1">
      <x:c r="A95" s="34" t="str">
        <x:v>0008</x:v>
      </x:c>
      <x:c r="B95" s="14" t="d">
        <x:v>2026-07-01T00:00:00.000Z</x:v>
      </x:c>
      <x:c r="C95" s="27" t="n">
        <x:f>'Supply'!C95</x:f>
        <x:v>516</x:v>
      </x:c>
      <x:c r="D95" s="27" t="n">
        <x:f>IF(ISNUMBER('Supply'!D95),'Supply'!D95,C95)</x:f>
        <x:v>516</x:v>
      </x:c>
      <x:c r="E95" s="27" t="n">
        <x:f>'Products'!D12*INDEX('Assumptions'!$C$16:$N$16,1,MONTH(B95))</x:f>
        <x:v>189.72</x:v>
      </x:c>
      <x:c r="F95" s="27" t="n">
        <x:f>D95*E95</x:f>
        <x:v>97895.52</x:v>
      </x:c>
    </x:row>
    <x:row r="96" ht="23" customHeight="1">
      <x:c r="A96" s="34" t="str">
        <x:v>0008</x:v>
      </x:c>
      <x:c r="B96" s="14" t="d">
        <x:v>2026-08-01T00:00:00.000Z</x:v>
      </x:c>
      <x:c r="C96" s="27" t="n">
        <x:f>'Supply'!C96</x:f>
        <x:v>516</x:v>
      </x:c>
      <x:c r="D96" s="27" t="n">
        <x:f>IF(ISNUMBER('Supply'!D96),'Supply'!D96,C96)</x:f>
        <x:v>516</x:v>
      </x:c>
      <x:c r="E96" s="27" t="n">
        <x:f>'Products'!D12*INDEX('Assumptions'!$C$16:$N$16,1,MONTH(B96))</x:f>
        <x:v>189.72</x:v>
      </x:c>
      <x:c r="F96" s="27" t="n">
        <x:f>D96*E96</x:f>
        <x:v>97895.52</x:v>
      </x:c>
    </x:row>
    <x:row r="97" ht="23" customHeight="1">
      <x:c r="A97" s="34" t="str">
        <x:v>0008</x:v>
      </x:c>
      <x:c r="B97" s="14" t="d">
        <x:v>2026-09-01T00:00:00.000Z</x:v>
      </x:c>
      <x:c r="C97" s="27" t="n">
        <x:f>'Supply'!C97</x:f>
        <x:v>516</x:v>
      </x:c>
      <x:c r="D97" s="27" t="n">
        <x:f>IF(ISNUMBER('Supply'!D97),'Supply'!D97,C97)</x:f>
        <x:v>516</x:v>
      </x:c>
      <x:c r="E97" s="27" t="n">
        <x:f>'Products'!D12*INDEX('Assumptions'!$C$16:$N$16,1,MONTH(B97))</x:f>
        <x:v>189.72</x:v>
      </x:c>
      <x:c r="F97" s="27" t="n">
        <x:f>D97*E97</x:f>
        <x:v>97895.52</x:v>
      </x:c>
    </x:row>
    <x:row r="98" ht="23" customHeight="1">
      <x:c r="A98" s="34" t="str">
        <x:v>0008</x:v>
      </x:c>
      <x:c r="B98" s="14" t="d">
        <x:v>2026-10-01T00:00:00.000Z</x:v>
      </x:c>
      <x:c r="C98" s="27" t="n">
        <x:f>'Supply'!C98</x:f>
        <x:v>516</x:v>
      </x:c>
      <x:c r="D98" s="27" t="n">
        <x:f>IF(ISNUMBER('Supply'!D98),'Supply'!D98,C98)</x:f>
        <x:v>516</x:v>
      </x:c>
      <x:c r="E98" s="27" t="n">
        <x:f>'Products'!D12*INDEX('Assumptions'!$C$16:$N$16,1,MONTH(B98))</x:f>
        <x:v>189.72</x:v>
      </x:c>
      <x:c r="F98" s="27" t="n">
        <x:f>D98*E98</x:f>
        <x:v>97895.52</x:v>
      </x:c>
    </x:row>
    <x:row r="99" ht="23" customHeight="1">
      <x:c r="A99" s="34" t="str">
        <x:v>0008</x:v>
      </x:c>
      <x:c r="B99" s="14" t="d">
        <x:v>2026-11-01T00:00:00.000Z</x:v>
      </x:c>
      <x:c r="C99" s="27" t="n">
        <x:f>'Supply'!C99</x:f>
        <x:v>516</x:v>
      </x:c>
      <x:c r="D99" s="27" t="n">
        <x:f>IF(ISNUMBER('Supply'!D99),'Supply'!D99,C99)</x:f>
        <x:v>516</x:v>
      </x:c>
      <x:c r="E99" s="27" t="n">
        <x:f>'Products'!D12*INDEX('Assumptions'!$C$16:$N$16,1,MONTH(B99))</x:f>
        <x:v>189.72</x:v>
      </x:c>
      <x:c r="F99" s="27" t="n">
        <x:f>D99*E99</x:f>
        <x:v>97895.52</x:v>
      </x:c>
    </x:row>
    <x:row r="100" ht="23" customHeight="1">
      <x:c r="A100" s="34" t="str">
        <x:v>0008</x:v>
      </x:c>
      <x:c r="B100" s="14" t="d">
        <x:v>2026-12-01T00:00:00.000Z</x:v>
      </x:c>
      <x:c r="C100" s="27" t="n">
        <x:f>'Supply'!C100</x:f>
        <x:v>516</x:v>
      </x:c>
      <x:c r="D100" s="27" t="n">
        <x:f>IF(ISNUMBER('Supply'!D100),'Supply'!D100,C100)</x:f>
        <x:v>516</x:v>
      </x:c>
      <x:c r="E100" s="27" t="n">
        <x:f>'Products'!D12*INDEX('Assumptions'!$C$16:$N$16,1,MONTH(B100))</x:f>
        <x:v>189.72</x:v>
      </x:c>
      <x:c r="F100" s="27" t="n">
        <x:f>D100*E100</x:f>
        <x:v>97895.52</x:v>
      </x:c>
    </x:row>
    <x:row r="101" ht="23" customHeight="1">
      <x:c r="A101" s="2"/>
      <x:c r="B101" s="2"/>
      <x:c r="C101" s="2"/>
      <x:c r="D101" s="2"/>
      <x:c r="E101" s="2"/>
      <x:c r="F101" s="2"/>
    </x:row>
  </x:sheetData>
  <x:pageMargins left="0.7" right="0.7" top="0.75" bottom="0.75" header="0.3" footer="0.3"/>
  <x:tableParts count="1">
    <x:tablePart xmlns:r="http://schemas.openxmlformats.org/officeDocument/2006/relationships" r:id="Re4a172de119c4ff4"/>
  </x:tableParts>
</x:worksheet>
</file>

<file path=xl/worksheets/sheet8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OperatingCosts | distributor 2026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40" customHeight="1">
      <x:c r="A4" s="6" t="str">
        <x:v>Month</x:v>
      </x:c>
      <x:c r="B4" s="6" t="str">
        <x:v>NetRevenue</x:v>
      </x:c>
      <x:c r="C4" s="6" t="str">
        <x:v>CardFees</x:v>
      </x:c>
      <x:c r="D4" s="6" t="str">
        <x:v>Storage</x:v>
      </x:c>
      <x:c r="E4" s="6" t="str">
        <x:v>Staff</x:v>
      </x:c>
      <x:c r="F4" s="6" t="str">
        <x:v>Rent</x:v>
      </x:c>
      <x:c r="G4" s="6" t="str">
        <x:v>Opex</x:v>
      </x:c>
    </x:row>
    <x:row r="5" ht="23" customHeight="1">
      <x:c r="A5" s="14" t="d">
        <x:v>2026-01-01T00:00:00.000Z</x:v>
      </x:c>
      <x:c r="B5" s="27" t="n">
        <x:f>SUMIFS('Rebates'!$E$5:$E$52,'Rebates'!$B$5:$B$52,A5)</x:f>
        <x:v>446629.708</x:v>
      </x:c>
      <x:c r="C5" s="27" t="n">
        <x:f>B5*'Assumptions'!$B$28</x:f>
        <x:v>6699.4456199999995</x:v>
      </x:c>
      <x:c r="D5" s="27" t="n">
        <x:f>SUMIFS('Inventory'!$I$5:$I$100,'Inventory'!$B$5:$B$100,A5)*'Assumptions'!$B$29</x:f>
        <x:v>11133.6</x:v>
      </x:c>
      <x:c r="E5" s="27" t="n">
        <x:f>'Assumptions'!$B$30</x:f>
        <x:v>20000</x:v>
      </x:c>
      <x:c r="F5" s="27" t="n">
        <x:f>'Assumptions'!$B$31</x:f>
        <x:v>6000</x:v>
      </x:c>
      <x:c r="G5" s="27" t="n">
        <x:f>SUM(C5:F5)</x:f>
        <x:v>43833.045620000004</x:v>
      </x:c>
    </x:row>
    <x:row r="6" ht="23" customHeight="1">
      <x:c r="A6" s="14" t="d">
        <x:v>2026-02-01T00:00:00.000Z</x:v>
      </x:c>
      <x:c r="B6" s="27" t="n">
        <x:f>SUMIFS('Rebates'!$E$5:$E$52,'Rebates'!$B$5:$B$52,A6)</x:f>
        <x:v>432070.436</x:v>
      </x:c>
      <x:c r="C6" s="27" t="n">
        <x:f>B6*'Assumptions'!$B$28</x:f>
        <x:v>6481.05654</x:v>
      </x:c>
      <x:c r="D6" s="27" t="n">
        <x:f>SUMIFS('Inventory'!$I$5:$I$100,'Inventory'!$B$5:$B$100,A6)*'Assumptions'!$B$29</x:f>
        <x:v>11200.8</x:v>
      </x:c>
      <x:c r="E6" s="27" t="n">
        <x:f>'Assumptions'!$B$30</x:f>
        <x:v>20000</x:v>
      </x:c>
      <x:c r="F6" s="27" t="n">
        <x:f>'Assumptions'!$B$31</x:f>
        <x:v>6000</x:v>
      </x:c>
      <x:c r="G6" s="27" t="n">
        <x:f>SUM(C6:F6)</x:f>
        <x:v>43681.85654</x:v>
      </x:c>
    </x:row>
    <x:row r="7" ht="23" customHeight="1">
      <x:c r="A7" s="14" t="d">
        <x:v>2026-03-01T00:00:00.000Z</x:v>
      </x:c>
      <x:c r="B7" s="27" t="n">
        <x:f>SUMIFS('Rebates'!$E$5:$E$52,'Rebates'!$B$5:$B$52,A7)</x:f>
        <x:v>418205.004</x:v>
      </x:c>
      <x:c r="C7" s="27" t="n">
        <x:f>B7*'Assumptions'!$B$28</x:f>
        <x:v>6273.07506</x:v>
      </x:c>
      <x:c r="D7" s="27" t="n">
        <x:f>SUMIFS('Inventory'!$I$5:$I$100,'Inventory'!$B$5:$B$100,A7)*'Assumptions'!$B$29</x:f>
        <x:v>11374.8</x:v>
      </x:c>
      <x:c r="E7" s="27" t="n">
        <x:f>'Assumptions'!$B$30</x:f>
        <x:v>20000</x:v>
      </x:c>
      <x:c r="F7" s="27" t="n">
        <x:f>'Assumptions'!$B$31</x:f>
        <x:v>6000</x:v>
      </x:c>
      <x:c r="G7" s="27" t="n">
        <x:f>SUM(C7:F7)</x:f>
        <x:v>43647.87506</x:v>
      </x:c>
    </x:row>
    <x:row r="8" ht="23" customHeight="1">
      <x:c r="A8" s="14" t="d">
        <x:v>2026-04-01T00:00:00.000Z</x:v>
      </x:c>
      <x:c r="B8" s="27" t="n">
        <x:f>SUMIFS('Rebates'!$E$5:$E$52,'Rebates'!$B$5:$B$52,A8)</x:f>
        <x:v>430560.256</x:v>
      </x:c>
      <x:c r="C8" s="27" t="n">
        <x:f>B8*'Assumptions'!$B$28</x:f>
        <x:v>6458.40384</x:v>
      </x:c>
      <x:c r="D8" s="27" t="n">
        <x:f>SUMIFS('Inventory'!$I$5:$I$100,'Inventory'!$B$5:$B$100,A8)*'Assumptions'!$B$29</x:f>
        <x:v>11470.8</x:v>
      </x:c>
      <x:c r="E8" s="27" t="n">
        <x:f>'Assumptions'!$B$30</x:f>
        <x:v>20000</x:v>
      </x:c>
      <x:c r="F8" s="27" t="n">
        <x:f>'Assumptions'!$B$31</x:f>
        <x:v>6000</x:v>
      </x:c>
      <x:c r="G8" s="27" t="n">
        <x:f>SUM(C8:F8)</x:f>
        <x:v>43929.20384</x:v>
      </x:c>
    </x:row>
    <x:row r="9" ht="23" customHeight="1">
      <x:c r="A9" s="14" t="d">
        <x:v>2026-05-01T00:00:00.000Z</x:v>
      </x:c>
      <x:c r="B9" s="27" t="n">
        <x:f>SUMIFS('Rebates'!$E$5:$E$52,'Rebates'!$B$5:$B$52,A9)</x:f>
        <x:v>397862.36</x:v>
      </x:c>
      <x:c r="C9" s="27" t="n">
        <x:f>B9*'Assumptions'!$B$28</x:f>
        <x:v>5967.935399999999</x:v>
      </x:c>
      <x:c r="D9" s="27" t="n">
        <x:f>SUMIFS('Inventory'!$I$5:$I$100,'Inventory'!$B$5:$B$100,A9)*'Assumptions'!$B$29</x:f>
        <x:v>11752.8</x:v>
      </x:c>
      <x:c r="E9" s="27" t="n">
        <x:f>'Assumptions'!$B$30</x:f>
        <x:v>20000</x:v>
      </x:c>
      <x:c r="F9" s="27" t="n">
        <x:f>'Assumptions'!$B$31</x:f>
        <x:v>6000</x:v>
      </x:c>
      <x:c r="G9" s="27" t="n">
        <x:f>SUM(C9:F9)</x:f>
        <x:v>43720.7354</x:v>
      </x:c>
    </x:row>
    <x:row r="10" ht="23" customHeight="1">
      <x:c r="A10" s="14" t="d">
        <x:v>2026-06-01T00:00:00.000Z</x:v>
      </x:c>
      <x:c r="B10" s="27" t="n">
        <x:f>SUMIFS('Rebates'!$E$5:$E$52,'Rebates'!$B$5:$B$52,A10)</x:f>
        <x:v>388768.94</x:v>
      </x:c>
      <x:c r="C10" s="27" t="n">
        <x:f>B10*'Assumptions'!$B$28</x:f>
        <x:v>5831.5341</x:v>
      </x:c>
      <x:c r="D10" s="27" t="n">
        <x:f>SUMIFS('Inventory'!$I$5:$I$100,'Inventory'!$B$5:$B$100,A10)*'Assumptions'!$B$29</x:f>
        <x:v>12086.4</x:v>
      </x:c>
      <x:c r="E10" s="27" t="n">
        <x:f>'Assumptions'!$B$30</x:f>
        <x:v>20000</x:v>
      </x:c>
      <x:c r="F10" s="27" t="n">
        <x:f>'Assumptions'!$B$31</x:f>
        <x:v>6000</x:v>
      </x:c>
      <x:c r="G10" s="27" t="n">
        <x:f>SUM(C10:F10)</x:f>
        <x:v>43917.9341</x:v>
      </x:c>
    </x:row>
    <x:row r="11" ht="23" customHeight="1">
      <x:c r="A11" s="14" t="d">
        <x:v>2026-07-01T00:00:00.000Z</x:v>
      </x:c>
      <x:c r="B11" s="27" t="n">
        <x:f>SUMIFS('Rebates'!$E$5:$E$52,'Rebates'!$B$5:$B$52,A11)</x:f>
        <x:v>1399573.4759999998</x:v>
      </x:c>
      <x:c r="C11" s="27" t="n">
        <x:f>B11*'Assumptions'!$B$28</x:f>
        <x:v>20993.602139999995</x:v>
      </x:c>
      <x:c r="D11" s="27" t="n">
        <x:f>SUMIFS('Inventory'!$I$5:$I$100,'Inventory'!$B$5:$B$100,A11)*'Assumptions'!$B$29</x:f>
        <x:v>9348</x:v>
      </x:c>
      <x:c r="E11" s="27" t="n">
        <x:f>'Assumptions'!$B$30</x:f>
        <x:v>20000</x:v>
      </x:c>
      <x:c r="F11" s="27" t="n">
        <x:f>'Assumptions'!$B$31</x:f>
        <x:v>6000</x:v>
      </x:c>
      <x:c r="G11" s="27" t="n">
        <x:f>SUM(C11:F11)</x:f>
        <x:v>56341.602139999995</x:v>
      </x:c>
    </x:row>
    <x:row r="12" ht="23" customHeight="1">
      <x:c r="A12" s="14" t="d">
        <x:v>2026-08-01T00:00:00.000Z</x:v>
      </x:c>
      <x:c r="B12" s="27" t="n">
        <x:f>SUMIFS('Rebates'!$E$5:$E$52,'Rebates'!$B$5:$B$52,A12)</x:f>
        <x:v>1508568.4880000001</x:v>
      </x:c>
      <x:c r="C12" s="27" t="n">
        <x:f>B12*'Assumptions'!$B$28</x:f>
        <x:v>22628.52732</x:v>
      </x:c>
      <x:c r="D12" s="27" t="n">
        <x:f>SUMIFS('Inventory'!$I$5:$I$100,'Inventory'!$B$5:$B$100,A12)*'Assumptions'!$B$29</x:f>
        <x:v>6045.599999999999</x:v>
      </x:c>
      <x:c r="E12" s="27" t="n">
        <x:f>'Assumptions'!$B$30</x:f>
        <x:v>20000</x:v>
      </x:c>
      <x:c r="F12" s="27" t="n">
        <x:f>'Assumptions'!$B$31</x:f>
        <x:v>6000</x:v>
      </x:c>
      <x:c r="G12" s="27" t="n">
        <x:f>SUM(C12:F12)</x:f>
        <x:v>54674.12732</x:v>
      </x:c>
    </x:row>
    <x:row r="13" ht="23" customHeight="1">
      <x:c r="A13" s="14" t="d">
        <x:v>2026-09-01T00:00:00.000Z</x:v>
      </x:c>
      <x:c r="B13" s="27" t="n">
        <x:f>SUMIFS('Rebates'!$E$5:$E$52,'Rebates'!$B$5:$B$52,A13)</x:f>
        <x:v>1585686.648</x:v>
      </x:c>
      <x:c r="C13" s="27" t="n">
        <x:f>B13*'Assumptions'!$B$28</x:f>
        <x:v>23785.29972</x:v>
      </x:c>
      <x:c r="D13" s="27" t="n">
        <x:f>SUMIFS('Inventory'!$I$5:$I$100,'Inventory'!$B$5:$B$100,A13)*'Assumptions'!$B$29</x:f>
        <x:v>1717.2</x:v>
      </x:c>
      <x:c r="E13" s="27" t="n">
        <x:f>'Assumptions'!$B$30</x:f>
        <x:v>20000</x:v>
      </x:c>
      <x:c r="F13" s="27" t="n">
        <x:f>'Assumptions'!$B$31</x:f>
        <x:v>6000</x:v>
      </x:c>
      <x:c r="G13" s="27" t="n">
        <x:f>SUM(C13:F13)</x:f>
        <x:v>51502.49972</x:v>
      </x:c>
    </x:row>
    <x:row r="14" ht="23" customHeight="1">
      <x:c r="A14" s="14" t="d">
        <x:v>2026-10-01T00:00:00.000Z</x:v>
      </x:c>
      <x:c r="B14" s="27" t="n">
        <x:f>SUMIFS('Rebates'!$E$5:$E$52,'Rebates'!$B$5:$B$52,A14)</x:f>
        <x:v>1221071.1800000002</x:v>
      </x:c>
      <x:c r="C14" s="27" t="n">
        <x:f>B14*'Assumptions'!$B$28</x:f>
        <x:v>18316.067700000003</x:v>
      </x:c>
      <x:c r="D14" s="27" t="n">
        <x:f>SUMIFS('Inventory'!$I$5:$I$100,'Inventory'!$B$5:$B$100,A14)*'Assumptions'!$B$29</x:f>
        <x:v>0</x:v>
      </x:c>
      <x:c r="E14" s="27" t="n">
        <x:f>'Assumptions'!$B$30</x:f>
        <x:v>20000</x:v>
      </x:c>
      <x:c r="F14" s="27" t="n">
        <x:f>'Assumptions'!$B$31</x:f>
        <x:v>6000</x:v>
      </x:c>
      <x:c r="G14" s="27" t="n">
        <x:f>SUM(C14:F14)</x:f>
        <x:v>44316.0677</x:v>
      </x:c>
    </x:row>
    <x:row r="15" ht="23" customHeight="1">
      <x:c r="A15" s="14" t="d">
        <x:v>2026-11-01T00:00:00.000Z</x:v>
      </x:c>
      <x:c r="B15" s="27" t="n">
        <x:f>SUMIFS('Rebates'!$E$5:$E$52,'Rebates'!$B$5:$B$52,A15)</x:f>
        <x:v>856617.216</x:v>
      </x:c>
      <x:c r="C15" s="27" t="n">
        <x:f>B15*'Assumptions'!$B$28</x:f>
        <x:v>12849.25824</x:v>
      </x:c>
      <x:c r="D15" s="27" t="n">
        <x:f>SUMIFS('Inventory'!$I$5:$I$100,'Inventory'!$B$5:$B$100,A15)*'Assumptions'!$B$29</x:f>
        <x:v>0</x:v>
      </x:c>
      <x:c r="E15" s="27" t="n">
        <x:f>'Assumptions'!$B$30</x:f>
        <x:v>20000</x:v>
      </x:c>
      <x:c r="F15" s="27" t="n">
        <x:f>'Assumptions'!$B$31</x:f>
        <x:v>6000</x:v>
      </x:c>
      <x:c r="G15" s="27" t="n">
        <x:f>SUM(C15:F15)</x:f>
        <x:v>38849.258239999996</x:v>
      </x:c>
    </x:row>
    <x:row r="16" ht="23" customHeight="1">
      <x:c r="A16" s="14" t="d">
        <x:v>2026-12-01T00:00:00.000Z</x:v>
      </x:c>
      <x:c r="B16" s="27" t="n">
        <x:f>SUMIFS('Rebates'!$E$5:$E$52,'Rebates'!$B$5:$B$52,A16)</x:f>
        <x:v>856617.216</x:v>
      </x:c>
      <x:c r="C16" s="27" t="n">
        <x:f>B16*'Assumptions'!$B$28</x:f>
        <x:v>12849.25824</x:v>
      </x:c>
      <x:c r="D16" s="27" t="n">
        <x:f>SUMIFS('Inventory'!$I$5:$I$100,'Inventory'!$B$5:$B$100,A16)*'Assumptions'!$B$29</x:f>
        <x:v>0</x:v>
      </x:c>
      <x:c r="E16" s="27" t="n">
        <x:f>'Assumptions'!$B$30</x:f>
        <x:v>20000</x:v>
      </x:c>
      <x:c r="F16" s="27" t="n">
        <x:f>'Assumptions'!$B$31</x:f>
        <x:v>6000</x:v>
      </x:c>
      <x:c r="G16" s="27" t="n">
        <x:f>SUM(C16:F16)</x:f>
        <x:v>38849.258239999996</x:v>
      </x:c>
    </x:row>
    <x:row r="17" ht="23" customHeight="1">
      <x:c r="A17" s="2"/>
      <x:c r="B17" s="2"/>
      <x:c r="C17" s="2"/>
      <x:c r="D17" s="2"/>
      <x:c r="E17" s="2"/>
      <x:c r="F17" s="2"/>
      <x:c r="G17" s="2"/>
    </x:row>
  </x:sheetData>
  <x:pageMargins left="0.7" right="0.7" top="0.75" bottom="0.75" header="0.3" footer="0.3"/>
  <x:tableParts count="1">
    <x:tablePart xmlns:r="http://schemas.openxmlformats.org/officeDocument/2006/relationships" r:id="R68a972fae49648da"/>
  </x:tableParts>
</x:worksheet>
</file>

<file path=xl/worksheets/sheet9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Cashflow | distributor 2026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40" customHeight="1">
      <x:c r="A4" s="6" t="str">
        <x:v>Month</x:v>
      </x:c>
      <x:c r="B4" s="6" t="str">
        <x:v>OpeningCash</x:v>
      </x:c>
      <x:c r="C4" s="6" t="str">
        <x:v>Collections</x:v>
      </x:c>
      <x:c r="D4" s="6" t="str">
        <x:v>PurchasePayments</x:v>
      </x:c>
      <x:c r="E4" s="6" t="str">
        <x:v>OperatingPayments</x:v>
      </x:c>
      <x:c r="F4" s="6" t="str">
        <x:v>NetCash</x:v>
      </x:c>
      <x:c r="G4" s="6" t="str">
        <x:v>ClosingCash</x:v>
      </x:c>
    </x:row>
    <x:row r="5" ht="23" customHeight="1">
      <x:c r="A5" s="14" t="d">
        <x:v>2026-01-01T00:00:00.000Z</x:v>
      </x:c>
      <x:c r="B5" s="27" t="n">
        <x:f>'Opening'!$G$5</x:f>
        <x:v>200000</x:v>
      </x:c>
      <x:c r="C5" s="27" t="n">
        <x:f>'OperatingCosts'!B5*'Assumptions'!$B$33+'Opening'!$G$6</x:f>
        <x:v>369303.7664</x:v>
      </x:c>
      <x:c r="D5" s="27" t="n">
        <x:f>'Opening'!$G$7</x:f>
        <x:v>9000</x:v>
      </x:c>
      <x:c r="E5" s="27" t="n">
        <x:f>'OperatingCosts'!G5</x:f>
        <x:v>43833.045620000004</x:v>
      </x:c>
      <x:c r="F5" s="27" t="n">
        <x:f>C5-D5-E5</x:f>
        <x:v>316470.72078000003</x:v>
      </x:c>
      <x:c r="G5" s="27" t="n">
        <x:f>B5+F5</x:f>
        <x:v>516470.72078000003</x:v>
      </x:c>
    </x:row>
    <x:row r="6" ht="23" customHeight="1">
      <x:c r="A6" s="14" t="d">
        <x:v>2026-02-01T00:00:00.000Z</x:v>
      </x:c>
      <x:c r="B6" s="27" t="n">
        <x:f>G5</x:f>
        <x:v>516470.72078000003</x:v>
      </x:c>
      <x:c r="C6" s="27" t="n">
        <x:f>'OperatingCosts'!B6*'Assumptions'!$B$33+'OperatingCosts'!B5*(1-'Assumptions'!$B$33)</x:f>
        <x:v>434982.2904</x:v>
      </x:c>
      <x:c r="D6" s="27" t="n">
        <x:f>SUMIFS('Purchasing'!$F$5:$F$100,'Purchasing'!$B$5:$B$100,A5)</x:f>
        <x:v>292080</x:v>
      </x:c>
      <x:c r="E6" s="27" t="n">
        <x:f>'OperatingCosts'!G6</x:f>
        <x:v>43681.85654</x:v>
      </x:c>
      <x:c r="F6" s="27" t="n">
        <x:f>C6-D6-E6</x:f>
        <x:v>99220.43385999999</x:v>
      </x:c>
      <x:c r="G6" s="27" t="n">
        <x:f>B6+F6</x:f>
        <x:v>615691.1546400001</x:v>
      </x:c>
    </x:row>
    <x:row r="7" ht="23" customHeight="1">
      <x:c r="A7" s="14" t="d">
        <x:v>2026-03-01T00:00:00.000Z</x:v>
      </x:c>
      <x:c r="B7" s="27" t="n">
        <x:f>G6</x:f>
        <x:v>615691.1546400001</x:v>
      </x:c>
      <x:c r="C7" s="27" t="n">
        <x:f>'OperatingCosts'!B7*'Assumptions'!$B$33+'OperatingCosts'!B6*(1-'Assumptions'!$B$33)</x:f>
        <x:v>420978.0904</x:v>
      </x:c>
      <x:c r="D7" s="27" t="n">
        <x:f>SUMIFS('Purchasing'!$F$5:$F$100,'Purchasing'!$B$5:$B$100,A6)</x:f>
        <x:v>292080</x:v>
      </x:c>
      <x:c r="E7" s="27" t="n">
        <x:f>'OperatingCosts'!G7</x:f>
        <x:v>43647.87506</x:v>
      </x:c>
      <x:c r="F7" s="27" t="n">
        <x:f>C7-D7-E7</x:f>
        <x:v>85250.21534</x:v>
      </x:c>
      <x:c r="G7" s="27" t="n">
        <x:f>B7+F7</x:f>
        <x:v>700941.3699800001</x:v>
      </x:c>
    </x:row>
    <x:row r="8" ht="23" customHeight="1">
      <x:c r="A8" s="14" t="d">
        <x:v>2026-04-01T00:00:00.000Z</x:v>
      </x:c>
      <x:c r="B8" s="27" t="n">
        <x:f>G7</x:f>
        <x:v>700941.3699800001</x:v>
      </x:c>
      <x:c r="C8" s="27" t="n">
        <x:f>'OperatingCosts'!B8*'Assumptions'!$B$33+'OperatingCosts'!B7*(1-'Assumptions'!$B$33)</x:f>
        <x:v>428089.2056</x:v>
      </x:c>
      <x:c r="D8" s="27" t="n">
        <x:f>SUMIFS('Purchasing'!$F$5:$F$100,'Purchasing'!$B$5:$B$100,A7)</x:f>
        <x:v>292080</x:v>
      </x:c>
      <x:c r="E8" s="27" t="n">
        <x:f>'OperatingCosts'!G8</x:f>
        <x:v>43929.20384</x:v>
      </x:c>
      <x:c r="F8" s="27" t="n">
        <x:f>C8-D8-E8</x:f>
        <x:v>92080.00175999998</x:v>
      </x:c>
      <x:c r="G8" s="27" t="n">
        <x:f>B8+F8</x:f>
        <x:v>793021.3717400001</x:v>
      </x:c>
    </x:row>
    <x:row r="9" ht="23" customHeight="1">
      <x:c r="A9" s="14" t="d">
        <x:v>2026-05-01T00:00:00.000Z</x:v>
      </x:c>
      <x:c r="B9" s="27" t="n">
        <x:f>G8</x:f>
        <x:v>793021.3717400001</x:v>
      </x:c>
      <x:c r="C9" s="27" t="n">
        <x:f>'OperatingCosts'!B9*'Assumptions'!$B$33+'OperatingCosts'!B8*(1-'Assumptions'!$B$33)</x:f>
        <x:v>404401.9392</x:v>
      </x:c>
      <x:c r="D9" s="27" t="n">
        <x:f>SUMIFS('Purchasing'!$F$5:$F$100,'Purchasing'!$B$5:$B$100,A8)</x:f>
        <x:v>292080</x:v>
      </x:c>
      <x:c r="E9" s="27" t="n">
        <x:f>'OperatingCosts'!G9</x:f>
        <x:v>43720.7354</x:v>
      </x:c>
      <x:c r="F9" s="27" t="n">
        <x:f>C9-D9-E9</x:f>
        <x:v>68601.20380000002</x:v>
      </x:c>
      <x:c r="G9" s="27" t="n">
        <x:f>B9+F9</x:f>
        <x:v>861622.5755400001</x:v>
      </x:c>
    </x:row>
    <x:row r="10" ht="23" customHeight="1">
      <x:c r="A10" s="14" t="d">
        <x:v>2026-06-01T00:00:00.000Z</x:v>
      </x:c>
      <x:c r="B10" s="27" t="n">
        <x:f>G9</x:f>
        <x:v>861622.5755400001</x:v>
      </x:c>
      <x:c r="C10" s="27" t="n">
        <x:f>'OperatingCosts'!B10*'Assumptions'!$B$33+'OperatingCosts'!B9*(1-'Assumptions'!$B$33)</x:f>
        <x:v>390587.62399999995</x:v>
      </x:c>
      <x:c r="D10" s="27" t="n">
        <x:f>SUMIFS('Purchasing'!$F$5:$F$100,'Purchasing'!$B$5:$B$100,A9)</x:f>
        <x:v>292080</x:v>
      </x:c>
      <x:c r="E10" s="27" t="n">
        <x:f>'OperatingCosts'!G10</x:f>
        <x:v>43917.9341</x:v>
      </x:c>
      <x:c r="F10" s="27" t="n">
        <x:f>C10-D10-E10</x:f>
        <x:v>54589.689899999954</x:v>
      </x:c>
      <x:c r="G10" s="27" t="n">
        <x:f>B10+F10</x:f>
        <x:v>916212.2654400001</x:v>
      </x:c>
    </x:row>
    <x:row r="11" ht="23" customHeight="1">
      <x:c r="A11" s="14" t="d">
        <x:v>2026-07-01T00:00:00.000Z</x:v>
      </x:c>
      <x:c r="B11" s="27" t="n">
        <x:f>G10</x:f>
        <x:v>916212.2654400001</x:v>
      </x:c>
      <x:c r="C11" s="27" t="n">
        <x:f>'OperatingCosts'!B11*'Assumptions'!$B$33+'OperatingCosts'!B10*(1-'Assumptions'!$B$33)</x:f>
        <x:v>1197412.5687999998</x:v>
      </x:c>
      <x:c r="D11" s="27" t="n">
        <x:f>SUMIFS('Purchasing'!$F$5:$F$100,'Purchasing'!$B$5:$B$100,A10)</x:f>
        <x:v>292080</x:v>
      </x:c>
      <x:c r="E11" s="27" t="n">
        <x:f>'OperatingCosts'!G11</x:f>
        <x:v>56341.602139999995</x:v>
      </x:c>
      <x:c r="F11" s="27" t="n">
        <x:f>C11-D11-E11</x:f>
        <x:v>848990.9666599998</x:v>
      </x:c>
      <x:c r="G11" s="27" t="n">
        <x:f>B11+F11</x:f>
        <x:v>1765203.2321</x:v>
      </x:c>
    </x:row>
    <x:row r="12" ht="23" customHeight="1">
      <x:c r="A12" s="14" t="d">
        <x:v>2026-08-01T00:00:00.000Z</x:v>
      </x:c>
      <x:c r="B12" s="27" t="n">
        <x:f>G11</x:f>
        <x:v>1765203.2321</x:v>
      </x:c>
      <x:c r="C12" s="27" t="n">
        <x:f>'OperatingCosts'!B12*'Assumptions'!$B$33+'OperatingCosts'!B11*(1-'Assumptions'!$B$33)</x:f>
        <x:v>1486769.4856</x:v>
      </x:c>
      <x:c r="D12" s="27" t="n">
        <x:f>SUMIFS('Purchasing'!$F$5:$F$100,'Purchasing'!$B$5:$B$100,A11)</x:f>
        <x:v>529380</x:v>
      </x:c>
      <x:c r="E12" s="27" t="n">
        <x:f>'OperatingCosts'!G12</x:f>
        <x:v>54674.12732</x:v>
      </x:c>
      <x:c r="F12" s="27" t="n">
        <x:f>C12-D12-E12</x:f>
        <x:v>902715.35828</x:v>
      </x:c>
      <x:c r="G12" s="27" t="n">
        <x:f>B12+F12</x:f>
        <x:v>2667918.59038</x:v>
      </x:c>
    </x:row>
    <x:row r="13" ht="23" customHeight="1">
      <x:c r="A13" s="14" t="d">
        <x:v>2026-09-01T00:00:00.000Z</x:v>
      </x:c>
      <x:c r="B13" s="27" t="n">
        <x:f>G12</x:f>
        <x:v>2667918.59038</x:v>
      </x:c>
      <x:c r="C13" s="27" t="n">
        <x:f>'OperatingCosts'!B13*'Assumptions'!$B$33+'OperatingCosts'!B12*(1-'Assumptions'!$B$33)</x:f>
        <x:v>1570263.0160000003</x:v>
      </x:c>
      <x:c r="D13" s="27" t="n">
        <x:f>SUMIFS('Purchasing'!$F$5:$F$100,'Purchasing'!$B$5:$B$100,A12)</x:f>
        <x:v>529380</x:v>
      </x:c>
      <x:c r="E13" s="27" t="n">
        <x:f>'OperatingCosts'!G13</x:f>
        <x:v>51502.49972</x:v>
      </x:c>
      <x:c r="F13" s="27" t="n">
        <x:f>C13-D13-E13</x:f>
        <x:v>989380.5162800003</x:v>
      </x:c>
      <x:c r="G13" s="27" t="n">
        <x:f>B13+F13</x:f>
        <x:v>3657299.10666</x:v>
      </x:c>
    </x:row>
    <x:row r="14" ht="23" customHeight="1">
      <x:c r="A14" s="14" t="d">
        <x:v>2026-10-01T00:00:00.000Z</x:v>
      </x:c>
      <x:c r="B14" s="27" t="n">
        <x:f>G13</x:f>
        <x:v>3657299.10666</x:v>
      </x:c>
      <x:c r="C14" s="27" t="n">
        <x:f>'OperatingCosts'!B14*'Assumptions'!$B$33+'OperatingCosts'!B13*(1-'Assumptions'!$B$33)</x:f>
        <x:v>1293994.2736</x:v>
      </x:c>
      <x:c r="D14" s="27" t="n">
        <x:f>SUMIFS('Purchasing'!$F$5:$F$100,'Purchasing'!$B$5:$B$100,A13)</x:f>
        <x:v>441502.92000000004</x:v>
      </x:c>
      <x:c r="E14" s="27" t="n">
        <x:f>'OperatingCosts'!G14</x:f>
        <x:v>44316.0677</x:v>
      </x:c>
      <x:c r="F14" s="27" t="n">
        <x:f>C14-D14-E14</x:f>
        <x:v>808175.2858999999</x:v>
      </x:c>
      <x:c r="G14" s="27" t="n">
        <x:f>B14+F14</x:f>
        <x:v>4465474.39256</x:v>
      </x:c>
    </x:row>
    <x:row r="15" ht="23" customHeight="1">
      <x:c r="A15" s="14" t="d">
        <x:v>2026-11-01T00:00:00.000Z</x:v>
      </x:c>
      <x:c r="B15" s="27" t="n">
        <x:f>G14</x:f>
        <x:v>4465474.39256</x:v>
      </x:c>
      <x:c r="C15" s="27" t="n">
        <x:f>'OperatingCosts'!B15*'Assumptions'!$B$33+'OperatingCosts'!B14*(1-'Assumptions'!$B$33)</x:f>
        <x:v>929508.0088</x:v>
      </x:c>
      <x:c r="D15" s="27" t="n">
        <x:f>SUMIFS('Purchasing'!$F$5:$F$100,'Purchasing'!$B$5:$B$100,A14)</x:f>
        <x:v>529380</x:v>
      </x:c>
      <x:c r="E15" s="27" t="n">
        <x:f>'OperatingCosts'!G15</x:f>
        <x:v>38849.258239999996</x:v>
      </x:c>
      <x:c r="F15" s="27" t="n">
        <x:f>C15-D15-E15</x:f>
        <x:v>361278.75055999996</x:v>
      </x:c>
      <x:c r="G15" s="27" t="n">
        <x:f>B15+F15</x:f>
        <x:v>4826753.143119999</x:v>
      </x:c>
    </x:row>
    <x:row r="16" ht="23" customHeight="1">
      <x:c r="A16" s="14" t="d">
        <x:v>2026-12-01T00:00:00.000Z</x:v>
      </x:c>
      <x:c r="B16" s="27" t="n">
        <x:f>G15</x:f>
        <x:v>4826753.143119999</x:v>
      </x:c>
      <x:c r="C16" s="27" t="n">
        <x:f>'OperatingCosts'!B16*'Assumptions'!$B$33+'OperatingCosts'!B15*(1-'Assumptions'!$B$33)</x:f>
        <x:v>856617.216</x:v>
      </x:c>
      <x:c r="D16" s="27" t="n">
        <x:f>SUMIFS('Purchasing'!$F$5:$F$100,'Purchasing'!$B$5:$B$100,A15)</x:f>
        <x:v>529380</x:v>
      </x:c>
      <x:c r="E16" s="27" t="n">
        <x:f>'OperatingCosts'!G16</x:f>
        <x:v>38849.258239999996</x:v>
      </x:c>
      <x:c r="F16" s="27" t="n">
        <x:f>C16-D16-E16</x:f>
        <x:v>288387.95776</x:v>
      </x:c>
      <x:c r="G16" s="27" t="n">
        <x:f>B16+F16</x:f>
        <x:v>5115141.100879999</x:v>
      </x:c>
    </x:row>
    <x:row r="17" ht="23" customHeight="1">
      <x:c r="A17" s="2"/>
      <x:c r="B17" s="2"/>
      <x:c r="C17" s="2"/>
      <x:c r="D17" s="2"/>
      <x:c r="E17" s="2"/>
      <x:c r="F17" s="2"/>
      <x:c r="G17" s="2"/>
    </x:row>
  </x:sheetData>
  <x:pageMargins left="0.7" right="0.7" top="0.75" bottom="0.75" header="0.3" footer="0.3"/>
  <x:tableParts count="1">
    <x:tablePart xmlns:r="http://schemas.openxmlformats.org/officeDocument/2006/relationships" r:id="Reca1e1377e134412"/>
  </x:tableParts>
</x:worksheet>
</file>

<file path=xl/worksheets/sheet10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Orders | distributor 2026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InvoiceID</x:v>
      </x:c>
      <x:c r="B4" s="6" t="str">
        <x:v>Date</x:v>
      </x:c>
      <x:c r="C4" s="6" t="str">
        <x:v>Month</x:v>
      </x:c>
      <x:c r="D4" s="6" t="str">
        <x:v>SKU</x:v>
      </x:c>
      <x:c r="E4" s="6" t="str">
        <x:v>Region</x:v>
      </x:c>
      <x:c r="F4" s="6" t="str">
        <x:v>SignedQty</x:v>
      </x:c>
      <x:c r="G4" s="6" t="str">
        <x:v>UnitPriceSAR</x:v>
      </x:c>
      <x:c r="H4" s="6" t="str">
        <x:v>Discount</x:v>
      </x:c>
      <x:c r="I4" s="6" t="str">
        <x:v>PostedNetSAR</x:v>
      </x:c>
    </x:row>
    <x:row r="5" ht="23" customHeight="1">
      <x:c r="A5" s="7" t="str">
        <x:v>INV00000</x:v>
      </x:c>
      <x:c r="B5" s="15" t="d">
        <x:v>2026-01-01T00:00:00.000Z</x:v>
      </x:c>
      <x:c r="C5" s="14" t="d">
        <x:v>2026-01-01T00:00:00.000Z</x:v>
      </x:c>
      <x:c r="D5" s="34" t="str">
        <x:v>0001</x:v>
      </x:c>
      <x:c r="E5" s="7" t="str">
        <x:v>Central</x:v>
      </x:c>
      <x:c r="F5" s="7" t="n">
        <x:v>-4</x:v>
      </x:c>
      <x:c r="G5" s="7" t="n">
        <x:v>160</x:v>
      </x:c>
      <x:c r="H5" s="9" t="n">
        <x:v>0</x:v>
      </x:c>
      <x:c r="I5" s="7" t="n">
        <x:v>-640</x:v>
      </x:c>
    </x:row>
    <x:row r="6" ht="23" customHeight="1">
      <x:c r="A6" s="7" t="str">
        <x:v>INV00001</x:v>
      </x:c>
      <x:c r="B6" s="15" t="d">
        <x:v>2026-01-02T00:00:00.000Z</x:v>
      </x:c>
      <x:c r="C6" s="14" t="d">
        <x:v>2026-01-01T00:00:00.000Z</x:v>
      </x:c>
      <x:c r="D6" s="34" t="str">
        <x:v>0002</x:v>
      </x:c>
      <x:c r="E6" s="7" t="str">
        <x:v>Central</x:v>
      </x:c>
      <x:c r="F6" s="7" t="n">
        <x:v>7</x:v>
      </x:c>
      <x:c r="G6" s="7" t="n">
        <x:v>180</x:v>
      </x:c>
      <x:c r="H6" s="9" t="n">
        <x:v>0.02</x:v>
      </x:c>
      <x:c r="I6" s="7" t="n">
        <x:v>1234.8</x:v>
      </x:c>
    </x:row>
    <x:row r="7" ht="23" customHeight="1">
      <x:c r="A7" s="7" t="str">
        <x:v>INV00002</x:v>
      </x:c>
      <x:c r="B7" s="15" t="d">
        <x:v>2026-01-03T00:00:00.000Z</x:v>
      </x:c>
      <x:c r="C7" s="14" t="d">
        <x:v>2026-01-01T00:00:00.000Z</x:v>
      </x:c>
      <x:c r="D7" s="34" t="str">
        <x:v>0003</x:v>
      </x:c>
      <x:c r="E7" s="7" t="str">
        <x:v>Central</x:v>
      </x:c>
      <x:c r="F7" s="7" t="n">
        <x:v>5</x:v>
      </x:c>
      <x:c r="G7" s="7" t="n">
        <x:v>200</x:v>
      </x:c>
      <x:c r="H7" s="9" t="n">
        <x:v>0.05</x:v>
      </x:c>
      <x:c r="I7" s="7" t="n">
        <x:v>950</x:v>
      </x:c>
    </x:row>
    <x:row r="8" ht="23" customHeight="1">
      <x:c r="A8" s="7" t="str">
        <x:v>INV00003</x:v>
      </x:c>
      <x:c r="B8" s="15" t="d">
        <x:v>2026-01-04T00:00:00.000Z</x:v>
      </x:c>
      <x:c r="C8" s="14" t="d">
        <x:v>2026-01-01T00:00:00.000Z</x:v>
      </x:c>
      <x:c r="D8" s="34" t="str">
        <x:v>0004</x:v>
      </x:c>
      <x:c r="E8" s="7" t="str">
        <x:v>Central</x:v>
      </x:c>
      <x:c r="F8" s="7" t="n">
        <x:v>6</x:v>
      </x:c>
      <x:c r="G8" s="7" t="n">
        <x:v>220</x:v>
      </x:c>
      <x:c r="H8" s="9" t="n">
        <x:v>0</x:v>
      </x:c>
      <x:c r="I8" s="7" t="n">
        <x:v>1320</x:v>
      </x:c>
    </x:row>
    <x:row r="9" ht="23" customHeight="1">
      <x:c r="A9" s="7" t="str">
        <x:v>INV00004</x:v>
      </x:c>
      <x:c r="B9" s="15" t="d">
        <x:v>2026-01-05T00:00:00.000Z</x:v>
      </x:c>
      <x:c r="C9" s="14" t="d">
        <x:v>2026-01-01T00:00:00.000Z</x:v>
      </x:c>
      <x:c r="D9" s="34" t="str">
        <x:v>0005</x:v>
      </x:c>
      <x:c r="E9" s="7" t="str">
        <x:v>Central</x:v>
      </x:c>
      <x:c r="F9" s="7" t="n">
        <x:v>6</x:v>
      </x:c>
      <x:c r="G9" s="7" t="n">
        <x:v>240</x:v>
      </x:c>
      <x:c r="H9" s="9" t="n">
        <x:v>0.02</x:v>
      </x:c>
      <x:c r="I9" s="7" t="n">
        <x:v>1411.2</x:v>
      </x:c>
    </x:row>
    <x:row r="10" ht="23" customHeight="1">
      <x:c r="A10" s="7" t="str">
        <x:v>INV00005</x:v>
      </x:c>
      <x:c r="B10" s="15" t="d">
        <x:v>2026-01-06T00:00:00.000Z</x:v>
      </x:c>
      <x:c r="C10" s="14" t="d">
        <x:v>2026-01-01T00:00:00.000Z</x:v>
      </x:c>
      <x:c r="D10" s="34" t="str">
        <x:v>0006</x:v>
      </x:c>
      <x:c r="E10" s="7" t="str">
        <x:v>Central</x:v>
      </x:c>
      <x:c r="F10" s="7" t="n">
        <x:v>1</x:v>
      </x:c>
      <x:c r="G10" s="7" t="n">
        <x:v>260</x:v>
      </x:c>
      <x:c r="H10" s="9" t="n">
        <x:v>0.05</x:v>
      </x:c>
      <x:c r="I10" s="7" t="n">
        <x:v>247</x:v>
      </x:c>
    </x:row>
    <x:row r="11" ht="23" customHeight="1">
      <x:c r="A11" s="7" t="str">
        <x:v>INV00006</x:v>
      </x:c>
      <x:c r="B11" s="15" t="d">
        <x:v>2026-01-07T00:00:00.000Z</x:v>
      </x:c>
      <x:c r="C11" s="14" t="d">
        <x:v>2026-01-01T00:00:00.000Z</x:v>
      </x:c>
      <x:c r="D11" s="34" t="str">
        <x:v>0007</x:v>
      </x:c>
      <x:c r="E11" s="7" t="str">
        <x:v>Central</x:v>
      </x:c>
      <x:c r="F11" s="7" t="n">
        <x:v>1</x:v>
      </x:c>
      <x:c r="G11" s="7" t="n">
        <x:v>280</x:v>
      </x:c>
      <x:c r="H11" s="9" t="n">
        <x:v>0</x:v>
      </x:c>
      <x:c r="I11" s="7" t="n">
        <x:v>280</x:v>
      </x:c>
    </x:row>
    <x:row r="12" ht="23" customHeight="1">
      <x:c r="A12" s="7" t="str">
        <x:v>INV00007</x:v>
      </x:c>
      <x:c r="B12" s="15" t="d">
        <x:v>2026-01-08T00:00:00.000Z</x:v>
      </x:c>
      <x:c r="C12" s="14" t="d">
        <x:v>2026-01-01T00:00:00.000Z</x:v>
      </x:c>
      <x:c r="D12" s="34" t="str">
        <x:v>0008</x:v>
      </x:c>
      <x:c r="E12" s="7" t="str">
        <x:v>Central</x:v>
      </x:c>
      <x:c r="F12" s="7" t="n">
        <x:v>6</x:v>
      </x:c>
      <x:c r="G12" s="7" t="n">
        <x:v>300</x:v>
      </x:c>
      <x:c r="H12" s="9" t="n">
        <x:v>0.02</x:v>
      </x:c>
      <x:c r="I12" s="7" t="n">
        <x:v>1764</x:v>
      </x:c>
    </x:row>
    <x:row r="13" ht="23" customHeight="1">
      <x:c r="A13" s="7" t="str">
        <x:v>INV00008</x:v>
      </x:c>
      <x:c r="B13" s="15" t="d">
        <x:v>2026-01-09T00:00:00.000Z</x:v>
      </x:c>
      <x:c r="C13" s="14" t="d">
        <x:v>2026-01-01T00:00:00.000Z</x:v>
      </x:c>
      <x:c r="D13" s="34" t="str">
        <x:v>0001</x:v>
      </x:c>
      <x:c r="E13" s="7" t="str">
        <x:v>East</x:v>
      </x:c>
      <x:c r="F13" s="7" t="n">
        <x:v>3</x:v>
      </x:c>
      <x:c r="G13" s="7" t="n">
        <x:v>160</x:v>
      </x:c>
      <x:c r="H13" s="9" t="n">
        <x:v>0.05</x:v>
      </x:c>
      <x:c r="I13" s="7" t="n">
        <x:v>456</x:v>
      </x:c>
    </x:row>
    <x:row r="14" ht="23" customHeight="1">
      <x:c r="A14" s="7" t="str">
        <x:v>INV00009</x:v>
      </x:c>
      <x:c r="B14" s="15" t="d">
        <x:v>2026-01-10T00:00:00.000Z</x:v>
      </x:c>
      <x:c r="C14" s="14" t="d">
        <x:v>2026-01-01T00:00:00.000Z</x:v>
      </x:c>
      <x:c r="D14" s="34" t="str">
        <x:v>0002</x:v>
      </x:c>
      <x:c r="E14" s="7" t="str">
        <x:v>East</x:v>
      </x:c>
      <x:c r="F14" s="7" t="n">
        <x:v>5</x:v>
      </x:c>
      <x:c r="G14" s="7" t="n">
        <x:v>180</x:v>
      </x:c>
      <x:c r="H14" s="9" t="n">
        <x:v>0</x:v>
      </x:c>
      <x:c r="I14" s="7" t="n">
        <x:v>900</x:v>
      </x:c>
    </x:row>
    <x:row r="15" ht="23" customHeight="1">
      <x:c r="A15" s="7" t="str">
        <x:v>INV00010</x:v>
      </x:c>
      <x:c r="B15" s="15" t="d">
        <x:v>2026-01-11T00:00:00.000Z</x:v>
      </x:c>
      <x:c r="C15" s="14" t="d">
        <x:v>2026-01-01T00:00:00.000Z</x:v>
      </x:c>
      <x:c r="D15" s="34" t="str">
        <x:v>0003</x:v>
      </x:c>
      <x:c r="E15" s="7" t="str">
        <x:v>East</x:v>
      </x:c>
      <x:c r="F15" s="7" t="n">
        <x:v>6</x:v>
      </x:c>
      <x:c r="G15" s="7" t="n">
        <x:v>200</x:v>
      </x:c>
      <x:c r="H15" s="9" t="n">
        <x:v>0.02</x:v>
      </x:c>
      <x:c r="I15" s="7" t="n">
        <x:v>1176</x:v>
      </x:c>
    </x:row>
    <x:row r="16" ht="23" customHeight="1">
      <x:c r="A16" s="7" t="str">
        <x:v>INV00011</x:v>
      </x:c>
      <x:c r="B16" s="15" t="d">
        <x:v>2026-01-12T00:00:00.000Z</x:v>
      </x:c>
      <x:c r="C16" s="14" t="d">
        <x:v>2026-01-01T00:00:00.000Z</x:v>
      </x:c>
      <x:c r="D16" s="34" t="str">
        <x:v>0004</x:v>
      </x:c>
      <x:c r="E16" s="7" t="str">
        <x:v>East</x:v>
      </x:c>
      <x:c r="F16" s="7" t="n">
        <x:v>1</x:v>
      </x:c>
      <x:c r="G16" s="7" t="n">
        <x:v>220</x:v>
      </x:c>
      <x:c r="H16" s="9" t="n">
        <x:v>0.05</x:v>
      </x:c>
      <x:c r="I16" s="7" t="n">
        <x:v>209</x:v>
      </x:c>
    </x:row>
    <x:row r="17" ht="23" customHeight="1">
      <x:c r="A17" s="7" t="str">
        <x:v>INV00012</x:v>
      </x:c>
      <x:c r="B17" s="15" t="d">
        <x:v>2026-01-13T00:00:00.000Z</x:v>
      </x:c>
      <x:c r="C17" s="14" t="d">
        <x:v>2026-01-01T00:00:00.000Z</x:v>
      </x:c>
      <x:c r="D17" s="34" t="str">
        <x:v>0005</x:v>
      </x:c>
      <x:c r="E17" s="7" t="str">
        <x:v>East</x:v>
      </x:c>
      <x:c r="F17" s="7" t="n">
        <x:v>4</x:v>
      </x:c>
      <x:c r="G17" s="7" t="n">
        <x:v>240</x:v>
      </x:c>
      <x:c r="H17" s="9" t="n">
        <x:v>0</x:v>
      </x:c>
      <x:c r="I17" s="7" t="n">
        <x:v>960</x:v>
      </x:c>
    </x:row>
    <x:row r="18" ht="23" customHeight="1">
      <x:c r="A18" s="7" t="str">
        <x:v>INV00013</x:v>
      </x:c>
      <x:c r="B18" s="15" t="d">
        <x:v>2026-01-14T00:00:00.000Z</x:v>
      </x:c>
      <x:c r="C18" s="14" t="d">
        <x:v>2026-01-01T00:00:00.000Z</x:v>
      </x:c>
      <x:c r="D18" s="34" t="str">
        <x:v>0006</x:v>
      </x:c>
      <x:c r="E18" s="7" t="str">
        <x:v>East</x:v>
      </x:c>
      <x:c r="F18" s="7" t="n">
        <x:v>5</x:v>
      </x:c>
      <x:c r="G18" s="7" t="n">
        <x:v>260</x:v>
      </x:c>
      <x:c r="H18" s="9" t="n">
        <x:v>0.02</x:v>
      </x:c>
      <x:c r="I18" s="7" t="n">
        <x:v>1274</x:v>
      </x:c>
    </x:row>
    <x:row r="19" ht="23" customHeight="1">
      <x:c r="A19" s="7" t="str">
        <x:v>INV00014</x:v>
      </x:c>
      <x:c r="B19" s="15" t="d">
        <x:v>2026-01-15T00:00:00.000Z</x:v>
      </x:c>
      <x:c r="C19" s="14" t="d">
        <x:v>2026-01-01T00:00:00.000Z</x:v>
      </x:c>
      <x:c r="D19" s="34" t="str">
        <x:v>0007</x:v>
      </x:c>
      <x:c r="E19" s="7" t="str">
        <x:v>East</x:v>
      </x:c>
      <x:c r="F19" s="7" t="n">
        <x:v>4</x:v>
      </x:c>
      <x:c r="G19" s="7" t="n">
        <x:v>280</x:v>
      </x:c>
      <x:c r="H19" s="9" t="n">
        <x:v>0.05</x:v>
      </x:c>
      <x:c r="I19" s="7" t="n">
        <x:v>1064</x:v>
      </x:c>
    </x:row>
    <x:row r="20" ht="23" customHeight="1">
      <x:c r="A20" s="7" t="str">
        <x:v>INV00015</x:v>
      </x:c>
      <x:c r="B20" s="15" t="d">
        <x:v>2026-01-16T00:00:00.000Z</x:v>
      </x:c>
      <x:c r="C20" s="14" t="d">
        <x:v>2026-01-01T00:00:00.000Z</x:v>
      </x:c>
      <x:c r="D20" s="34" t="str">
        <x:v>0008</x:v>
      </x:c>
      <x:c r="E20" s="7" t="str">
        <x:v>East</x:v>
      </x:c>
      <x:c r="F20" s="7" t="n">
        <x:v>2</x:v>
      </x:c>
      <x:c r="G20" s="7" t="n">
        <x:v>300</x:v>
      </x:c>
      <x:c r="H20" s="9" t="n">
        <x:v>0</x:v>
      </x:c>
      <x:c r="I20" s="7" t="n">
        <x:v>600</x:v>
      </x:c>
    </x:row>
    <x:row r="21" ht="23" customHeight="1">
      <x:c r="A21" s="7" t="str">
        <x:v>INV00016</x:v>
      </x:c>
      <x:c r="B21" s="15" t="d">
        <x:v>2026-01-17T00:00:00.000Z</x:v>
      </x:c>
      <x:c r="C21" s="14" t="d">
        <x:v>2026-01-01T00:00:00.000Z</x:v>
      </x:c>
      <x:c r="D21" s="34" t="str">
        <x:v>0001</x:v>
      </x:c>
      <x:c r="E21" s="7" t="str">
        <x:v>West</x:v>
      </x:c>
      <x:c r="F21" s="7" t="n">
        <x:v>3</x:v>
      </x:c>
      <x:c r="G21" s="7" t="n">
        <x:v>160</x:v>
      </x:c>
      <x:c r="H21" s="9" t="n">
        <x:v>0.02</x:v>
      </x:c>
      <x:c r="I21" s="7" t="n">
        <x:v>470.4</x:v>
      </x:c>
    </x:row>
    <x:row r="22" ht="23" customHeight="1">
      <x:c r="A22" s="7" t="str">
        <x:v>INV00017</x:v>
      </x:c>
      <x:c r="B22" s="15" t="d">
        <x:v>2026-01-18T00:00:00.000Z</x:v>
      </x:c>
      <x:c r="C22" s="14" t="d">
        <x:v>2026-01-01T00:00:00.000Z</x:v>
      </x:c>
      <x:c r="D22" s="34" t="str">
        <x:v>0002</x:v>
      </x:c>
      <x:c r="E22" s="7" t="str">
        <x:v>West</x:v>
      </x:c>
      <x:c r="F22" s="7" t="n">
        <x:v>2</x:v>
      </x:c>
      <x:c r="G22" s="7" t="n">
        <x:v>180</x:v>
      </x:c>
      <x:c r="H22" s="9" t="n">
        <x:v>0.05</x:v>
      </x:c>
      <x:c r="I22" s="7" t="n">
        <x:v>342</x:v>
      </x:c>
    </x:row>
    <x:row r="23" ht="23" customHeight="1">
      <x:c r="A23" s="7" t="str">
        <x:v>INV00018</x:v>
      </x:c>
      <x:c r="B23" s="15" t="d">
        <x:v>2026-01-19T00:00:00.000Z</x:v>
      </x:c>
      <x:c r="C23" s="14" t="d">
        <x:v>2026-01-01T00:00:00.000Z</x:v>
      </x:c>
      <x:c r="D23" s="34" t="str">
        <x:v>0003</x:v>
      </x:c>
      <x:c r="E23" s="7" t="str">
        <x:v>West</x:v>
      </x:c>
      <x:c r="F23" s="7" t="n">
        <x:v>3</x:v>
      </x:c>
      <x:c r="G23" s="7" t="n">
        <x:v>200</x:v>
      </x:c>
      <x:c r="H23" s="9" t="n">
        <x:v>0</x:v>
      </x:c>
      <x:c r="I23" s="7" t="n">
        <x:v>600</x:v>
      </x:c>
    </x:row>
    <x:row r="24" ht="23" customHeight="1">
      <x:c r="A24" s="7" t="str">
        <x:v>INV00019</x:v>
      </x:c>
      <x:c r="B24" s="15" t="d">
        <x:v>2026-01-20T00:00:00.000Z</x:v>
      </x:c>
      <x:c r="C24" s="14" t="d">
        <x:v>2026-01-01T00:00:00.000Z</x:v>
      </x:c>
      <x:c r="D24" s="34" t="str">
        <x:v>0004</x:v>
      </x:c>
      <x:c r="E24" s="7" t="str">
        <x:v>West</x:v>
      </x:c>
      <x:c r="F24" s="7" t="n">
        <x:v>4</x:v>
      </x:c>
      <x:c r="G24" s="7" t="n">
        <x:v>220</x:v>
      </x:c>
      <x:c r="H24" s="9" t="n">
        <x:v>0.02</x:v>
      </x:c>
      <x:c r="I24" s="7" t="n">
        <x:v>862.4</x:v>
      </x:c>
    </x:row>
    <x:row r="25" ht="23" customHeight="1">
      <x:c r="A25" s="7" t="str">
        <x:v>INV00020</x:v>
      </x:c>
      <x:c r="B25" s="15" t="d">
        <x:v>2026-01-21T00:00:00.000Z</x:v>
      </x:c>
      <x:c r="C25" s="14" t="d">
        <x:v>2026-01-01T00:00:00.000Z</x:v>
      </x:c>
      <x:c r="D25" s="34" t="str">
        <x:v>0005</x:v>
      </x:c>
      <x:c r="E25" s="7" t="str">
        <x:v>West</x:v>
      </x:c>
      <x:c r="F25" s="7" t="n">
        <x:v>4</x:v>
      </x:c>
      <x:c r="G25" s="7" t="n">
        <x:v>240</x:v>
      </x:c>
      <x:c r="H25" s="9" t="n">
        <x:v>0.05</x:v>
      </x:c>
      <x:c r="I25" s="7" t="n">
        <x:v>912</x:v>
      </x:c>
    </x:row>
    <x:row r="26" ht="23" customHeight="1">
      <x:c r="A26" s="7" t="str">
        <x:v>INV00021</x:v>
      </x:c>
      <x:c r="B26" s="15" t="d">
        <x:v>2026-01-22T00:00:00.000Z</x:v>
      </x:c>
      <x:c r="C26" s="14" t="d">
        <x:v>2026-01-01T00:00:00.000Z</x:v>
      </x:c>
      <x:c r="D26" s="34" t="str">
        <x:v>0006</x:v>
      </x:c>
      <x:c r="E26" s="7" t="str">
        <x:v>West</x:v>
      </x:c>
      <x:c r="F26" s="7" t="n">
        <x:v>2</x:v>
      </x:c>
      <x:c r="G26" s="7" t="n">
        <x:v>260</x:v>
      </x:c>
      <x:c r="H26" s="9" t="n">
        <x:v>0</x:v>
      </x:c>
      <x:c r="I26" s="7" t="n">
        <x:v>520</x:v>
      </x:c>
    </x:row>
    <x:row r="27" ht="23" customHeight="1">
      <x:c r="A27" s="7" t="str">
        <x:v>INV00022</x:v>
      </x:c>
      <x:c r="B27" s="15" t="d">
        <x:v>2026-01-23T00:00:00.000Z</x:v>
      </x:c>
      <x:c r="C27" s="14" t="d">
        <x:v>2026-01-01T00:00:00.000Z</x:v>
      </x:c>
      <x:c r="D27" s="34" t="str">
        <x:v>0007</x:v>
      </x:c>
      <x:c r="E27" s="7" t="str">
        <x:v>West</x:v>
      </x:c>
      <x:c r="F27" s="7" t="n">
        <x:v>7</x:v>
      </x:c>
      <x:c r="G27" s="7" t="n">
        <x:v>280</x:v>
      </x:c>
      <x:c r="H27" s="9" t="n">
        <x:v>0.02</x:v>
      </x:c>
      <x:c r="I27" s="7" t="n">
        <x:v>1920.8</x:v>
      </x:c>
    </x:row>
    <x:row r="28" ht="23" customHeight="1">
      <x:c r="A28" s="7" t="str">
        <x:v>INV00023</x:v>
      </x:c>
      <x:c r="B28" s="15" t="d">
        <x:v>2026-01-24T00:00:00.000Z</x:v>
      </x:c>
      <x:c r="C28" s="14" t="d">
        <x:v>2026-01-01T00:00:00.000Z</x:v>
      </x:c>
      <x:c r="D28" s="34" t="str">
        <x:v>0008</x:v>
      </x:c>
      <x:c r="E28" s="7" t="str">
        <x:v>West</x:v>
      </x:c>
      <x:c r="F28" s="7" t="n">
        <x:v>4</x:v>
      </x:c>
      <x:c r="G28" s="7" t="n">
        <x:v>300</x:v>
      </x:c>
      <x:c r="H28" s="9" t="n">
        <x:v>0.05</x:v>
      </x:c>
      <x:c r="I28" s="7" t="n">
        <x:v>1140</x:v>
      </x:c>
    </x:row>
    <x:row r="29" ht="23" customHeight="1">
      <x:c r="A29" s="7" t="str">
        <x:v>INV00024</x:v>
      </x:c>
      <x:c r="B29" s="15" t="d">
        <x:v>2026-01-25T00:00:00.000Z</x:v>
      </x:c>
      <x:c r="C29" s="14" t="d">
        <x:v>2026-01-01T00:00:00.000Z</x:v>
      </x:c>
      <x:c r="D29" s="34" t="str">
        <x:v>0001</x:v>
      </x:c>
      <x:c r="E29" s="7" t="str">
        <x:v>North</x:v>
      </x:c>
      <x:c r="F29" s="7" t="n">
        <x:v>5</x:v>
      </x:c>
      <x:c r="G29" s="7" t="n">
        <x:v>160</x:v>
      </x:c>
      <x:c r="H29" s="9" t="n">
        <x:v>0</x:v>
      </x:c>
      <x:c r="I29" s="7" t="n">
        <x:v>800</x:v>
      </x:c>
    </x:row>
    <x:row r="30" ht="23" customHeight="1">
      <x:c r="A30" s="7" t="str">
        <x:v>INV00025</x:v>
      </x:c>
      <x:c r="B30" s="15" t="d">
        <x:v>2026-01-26T00:00:00.000Z</x:v>
      </x:c>
      <x:c r="C30" s="14" t="d">
        <x:v>2026-01-01T00:00:00.000Z</x:v>
      </x:c>
      <x:c r="D30" s="34" t="str">
        <x:v>0002</x:v>
      </x:c>
      <x:c r="E30" s="7" t="str">
        <x:v>North</x:v>
      </x:c>
      <x:c r="F30" s="7" t="n">
        <x:v>6</x:v>
      </x:c>
      <x:c r="G30" s="7" t="n">
        <x:v>180</x:v>
      </x:c>
      <x:c r="H30" s="9" t="n">
        <x:v>0.02</x:v>
      </x:c>
      <x:c r="I30" s="7" t="n">
        <x:v>1058.4</x:v>
      </x:c>
    </x:row>
    <x:row r="31" ht="23" customHeight="1">
      <x:c r="A31" s="7" t="str">
        <x:v>INV00026</x:v>
      </x:c>
      <x:c r="B31" s="15" t="d">
        <x:v>2026-01-27T00:00:00.000Z</x:v>
      </x:c>
      <x:c r="C31" s="14" t="d">
        <x:v>2026-01-01T00:00:00.000Z</x:v>
      </x:c>
      <x:c r="D31" s="34" t="str">
        <x:v>0003</x:v>
      </x:c>
      <x:c r="E31" s="7" t="str">
        <x:v>North</x:v>
      </x:c>
      <x:c r="F31" s="7" t="n">
        <x:v>1</x:v>
      </x:c>
      <x:c r="G31" s="7" t="n">
        <x:v>200</x:v>
      </x:c>
      <x:c r="H31" s="9" t="n">
        <x:v>0.05</x:v>
      </x:c>
      <x:c r="I31" s="7" t="n">
        <x:v>190</x:v>
      </x:c>
    </x:row>
    <x:row r="32" ht="23" customHeight="1">
      <x:c r="A32" s="7" t="str">
        <x:v>INV00027</x:v>
      </x:c>
      <x:c r="B32" s="15" t="d">
        <x:v>2026-01-01T00:00:00.000Z</x:v>
      </x:c>
      <x:c r="C32" s="14" t="d">
        <x:v>2026-01-01T00:00:00.000Z</x:v>
      </x:c>
      <x:c r="D32" s="34" t="str">
        <x:v>0004</x:v>
      </x:c>
      <x:c r="E32" s="7" t="str">
        <x:v>North</x:v>
      </x:c>
      <x:c r="F32" s="7" t="n">
        <x:v>1</x:v>
      </x:c>
      <x:c r="G32" s="7" t="n">
        <x:v>220</x:v>
      </x:c>
      <x:c r="H32" s="9" t="n">
        <x:v>0</x:v>
      </x:c>
      <x:c r="I32" s="7" t="n">
        <x:v>220</x:v>
      </x:c>
    </x:row>
    <x:row r="33" ht="23" customHeight="1">
      <x:c r="A33" s="7" t="str">
        <x:v>INV00028</x:v>
      </x:c>
      <x:c r="B33" s="15" t="d">
        <x:v>2026-01-02T00:00:00.000Z</x:v>
      </x:c>
      <x:c r="C33" s="14" t="d">
        <x:v>2026-01-01T00:00:00.000Z</x:v>
      </x:c>
      <x:c r="D33" s="34" t="str">
        <x:v>0005</x:v>
      </x:c>
      <x:c r="E33" s="7" t="str">
        <x:v>North</x:v>
      </x:c>
      <x:c r="F33" s="7" t="n">
        <x:v>6</x:v>
      </x:c>
      <x:c r="G33" s="7" t="n">
        <x:v>240</x:v>
      </x:c>
      <x:c r="H33" s="9" t="n">
        <x:v>0.02</x:v>
      </x:c>
      <x:c r="I33" s="7" t="n">
        <x:v>1411.2</x:v>
      </x:c>
    </x:row>
    <x:row r="34" ht="23" customHeight="1">
      <x:c r="A34" s="7" t="str">
        <x:v>INV00029</x:v>
      </x:c>
      <x:c r="B34" s="15" t="d">
        <x:v>2026-01-03T00:00:00.000Z</x:v>
      </x:c>
      <x:c r="C34" s="14" t="d">
        <x:v>2026-01-01T00:00:00.000Z</x:v>
      </x:c>
      <x:c r="D34" s="34" t="str">
        <x:v>0006</x:v>
      </x:c>
      <x:c r="E34" s="7" t="str">
        <x:v>North</x:v>
      </x:c>
      <x:c r="F34" s="7" t="n">
        <x:v>3</x:v>
      </x:c>
      <x:c r="G34" s="7" t="n">
        <x:v>260</x:v>
      </x:c>
      <x:c r="H34" s="9" t="n">
        <x:v>0.05</x:v>
      </x:c>
      <x:c r="I34" s="7" t="n">
        <x:v>741</x:v>
      </x:c>
    </x:row>
    <x:row r="35" ht="23" customHeight="1">
      <x:c r="A35" s="7" t="str">
        <x:v>INV00030</x:v>
      </x:c>
      <x:c r="B35" s="15" t="d">
        <x:v>2026-01-04T00:00:00.000Z</x:v>
      </x:c>
      <x:c r="C35" s="14" t="d">
        <x:v>2026-01-01T00:00:00.000Z</x:v>
      </x:c>
      <x:c r="D35" s="34" t="str">
        <x:v>0007</x:v>
      </x:c>
      <x:c r="E35" s="7" t="str">
        <x:v>North</x:v>
      </x:c>
      <x:c r="F35" s="7" t="n">
        <x:v>1</x:v>
      </x:c>
      <x:c r="G35" s="7" t="n">
        <x:v>280</x:v>
      </x:c>
      <x:c r="H35" s="9" t="n">
        <x:v>0</x:v>
      </x:c>
      <x:c r="I35" s="7" t="n">
        <x:v>280</x:v>
      </x:c>
    </x:row>
    <x:row r="36" ht="23" customHeight="1">
      <x:c r="A36" s="7" t="str">
        <x:v>INV00031</x:v>
      </x:c>
      <x:c r="B36" s="15" t="d">
        <x:v>2026-01-05T00:00:00.000Z</x:v>
      </x:c>
      <x:c r="C36" s="14" t="d">
        <x:v>2026-01-01T00:00:00.000Z</x:v>
      </x:c>
      <x:c r="D36" s="34" t="str">
        <x:v>0008</x:v>
      </x:c>
      <x:c r="E36" s="7" t="str">
        <x:v>North</x:v>
      </x:c>
      <x:c r="F36" s="7" t="n">
        <x:v>3</x:v>
      </x:c>
      <x:c r="G36" s="7" t="n">
        <x:v>300</x:v>
      </x:c>
      <x:c r="H36" s="9" t="n">
        <x:v>0.02</x:v>
      </x:c>
      <x:c r="I36" s="7" t="n">
        <x:v>882</x:v>
      </x:c>
    </x:row>
    <x:row r="37" ht="23" customHeight="1">
      <x:c r="A37" s="7" t="str">
        <x:v>INV00032</x:v>
      </x:c>
      <x:c r="B37" s="15" t="d">
        <x:v>2026-02-06T00:00:00.000Z</x:v>
      </x:c>
      <x:c r="C37" s="14" t="d">
        <x:v>2026-02-01T00:00:00.000Z</x:v>
      </x:c>
      <x:c r="D37" s="34" t="str">
        <x:v>0001</x:v>
      </x:c>
      <x:c r="E37" s="7" t="str">
        <x:v>Central</x:v>
      </x:c>
      <x:c r="F37" s="7" t="n">
        <x:v>3</x:v>
      </x:c>
      <x:c r="G37" s="7" t="n">
        <x:v>160</x:v>
      </x:c>
      <x:c r="H37" s="9" t="n">
        <x:v>0.05</x:v>
      </x:c>
      <x:c r="I37" s="7" t="n">
        <x:v>456</x:v>
      </x:c>
    </x:row>
    <x:row r="38" ht="23" customHeight="1">
      <x:c r="A38" s="7" t="str">
        <x:v>INV00033</x:v>
      </x:c>
      <x:c r="B38" s="15" t="d">
        <x:v>2026-02-07T00:00:00.000Z</x:v>
      </x:c>
      <x:c r="C38" s="14" t="d">
        <x:v>2026-02-01T00:00:00.000Z</x:v>
      </x:c>
      <x:c r="D38" s="34" t="str">
        <x:v>0002</x:v>
      </x:c>
      <x:c r="E38" s="7" t="str">
        <x:v>Central</x:v>
      </x:c>
      <x:c r="F38" s="7" t="n">
        <x:v>2</x:v>
      </x:c>
      <x:c r="G38" s="7" t="n">
        <x:v>180</x:v>
      </x:c>
      <x:c r="H38" s="9" t="n">
        <x:v>0</x:v>
      </x:c>
      <x:c r="I38" s="7" t="n">
        <x:v>360</x:v>
      </x:c>
    </x:row>
    <x:row r="39" ht="23" customHeight="1">
      <x:c r="A39" s="7" t="str">
        <x:v>INV00034</x:v>
      </x:c>
      <x:c r="B39" s="15" t="d">
        <x:v>2026-02-08T00:00:00.000Z</x:v>
      </x:c>
      <x:c r="C39" s="14" t="d">
        <x:v>2026-02-01T00:00:00.000Z</x:v>
      </x:c>
      <x:c r="D39" s="34" t="str">
        <x:v>0003</x:v>
      </x:c>
      <x:c r="E39" s="7" t="str">
        <x:v>Central</x:v>
      </x:c>
      <x:c r="F39" s="7" t="n">
        <x:v>7</x:v>
      </x:c>
      <x:c r="G39" s="7" t="n">
        <x:v>200</x:v>
      </x:c>
      <x:c r="H39" s="9" t="n">
        <x:v>0.02</x:v>
      </x:c>
      <x:c r="I39" s="7" t="n">
        <x:v>1372</x:v>
      </x:c>
    </x:row>
    <x:row r="40" ht="23" customHeight="1">
      <x:c r="A40" s="7" t="str">
        <x:v>INV00035</x:v>
      </x:c>
      <x:c r="B40" s="15" t="d">
        <x:v>2026-02-09T00:00:00.000Z</x:v>
      </x:c>
      <x:c r="C40" s="14" t="d">
        <x:v>2026-02-01T00:00:00.000Z</x:v>
      </x:c>
      <x:c r="D40" s="34" t="str">
        <x:v>0004</x:v>
      </x:c>
      <x:c r="E40" s="7" t="str">
        <x:v>Central</x:v>
      </x:c>
      <x:c r="F40" s="7" t="n">
        <x:v>7</x:v>
      </x:c>
      <x:c r="G40" s="7" t="n">
        <x:v>220</x:v>
      </x:c>
      <x:c r="H40" s="9" t="n">
        <x:v>0.05</x:v>
      </x:c>
      <x:c r="I40" s="7" t="n">
        <x:v>1463</x:v>
      </x:c>
    </x:row>
    <x:row r="41" ht="23" customHeight="1">
      <x:c r="A41" s="7" t="str">
        <x:v>INV00036</x:v>
      </x:c>
      <x:c r="B41" s="15" t="d">
        <x:v>2026-02-10T00:00:00.000Z</x:v>
      </x:c>
      <x:c r="C41" s="14" t="d">
        <x:v>2026-02-01T00:00:00.000Z</x:v>
      </x:c>
      <x:c r="D41" s="34" t="str">
        <x:v>0005</x:v>
      </x:c>
      <x:c r="E41" s="7" t="str">
        <x:v>Central</x:v>
      </x:c>
      <x:c r="F41" s="7" t="n">
        <x:v>1</x:v>
      </x:c>
      <x:c r="G41" s="7" t="n">
        <x:v>240</x:v>
      </x:c>
      <x:c r="H41" s="9" t="n">
        <x:v>0</x:v>
      </x:c>
      <x:c r="I41" s="7" t="n">
        <x:v>240</x:v>
      </x:c>
    </x:row>
    <x:row r="42" ht="23" customHeight="1">
      <x:c r="A42" s="7" t="str">
        <x:v>INV00037</x:v>
      </x:c>
      <x:c r="B42" s="15" t="d">
        <x:v>2026-02-11T00:00:00.000Z</x:v>
      </x:c>
      <x:c r="C42" s="14" t="d">
        <x:v>2026-02-01T00:00:00.000Z</x:v>
      </x:c>
      <x:c r="D42" s="34" t="str">
        <x:v>0006</x:v>
      </x:c>
      <x:c r="E42" s="7" t="str">
        <x:v>Central</x:v>
      </x:c>
      <x:c r="F42" s="7" t="n">
        <x:v>3</x:v>
      </x:c>
      <x:c r="G42" s="7" t="n">
        <x:v>260</x:v>
      </x:c>
      <x:c r="H42" s="9" t="n">
        <x:v>0.02</x:v>
      </x:c>
      <x:c r="I42" s="7" t="n">
        <x:v>764.4</x:v>
      </x:c>
    </x:row>
    <x:row r="43" ht="23" customHeight="1">
      <x:c r="A43" s="7" t="str">
        <x:v>INV00038</x:v>
      </x:c>
      <x:c r="B43" s="15" t="d">
        <x:v>2026-02-12T00:00:00.000Z</x:v>
      </x:c>
      <x:c r="C43" s="14" t="d">
        <x:v>2026-02-01T00:00:00.000Z</x:v>
      </x:c>
      <x:c r="D43" s="34" t="str">
        <x:v>0007</x:v>
      </x:c>
      <x:c r="E43" s="7" t="str">
        <x:v>Central</x:v>
      </x:c>
      <x:c r="F43" s="7" t="n">
        <x:v>3</x:v>
      </x:c>
      <x:c r="G43" s="7" t="n">
        <x:v>280</x:v>
      </x:c>
      <x:c r="H43" s="9" t="n">
        <x:v>0.05</x:v>
      </x:c>
      <x:c r="I43" s="7" t="n">
        <x:v>798</x:v>
      </x:c>
    </x:row>
    <x:row r="44" ht="23" customHeight="1">
      <x:c r="A44" s="7" t="str">
        <x:v>INV00039</x:v>
      </x:c>
      <x:c r="B44" s="15" t="d">
        <x:v>2026-02-13T00:00:00.000Z</x:v>
      </x:c>
      <x:c r="C44" s="14" t="d">
        <x:v>2026-02-01T00:00:00.000Z</x:v>
      </x:c>
      <x:c r="D44" s="34" t="str">
        <x:v>0008</x:v>
      </x:c>
      <x:c r="E44" s="7" t="str">
        <x:v>Central</x:v>
      </x:c>
      <x:c r="F44" s="7" t="n">
        <x:v>4</x:v>
      </x:c>
      <x:c r="G44" s="7" t="n">
        <x:v>300</x:v>
      </x:c>
      <x:c r="H44" s="9" t="n">
        <x:v>0</x:v>
      </x:c>
      <x:c r="I44" s="7" t="n">
        <x:v>1200</x:v>
      </x:c>
    </x:row>
    <x:row r="45" ht="23" customHeight="1">
      <x:c r="A45" s="7" t="str">
        <x:v>INV00040</x:v>
      </x:c>
      <x:c r="B45" s="15" t="d">
        <x:v>2026-02-14T00:00:00.000Z</x:v>
      </x:c>
      <x:c r="C45" s="14" t="d">
        <x:v>2026-02-01T00:00:00.000Z</x:v>
      </x:c>
      <x:c r="D45" s="34" t="str">
        <x:v>0001</x:v>
      </x:c>
      <x:c r="E45" s="7" t="str">
        <x:v>East</x:v>
      </x:c>
      <x:c r="F45" s="7" t="n">
        <x:v>4</x:v>
      </x:c>
      <x:c r="G45" s="7" t="n">
        <x:v>160</x:v>
      </x:c>
      <x:c r="H45" s="9" t="n">
        <x:v>0.02</x:v>
      </x:c>
      <x:c r="I45" s="7" t="n">
        <x:v>627.2</x:v>
      </x:c>
    </x:row>
    <x:row r="46" ht="23" customHeight="1">
      <x:c r="A46" s="7" t="str">
        <x:v>INV00041</x:v>
      </x:c>
      <x:c r="B46" s="15" t="d">
        <x:v>2026-02-15T00:00:00.000Z</x:v>
      </x:c>
      <x:c r="C46" s="14" t="d">
        <x:v>2026-02-01T00:00:00.000Z</x:v>
      </x:c>
      <x:c r="D46" s="34" t="str">
        <x:v>0002</x:v>
      </x:c>
      <x:c r="E46" s="7" t="str">
        <x:v>East</x:v>
      </x:c>
      <x:c r="F46" s="7" t="n">
        <x:v>-4</x:v>
      </x:c>
      <x:c r="G46" s="7" t="n">
        <x:v>180</x:v>
      </x:c>
      <x:c r="H46" s="9" t="n">
        <x:v>0.05</x:v>
      </x:c>
      <x:c r="I46" s="7" t="n">
        <x:v>-684</x:v>
      </x:c>
    </x:row>
    <x:row r="47" ht="23" customHeight="1">
      <x:c r="A47" s="7" t="str">
        <x:v>INV00042</x:v>
      </x:c>
      <x:c r="B47" s="15" t="d">
        <x:v>2026-02-16T00:00:00.000Z</x:v>
      </x:c>
      <x:c r="C47" s="14" t="d">
        <x:v>2026-02-01T00:00:00.000Z</x:v>
      </x:c>
      <x:c r="D47" s="34" t="str">
        <x:v>0003</x:v>
      </x:c>
      <x:c r="E47" s="7" t="str">
        <x:v>East</x:v>
      </x:c>
      <x:c r="F47" s="7" t="n">
        <x:v>2</x:v>
      </x:c>
      <x:c r="G47" s="7" t="n">
        <x:v>200</x:v>
      </x:c>
      <x:c r="H47" s="9" t="n">
        <x:v>0</x:v>
      </x:c>
      <x:c r="I47" s="7" t="n">
        <x:v>400</x:v>
      </x:c>
    </x:row>
    <x:row r="48" ht="23" customHeight="1">
      <x:c r="A48" s="7" t="str">
        <x:v>INV00043</x:v>
      </x:c>
      <x:c r="B48" s="15" t="d">
        <x:v>2026-02-17T00:00:00.000Z</x:v>
      </x:c>
      <x:c r="C48" s="14" t="d">
        <x:v>2026-02-01T00:00:00.000Z</x:v>
      </x:c>
      <x:c r="D48" s="34" t="str">
        <x:v>0004</x:v>
      </x:c>
      <x:c r="E48" s="7" t="str">
        <x:v>East</x:v>
      </x:c>
      <x:c r="F48" s="7" t="n">
        <x:v>6</x:v>
      </x:c>
      <x:c r="G48" s="7" t="n">
        <x:v>220</x:v>
      </x:c>
      <x:c r="H48" s="9" t="n">
        <x:v>0.02</x:v>
      </x:c>
      <x:c r="I48" s="7" t="n">
        <x:v>1293.6</x:v>
      </x:c>
    </x:row>
    <x:row r="49" ht="23" customHeight="1">
      <x:c r="A49" s="7" t="str">
        <x:v>INV00044</x:v>
      </x:c>
      <x:c r="B49" s="15" t="d">
        <x:v>2026-02-18T00:00:00.000Z</x:v>
      </x:c>
      <x:c r="C49" s="14" t="d">
        <x:v>2026-02-01T00:00:00.000Z</x:v>
      </x:c>
      <x:c r="D49" s="34" t="str">
        <x:v>0005</x:v>
      </x:c>
      <x:c r="E49" s="7" t="str">
        <x:v>East</x:v>
      </x:c>
      <x:c r="F49" s="7" t="n">
        <x:v>6</x:v>
      </x:c>
      <x:c r="G49" s="7" t="n">
        <x:v>240</x:v>
      </x:c>
      <x:c r="H49" s="9" t="n">
        <x:v>0.05</x:v>
      </x:c>
      <x:c r="I49" s="7" t="n">
        <x:v>1368</x:v>
      </x:c>
    </x:row>
    <x:row r="50" ht="23" customHeight="1">
      <x:c r="A50" s="7" t="str">
        <x:v>INV00045</x:v>
      </x:c>
      <x:c r="B50" s="15" t="d">
        <x:v>2026-02-19T00:00:00.000Z</x:v>
      </x:c>
      <x:c r="C50" s="14" t="d">
        <x:v>2026-02-01T00:00:00.000Z</x:v>
      </x:c>
      <x:c r="D50" s="34" t="str">
        <x:v>0006</x:v>
      </x:c>
      <x:c r="E50" s="7" t="str">
        <x:v>East</x:v>
      </x:c>
      <x:c r="F50" s="7" t="n">
        <x:v>3</x:v>
      </x:c>
      <x:c r="G50" s="7" t="n">
        <x:v>260</x:v>
      </x:c>
      <x:c r="H50" s="9" t="n">
        <x:v>0</x:v>
      </x:c>
      <x:c r="I50" s="7" t="n">
        <x:v>780</x:v>
      </x:c>
    </x:row>
    <x:row r="51" ht="23" customHeight="1">
      <x:c r="A51" s="7" t="str">
        <x:v>INV00046</x:v>
      </x:c>
      <x:c r="B51" s="15" t="d">
        <x:v>2026-02-20T00:00:00.000Z</x:v>
      </x:c>
      <x:c r="C51" s="14" t="d">
        <x:v>2026-02-01T00:00:00.000Z</x:v>
      </x:c>
      <x:c r="D51" s="34" t="str">
        <x:v>0007</x:v>
      </x:c>
      <x:c r="E51" s="7" t="str">
        <x:v>East</x:v>
      </x:c>
      <x:c r="F51" s="7" t="n">
        <x:v>2</x:v>
      </x:c>
      <x:c r="G51" s="7" t="n">
        <x:v>280</x:v>
      </x:c>
      <x:c r="H51" s="9" t="n">
        <x:v>0.02</x:v>
      </x:c>
      <x:c r="I51" s="7" t="n">
        <x:v>548.8</x:v>
      </x:c>
    </x:row>
    <x:row r="52" ht="23" customHeight="1">
      <x:c r="A52" s="7" t="str">
        <x:v>INV00047</x:v>
      </x:c>
      <x:c r="B52" s="15" t="d">
        <x:v>2026-02-21T00:00:00.000Z</x:v>
      </x:c>
      <x:c r="C52" s="14" t="d">
        <x:v>2026-02-01T00:00:00.000Z</x:v>
      </x:c>
      <x:c r="D52" s="34" t="str">
        <x:v>0008</x:v>
      </x:c>
      <x:c r="E52" s="7" t="str">
        <x:v>East</x:v>
      </x:c>
      <x:c r="F52" s="7" t="n">
        <x:v>5</x:v>
      </x:c>
      <x:c r="G52" s="7" t="n">
        <x:v>300</x:v>
      </x:c>
      <x:c r="H52" s="9" t="n">
        <x:v>0.05</x:v>
      </x:c>
      <x:c r="I52" s="7" t="n">
        <x:v>1425</x:v>
      </x:c>
    </x:row>
    <x:row r="53" ht="23" customHeight="1">
      <x:c r="A53" s="7" t="str">
        <x:v>INV00048</x:v>
      </x:c>
      <x:c r="B53" s="15" t="d">
        <x:v>2026-02-22T00:00:00.000Z</x:v>
      </x:c>
      <x:c r="C53" s="14" t="d">
        <x:v>2026-02-01T00:00:00.000Z</x:v>
      </x:c>
      <x:c r="D53" s="34" t="str">
        <x:v>0001</x:v>
      </x:c>
      <x:c r="E53" s="7" t="str">
        <x:v>West</x:v>
      </x:c>
      <x:c r="F53" s="7" t="n">
        <x:v>5</x:v>
      </x:c>
      <x:c r="G53" s="7" t="n">
        <x:v>160</x:v>
      </x:c>
      <x:c r="H53" s="9" t="n">
        <x:v>0</x:v>
      </x:c>
      <x:c r="I53" s="7" t="n">
        <x:v>800</x:v>
      </x:c>
    </x:row>
    <x:row r="54" ht="23" customHeight="1">
      <x:c r="A54" s="7" t="str">
        <x:v>INV00049</x:v>
      </x:c>
      <x:c r="B54" s="15" t="d">
        <x:v>2026-02-23T00:00:00.000Z</x:v>
      </x:c>
      <x:c r="C54" s="14" t="d">
        <x:v>2026-02-01T00:00:00.000Z</x:v>
      </x:c>
      <x:c r="D54" s="34" t="str">
        <x:v>0002</x:v>
      </x:c>
      <x:c r="E54" s="7" t="str">
        <x:v>West</x:v>
      </x:c>
      <x:c r="F54" s="7" t="n">
        <x:v>7</x:v>
      </x:c>
      <x:c r="G54" s="7" t="n">
        <x:v>180</x:v>
      </x:c>
      <x:c r="H54" s="9" t="n">
        <x:v>0.02</x:v>
      </x:c>
      <x:c r="I54" s="7" t="n">
        <x:v>1234.8</x:v>
      </x:c>
    </x:row>
    <x:row r="55" ht="23" customHeight="1">
      <x:c r="A55" s="7" t="str">
        <x:v>INV00050</x:v>
      </x:c>
      <x:c r="B55" s="15" t="d">
        <x:v>2026-02-24T00:00:00.000Z</x:v>
      </x:c>
      <x:c r="C55" s="14" t="d">
        <x:v>2026-02-01T00:00:00.000Z</x:v>
      </x:c>
      <x:c r="D55" s="34" t="str">
        <x:v>0003</x:v>
      </x:c>
      <x:c r="E55" s="7" t="str">
        <x:v>West</x:v>
      </x:c>
      <x:c r="F55" s="7" t="n">
        <x:v>7</x:v>
      </x:c>
      <x:c r="G55" s="7" t="n">
        <x:v>200</x:v>
      </x:c>
      <x:c r="H55" s="9" t="n">
        <x:v>0.05</x:v>
      </x:c>
      <x:c r="I55" s="7" t="n">
        <x:v>1330</x:v>
      </x:c>
    </x:row>
    <x:row r="56" ht="23" customHeight="1">
      <x:c r="A56" s="7" t="str">
        <x:v>INV00051</x:v>
      </x:c>
      <x:c r="B56" s="15" t="d">
        <x:v>2026-02-25T00:00:00.000Z</x:v>
      </x:c>
      <x:c r="C56" s="14" t="d">
        <x:v>2026-02-01T00:00:00.000Z</x:v>
      </x:c>
      <x:c r="D56" s="34" t="str">
        <x:v>0004</x:v>
      </x:c>
      <x:c r="E56" s="7" t="str">
        <x:v>West</x:v>
      </x:c>
      <x:c r="F56" s="7" t="n">
        <x:v>4</x:v>
      </x:c>
      <x:c r="G56" s="7" t="n">
        <x:v>220</x:v>
      </x:c>
      <x:c r="H56" s="9" t="n">
        <x:v>0</x:v>
      </x:c>
      <x:c r="I56" s="7" t="n">
        <x:v>880</x:v>
      </x:c>
    </x:row>
    <x:row r="57" ht="23" customHeight="1">
      <x:c r="A57" s="7" t="str">
        <x:v>INV00052</x:v>
      </x:c>
      <x:c r="B57" s="15" t="d">
        <x:v>2026-02-26T00:00:00.000Z</x:v>
      </x:c>
      <x:c r="C57" s="14" t="d">
        <x:v>2026-02-01T00:00:00.000Z</x:v>
      </x:c>
      <x:c r="D57" s="34" t="str">
        <x:v>0005</x:v>
      </x:c>
      <x:c r="E57" s="7" t="str">
        <x:v>West</x:v>
      </x:c>
      <x:c r="F57" s="7" t="n">
        <x:v>4</x:v>
      </x:c>
      <x:c r="G57" s="7" t="n">
        <x:v>240</x:v>
      </x:c>
      <x:c r="H57" s="9" t="n">
        <x:v>0.02</x:v>
      </x:c>
      <x:c r="I57" s="7" t="n">
        <x:v>940.8</x:v>
      </x:c>
    </x:row>
    <x:row r="58" ht="23" customHeight="1">
      <x:c r="A58" s="7" t="str">
        <x:v>INV00053</x:v>
      </x:c>
      <x:c r="B58" s="15" t="d">
        <x:v>2026-02-27T00:00:00.000Z</x:v>
      </x:c>
      <x:c r="C58" s="14" t="d">
        <x:v>2026-02-01T00:00:00.000Z</x:v>
      </x:c>
      <x:c r="D58" s="34" t="str">
        <x:v>0006</x:v>
      </x:c>
      <x:c r="E58" s="7" t="str">
        <x:v>West</x:v>
      </x:c>
      <x:c r="F58" s="7" t="n">
        <x:v>2</x:v>
      </x:c>
      <x:c r="G58" s="7" t="n">
        <x:v>260</x:v>
      </x:c>
      <x:c r="H58" s="9" t="n">
        <x:v>0.05</x:v>
      </x:c>
      <x:c r="I58" s="7" t="n">
        <x:v>494</x:v>
      </x:c>
    </x:row>
    <x:row r="59" ht="23" customHeight="1">
      <x:c r="A59" s="7" t="str">
        <x:v>INV00054</x:v>
      </x:c>
      <x:c r="B59" s="15" t="d">
        <x:v>2026-02-01T00:00:00.000Z</x:v>
      </x:c>
      <x:c r="C59" s="14" t="d">
        <x:v>2026-02-01T00:00:00.000Z</x:v>
      </x:c>
      <x:c r="D59" s="34" t="str">
        <x:v>0007</x:v>
      </x:c>
      <x:c r="E59" s="7" t="str">
        <x:v>West</x:v>
      </x:c>
      <x:c r="F59" s="7" t="n">
        <x:v>6</x:v>
      </x:c>
      <x:c r="G59" s="7" t="n">
        <x:v>280</x:v>
      </x:c>
      <x:c r="H59" s="9" t="n">
        <x:v>0</x:v>
      </x:c>
      <x:c r="I59" s="7" t="n">
        <x:v>1680</x:v>
      </x:c>
    </x:row>
    <x:row r="60" ht="23" customHeight="1">
      <x:c r="A60" s="7" t="str">
        <x:v>INV00055</x:v>
      </x:c>
      <x:c r="B60" s="15" t="d">
        <x:v>2026-02-02T00:00:00.000Z</x:v>
      </x:c>
      <x:c r="C60" s="14" t="d">
        <x:v>2026-02-01T00:00:00.000Z</x:v>
      </x:c>
      <x:c r="D60" s="34" t="str">
        <x:v>0008</x:v>
      </x:c>
      <x:c r="E60" s="7" t="str">
        <x:v>West</x:v>
      </x:c>
      <x:c r="F60" s="7" t="n">
        <x:v>3</x:v>
      </x:c>
      <x:c r="G60" s="7" t="n">
        <x:v>300</x:v>
      </x:c>
      <x:c r="H60" s="9" t="n">
        <x:v>0.02</x:v>
      </x:c>
      <x:c r="I60" s="7" t="n">
        <x:v>882</x:v>
      </x:c>
    </x:row>
    <x:row r="61" ht="23" customHeight="1">
      <x:c r="A61" s="7" t="str">
        <x:v>INV00056</x:v>
      </x:c>
      <x:c r="B61" s="15" t="d">
        <x:v>2026-02-03T00:00:00.000Z</x:v>
      </x:c>
      <x:c r="C61" s="14" t="d">
        <x:v>2026-02-01T00:00:00.000Z</x:v>
      </x:c>
      <x:c r="D61" s="34" t="str">
        <x:v>0001</x:v>
      </x:c>
      <x:c r="E61" s="7" t="str">
        <x:v>North</x:v>
      </x:c>
      <x:c r="F61" s="7" t="n">
        <x:v>5</x:v>
      </x:c>
      <x:c r="G61" s="7" t="n">
        <x:v>160</x:v>
      </x:c>
      <x:c r="H61" s="9" t="n">
        <x:v>0.05</x:v>
      </x:c>
      <x:c r="I61" s="7" t="n">
        <x:v>760</x:v>
      </x:c>
    </x:row>
    <x:row r="62" ht="23" customHeight="1">
      <x:c r="A62" s="7" t="str">
        <x:v>INV00057</x:v>
      </x:c>
      <x:c r="B62" s="15" t="d">
        <x:v>2026-02-04T00:00:00.000Z</x:v>
      </x:c>
      <x:c r="C62" s="14" t="d">
        <x:v>2026-02-01T00:00:00.000Z</x:v>
      </x:c>
      <x:c r="D62" s="34" t="str">
        <x:v>0002</x:v>
      </x:c>
      <x:c r="E62" s="7" t="str">
        <x:v>North</x:v>
      </x:c>
      <x:c r="F62" s="7" t="n">
        <x:v>2</x:v>
      </x:c>
      <x:c r="G62" s="7" t="n">
        <x:v>180</x:v>
      </x:c>
      <x:c r="H62" s="9" t="n">
        <x:v>0</x:v>
      </x:c>
      <x:c r="I62" s="7" t="n">
        <x:v>360</x:v>
      </x:c>
    </x:row>
    <x:row r="63" ht="23" customHeight="1">
      <x:c r="A63" s="7" t="str">
        <x:v>INV00058</x:v>
      </x:c>
      <x:c r="B63" s="15" t="d">
        <x:v>2026-02-05T00:00:00.000Z</x:v>
      </x:c>
      <x:c r="C63" s="14" t="d">
        <x:v>2026-02-01T00:00:00.000Z</x:v>
      </x:c>
      <x:c r="D63" s="34" t="str">
        <x:v>0003</x:v>
      </x:c>
      <x:c r="E63" s="7" t="str">
        <x:v>North</x:v>
      </x:c>
      <x:c r="F63" s="7" t="n">
        <x:v>7</x:v>
      </x:c>
      <x:c r="G63" s="7" t="n">
        <x:v>200</x:v>
      </x:c>
      <x:c r="H63" s="9" t="n">
        <x:v>0.02</x:v>
      </x:c>
      <x:c r="I63" s="7" t="n">
        <x:v>1372</x:v>
      </x:c>
    </x:row>
    <x:row r="64" ht="23" customHeight="1">
      <x:c r="A64" s="7" t="str">
        <x:v>INV00059</x:v>
      </x:c>
      <x:c r="B64" s="15" t="d">
        <x:v>2026-02-06T00:00:00.000Z</x:v>
      </x:c>
      <x:c r="C64" s="14" t="d">
        <x:v>2026-02-01T00:00:00.000Z</x:v>
      </x:c>
      <x:c r="D64" s="34" t="str">
        <x:v>0004</x:v>
      </x:c>
      <x:c r="E64" s="7" t="str">
        <x:v>North</x:v>
      </x:c>
      <x:c r="F64" s="7" t="n">
        <x:v>1</x:v>
      </x:c>
      <x:c r="G64" s="7" t="n">
        <x:v>220</x:v>
      </x:c>
      <x:c r="H64" s="9" t="n">
        <x:v>0.05</x:v>
      </x:c>
      <x:c r="I64" s="7" t="n">
        <x:v>209</x:v>
      </x:c>
    </x:row>
    <x:row r="65" ht="23" customHeight="1">
      <x:c r="A65" s="7" t="str">
        <x:v>INV00060</x:v>
      </x:c>
      <x:c r="B65" s="15" t="d">
        <x:v>2026-02-07T00:00:00.000Z</x:v>
      </x:c>
      <x:c r="C65" s="14" t="d">
        <x:v>2026-02-01T00:00:00.000Z</x:v>
      </x:c>
      <x:c r="D65" s="34" t="str">
        <x:v>0005</x:v>
      </x:c>
      <x:c r="E65" s="7" t="str">
        <x:v>North</x:v>
      </x:c>
      <x:c r="F65" s="7" t="n">
        <x:v>3</x:v>
      </x:c>
      <x:c r="G65" s="7" t="n">
        <x:v>240</x:v>
      </x:c>
      <x:c r="H65" s="9" t="n">
        <x:v>0</x:v>
      </x:c>
      <x:c r="I65" s="7" t="n">
        <x:v>720</x:v>
      </x:c>
    </x:row>
    <x:row r="66" ht="23" customHeight="1">
      <x:c r="A66" s="7" t="str">
        <x:v>INV00061</x:v>
      </x:c>
      <x:c r="B66" s="15" t="d">
        <x:v>2026-02-08T00:00:00.000Z</x:v>
      </x:c>
      <x:c r="C66" s="14" t="d">
        <x:v>2026-02-01T00:00:00.000Z</x:v>
      </x:c>
      <x:c r="D66" s="34" t="str">
        <x:v>0006</x:v>
      </x:c>
      <x:c r="E66" s="7" t="str">
        <x:v>North</x:v>
      </x:c>
      <x:c r="F66" s="7" t="n">
        <x:v>3</x:v>
      </x:c>
      <x:c r="G66" s="7" t="n">
        <x:v>260</x:v>
      </x:c>
      <x:c r="H66" s="9" t="n">
        <x:v>0.02</x:v>
      </x:c>
      <x:c r="I66" s="7" t="n">
        <x:v>764.4</x:v>
      </x:c>
    </x:row>
    <x:row r="67" ht="23" customHeight="1">
      <x:c r="A67" s="7" t="str">
        <x:v>INV00062</x:v>
      </x:c>
      <x:c r="B67" s="15" t="d">
        <x:v>2026-02-09T00:00:00.000Z</x:v>
      </x:c>
      <x:c r="C67" s="14" t="d">
        <x:v>2026-02-01T00:00:00.000Z</x:v>
      </x:c>
      <x:c r="D67" s="34" t="str">
        <x:v>0007</x:v>
      </x:c>
      <x:c r="E67" s="7" t="str">
        <x:v>North</x:v>
      </x:c>
      <x:c r="F67" s="7" t="n">
        <x:v>1</x:v>
      </x:c>
      <x:c r="G67" s="7" t="n">
        <x:v>280</x:v>
      </x:c>
      <x:c r="H67" s="9" t="n">
        <x:v>0.05</x:v>
      </x:c>
      <x:c r="I67" s="7" t="n">
        <x:v>266</x:v>
      </x:c>
    </x:row>
    <x:row r="68" ht="23" customHeight="1">
      <x:c r="A68" s="7" t="str">
        <x:v>INV00063</x:v>
      </x:c>
      <x:c r="B68" s="15" t="d">
        <x:v>2026-02-10T00:00:00.000Z</x:v>
      </x:c>
      <x:c r="C68" s="14" t="d">
        <x:v>2026-02-01T00:00:00.000Z</x:v>
      </x:c>
      <x:c r="D68" s="34" t="str">
        <x:v>0008</x:v>
      </x:c>
      <x:c r="E68" s="7" t="str">
        <x:v>North</x:v>
      </x:c>
      <x:c r="F68" s="7" t="n">
        <x:v>1</x:v>
      </x:c>
      <x:c r="G68" s="7" t="n">
        <x:v>300</x:v>
      </x:c>
      <x:c r="H68" s="9" t="n">
        <x:v>0</x:v>
      </x:c>
      <x:c r="I68" s="7" t="n">
        <x:v>300</x:v>
      </x:c>
    </x:row>
    <x:row r="69" ht="23" customHeight="1">
      <x:c r="A69" s="7" t="str">
        <x:v>INV00064</x:v>
      </x:c>
      <x:c r="B69" s="15" t="d">
        <x:v>2026-03-11T00:00:00.000Z</x:v>
      </x:c>
      <x:c r="C69" s="14" t="d">
        <x:v>2026-03-01T00:00:00.000Z</x:v>
      </x:c>
      <x:c r="D69" s="34" t="str">
        <x:v>0001</x:v>
      </x:c>
      <x:c r="E69" s="7" t="str">
        <x:v>Central</x:v>
      </x:c>
      <x:c r="F69" s="7" t="n">
        <x:v>1</x:v>
      </x:c>
      <x:c r="G69" s="7" t="n">
        <x:v>160</x:v>
      </x:c>
      <x:c r="H69" s="9" t="n">
        <x:v>0.02</x:v>
      </x:c>
      <x:c r="I69" s="7" t="n">
        <x:v>156.8</x:v>
      </x:c>
    </x:row>
    <x:row r="70" ht="23" customHeight="1">
      <x:c r="A70" s="7" t="str">
        <x:v>INV00065</x:v>
      </x:c>
      <x:c r="B70" s="15" t="d">
        <x:v>2026-03-12T00:00:00.000Z</x:v>
      </x:c>
      <x:c r="C70" s="14" t="d">
        <x:v>2026-03-01T00:00:00.000Z</x:v>
      </x:c>
      <x:c r="D70" s="34" t="str">
        <x:v>0002</x:v>
      </x:c>
      <x:c r="E70" s="7" t="str">
        <x:v>Central</x:v>
      </x:c>
      <x:c r="F70" s="7" t="n">
        <x:v>5</x:v>
      </x:c>
      <x:c r="G70" s="7" t="n">
        <x:v>180</x:v>
      </x:c>
      <x:c r="H70" s="9" t="n">
        <x:v>0.05</x:v>
      </x:c>
      <x:c r="I70" s="7" t="n">
        <x:v>855</x:v>
      </x:c>
    </x:row>
    <x:row r="71" ht="23" customHeight="1">
      <x:c r="A71" s="7" t="str">
        <x:v>INV00066</x:v>
      </x:c>
      <x:c r="B71" s="15" t="d">
        <x:v>2026-03-13T00:00:00.000Z</x:v>
      </x:c>
      <x:c r="C71" s="14" t="d">
        <x:v>2026-03-01T00:00:00.000Z</x:v>
      </x:c>
      <x:c r="D71" s="34" t="str">
        <x:v>0003</x:v>
      </x:c>
      <x:c r="E71" s="7" t="str">
        <x:v>Central</x:v>
      </x:c>
      <x:c r="F71" s="7" t="n">
        <x:v>2</x:v>
      </x:c>
      <x:c r="G71" s="7" t="n">
        <x:v>200</x:v>
      </x:c>
      <x:c r="H71" s="9" t="n">
        <x:v>0</x:v>
      </x:c>
      <x:c r="I71" s="7" t="n">
        <x:v>400</x:v>
      </x:c>
    </x:row>
    <x:row r="72" ht="23" customHeight="1">
      <x:c r="A72" s="7" t="str">
        <x:v>INV00067</x:v>
      </x:c>
      <x:c r="B72" s="15" t="d">
        <x:v>2026-03-14T00:00:00.000Z</x:v>
      </x:c>
      <x:c r="C72" s="14" t="d">
        <x:v>2026-03-01T00:00:00.000Z</x:v>
      </x:c>
      <x:c r="D72" s="34" t="str">
        <x:v>0004</x:v>
      </x:c>
      <x:c r="E72" s="7" t="str">
        <x:v>Central</x:v>
      </x:c>
      <x:c r="F72" s="7" t="n">
        <x:v>4</x:v>
      </x:c>
      <x:c r="G72" s="7" t="n">
        <x:v>220</x:v>
      </x:c>
      <x:c r="H72" s="9" t="n">
        <x:v>0.02</x:v>
      </x:c>
      <x:c r="I72" s="7" t="n">
        <x:v>862.4</x:v>
      </x:c>
    </x:row>
    <x:row r="73" ht="23" customHeight="1">
      <x:c r="A73" s="7" t="str">
        <x:v>INV00068</x:v>
      </x:c>
      <x:c r="B73" s="15" t="d">
        <x:v>2026-03-15T00:00:00.000Z</x:v>
      </x:c>
      <x:c r="C73" s="14" t="d">
        <x:v>2026-03-01T00:00:00.000Z</x:v>
      </x:c>
      <x:c r="D73" s="34" t="str">
        <x:v>0005</x:v>
      </x:c>
      <x:c r="E73" s="7" t="str">
        <x:v>Central</x:v>
      </x:c>
      <x:c r="F73" s="7" t="n">
        <x:v>5</x:v>
      </x:c>
      <x:c r="G73" s="7" t="n">
        <x:v>240</x:v>
      </x:c>
      <x:c r="H73" s="9" t="n">
        <x:v>0.05</x:v>
      </x:c>
      <x:c r="I73" s="7" t="n">
        <x:v>1140</x:v>
      </x:c>
    </x:row>
    <x:row r="74" ht="23" customHeight="1">
      <x:c r="A74" s="7" t="str">
        <x:v>INV00069</x:v>
      </x:c>
      <x:c r="B74" s="15" t="d">
        <x:v>2026-03-16T00:00:00.000Z</x:v>
      </x:c>
      <x:c r="C74" s="14" t="d">
        <x:v>2026-03-01T00:00:00.000Z</x:v>
      </x:c>
      <x:c r="D74" s="34" t="str">
        <x:v>0006</x:v>
      </x:c>
      <x:c r="E74" s="7" t="str">
        <x:v>Central</x:v>
      </x:c>
      <x:c r="F74" s="7" t="n">
        <x:v>6</x:v>
      </x:c>
      <x:c r="G74" s="7" t="n">
        <x:v>260</x:v>
      </x:c>
      <x:c r="H74" s="9" t="n">
        <x:v>0</x:v>
      </x:c>
      <x:c r="I74" s="7" t="n">
        <x:v>1560</x:v>
      </x:c>
    </x:row>
    <x:row r="75" ht="23" customHeight="1">
      <x:c r="A75" s="7" t="str">
        <x:v>INV00070</x:v>
      </x:c>
      <x:c r="B75" s="15" t="d">
        <x:v>2026-03-17T00:00:00.000Z</x:v>
      </x:c>
      <x:c r="C75" s="14" t="d">
        <x:v>2026-03-01T00:00:00.000Z</x:v>
      </x:c>
      <x:c r="D75" s="34" t="str">
        <x:v>0007</x:v>
      </x:c>
      <x:c r="E75" s="7" t="str">
        <x:v>Central</x:v>
      </x:c>
      <x:c r="F75" s="7" t="n">
        <x:v>1</x:v>
      </x:c>
      <x:c r="G75" s="7" t="n">
        <x:v>280</x:v>
      </x:c>
      <x:c r="H75" s="9" t="n">
        <x:v>0.02</x:v>
      </x:c>
      <x:c r="I75" s="7" t="n">
        <x:v>274.4</x:v>
      </x:c>
    </x:row>
    <x:row r="76" ht="23" customHeight="1">
      <x:c r="A76" s="7" t="str">
        <x:v>INV00071</x:v>
      </x:c>
      <x:c r="B76" s="15" t="d">
        <x:v>2026-03-18T00:00:00.000Z</x:v>
      </x:c>
      <x:c r="C76" s="14" t="d">
        <x:v>2026-03-01T00:00:00.000Z</x:v>
      </x:c>
      <x:c r="D76" s="34" t="str">
        <x:v>0008</x:v>
      </x:c>
      <x:c r="E76" s="7" t="str">
        <x:v>Central</x:v>
      </x:c>
      <x:c r="F76" s="7" t="n">
        <x:v>6</x:v>
      </x:c>
      <x:c r="G76" s="7" t="n">
        <x:v>300</x:v>
      </x:c>
      <x:c r="H76" s="9" t="n">
        <x:v>0.05</x:v>
      </x:c>
      <x:c r="I76" s="7" t="n">
        <x:v>1710</x:v>
      </x:c>
    </x:row>
    <x:row r="77" ht="23" customHeight="1">
      <x:c r="A77" s="7" t="str">
        <x:v>INV00072</x:v>
      </x:c>
      <x:c r="B77" s="15" t="d">
        <x:v>2026-03-19T00:00:00.000Z</x:v>
      </x:c>
      <x:c r="C77" s="14" t="d">
        <x:v>2026-03-01T00:00:00.000Z</x:v>
      </x:c>
      <x:c r="D77" s="34" t="str">
        <x:v>0001</x:v>
      </x:c>
      <x:c r="E77" s="7" t="str">
        <x:v>East</x:v>
      </x:c>
      <x:c r="F77" s="7" t="n">
        <x:v>2</x:v>
      </x:c>
      <x:c r="G77" s="7" t="n">
        <x:v>160</x:v>
      </x:c>
      <x:c r="H77" s="9" t="n">
        <x:v>0</x:v>
      </x:c>
      <x:c r="I77" s="7" t="n">
        <x:v>320</x:v>
      </x:c>
    </x:row>
    <x:row r="78" ht="23" customHeight="1">
      <x:c r="A78" s="7" t="str">
        <x:v>INV00073</x:v>
      </x:c>
      <x:c r="B78" s="15" t="d">
        <x:v>2026-03-20T00:00:00.000Z</x:v>
      </x:c>
      <x:c r="C78" s="14" t="d">
        <x:v>2026-03-01T00:00:00.000Z</x:v>
      </x:c>
      <x:c r="D78" s="34" t="str">
        <x:v>0002</x:v>
      </x:c>
      <x:c r="E78" s="7" t="str">
        <x:v>East</x:v>
      </x:c>
      <x:c r="F78" s="7" t="n">
        <x:v>2</x:v>
      </x:c>
      <x:c r="G78" s="7" t="n">
        <x:v>180</x:v>
      </x:c>
      <x:c r="H78" s="9" t="n">
        <x:v>0.02</x:v>
      </x:c>
      <x:c r="I78" s="7" t="n">
        <x:v>352.8</x:v>
      </x:c>
    </x:row>
    <x:row r="79" ht="23" customHeight="1">
      <x:c r="A79" s="7" t="str">
        <x:v>INV00074</x:v>
      </x:c>
      <x:c r="B79" s="15" t="d">
        <x:v>2026-03-21T00:00:00.000Z</x:v>
      </x:c>
      <x:c r="C79" s="14" t="d">
        <x:v>2026-03-01T00:00:00.000Z</x:v>
      </x:c>
      <x:c r="D79" s="34" t="str">
        <x:v>0003</x:v>
      </x:c>
      <x:c r="E79" s="7" t="str">
        <x:v>East</x:v>
      </x:c>
      <x:c r="F79" s="7" t="n">
        <x:v>7</x:v>
      </x:c>
      <x:c r="G79" s="7" t="n">
        <x:v>200</x:v>
      </x:c>
      <x:c r="H79" s="9" t="n">
        <x:v>0.05</x:v>
      </x:c>
      <x:c r="I79" s="7" t="n">
        <x:v>1330</x:v>
      </x:c>
    </x:row>
    <x:row r="80" ht="23" customHeight="1">
      <x:c r="A80" s="7" t="str">
        <x:v>INV00075</x:v>
      </x:c>
      <x:c r="B80" s="15" t="d">
        <x:v>2026-03-22T00:00:00.000Z</x:v>
      </x:c>
      <x:c r="C80" s="14" t="d">
        <x:v>2026-03-01T00:00:00.000Z</x:v>
      </x:c>
      <x:c r="D80" s="34" t="str">
        <x:v>0004</x:v>
      </x:c>
      <x:c r="E80" s="7" t="str">
        <x:v>East</x:v>
      </x:c>
      <x:c r="F80" s="7" t="n">
        <x:v>1</x:v>
      </x:c>
      <x:c r="G80" s="7" t="n">
        <x:v>220</x:v>
      </x:c>
      <x:c r="H80" s="9" t="n">
        <x:v>0</x:v>
      </x:c>
      <x:c r="I80" s="7" t="n">
        <x:v>220</x:v>
      </x:c>
    </x:row>
    <x:row r="81" ht="23" customHeight="1">
      <x:c r="A81" s="7" t="str">
        <x:v>INV00076</x:v>
      </x:c>
      <x:c r="B81" s="15" t="d">
        <x:v>2026-03-23T00:00:00.000Z</x:v>
      </x:c>
      <x:c r="C81" s="14" t="d">
        <x:v>2026-03-01T00:00:00.000Z</x:v>
      </x:c>
      <x:c r="D81" s="34" t="str">
        <x:v>0005</x:v>
      </x:c>
      <x:c r="E81" s="7" t="str">
        <x:v>East</x:v>
      </x:c>
      <x:c r="F81" s="7" t="n">
        <x:v>5</x:v>
      </x:c>
      <x:c r="G81" s="7" t="n">
        <x:v>240</x:v>
      </x:c>
      <x:c r="H81" s="9" t="n">
        <x:v>0.02</x:v>
      </x:c>
      <x:c r="I81" s="7" t="n">
        <x:v>1176</x:v>
      </x:c>
    </x:row>
    <x:row r="82" ht="23" customHeight="1">
      <x:c r="A82" s="7" t="str">
        <x:v>INV00077</x:v>
      </x:c>
      <x:c r="B82" s="15" t="d">
        <x:v>2026-03-24T00:00:00.000Z</x:v>
      </x:c>
      <x:c r="C82" s="14" t="d">
        <x:v>2026-03-01T00:00:00.000Z</x:v>
      </x:c>
      <x:c r="D82" s="34" t="str">
        <x:v>0006</x:v>
      </x:c>
      <x:c r="E82" s="7" t="str">
        <x:v>East</x:v>
      </x:c>
      <x:c r="F82" s="7" t="n">
        <x:v>4</x:v>
      </x:c>
      <x:c r="G82" s="7" t="n">
        <x:v>260</x:v>
      </x:c>
      <x:c r="H82" s="9" t="n">
        <x:v>0.05</x:v>
      </x:c>
      <x:c r="I82" s="7" t="n">
        <x:v>988</x:v>
      </x:c>
    </x:row>
    <x:row r="83" ht="23" customHeight="1">
      <x:c r="A83" s="7" t="str">
        <x:v>INV00078</x:v>
      </x:c>
      <x:c r="B83" s="15" t="d">
        <x:v>2026-03-25T00:00:00.000Z</x:v>
      </x:c>
      <x:c r="C83" s="14" t="d">
        <x:v>2026-03-01T00:00:00.000Z</x:v>
      </x:c>
      <x:c r="D83" s="34" t="str">
        <x:v>0007</x:v>
      </x:c>
      <x:c r="E83" s="7" t="str">
        <x:v>East</x:v>
      </x:c>
      <x:c r="F83" s="7" t="n">
        <x:v>1</x:v>
      </x:c>
      <x:c r="G83" s="7" t="n">
        <x:v>280</x:v>
      </x:c>
      <x:c r="H83" s="9" t="n">
        <x:v>0</x:v>
      </x:c>
      <x:c r="I83" s="7" t="n">
        <x:v>280</x:v>
      </x:c>
    </x:row>
    <x:row r="84" ht="23" customHeight="1">
      <x:c r="A84" s="7" t="str">
        <x:v>INV00079</x:v>
      </x:c>
      <x:c r="B84" s="15" t="d">
        <x:v>2026-03-26T00:00:00.000Z</x:v>
      </x:c>
      <x:c r="C84" s="14" t="d">
        <x:v>2026-03-01T00:00:00.000Z</x:v>
      </x:c>
      <x:c r="D84" s="34" t="str">
        <x:v>0008</x:v>
      </x:c>
      <x:c r="E84" s="7" t="str">
        <x:v>East</x:v>
      </x:c>
      <x:c r="F84" s="7" t="n">
        <x:v>1</x:v>
      </x:c>
      <x:c r="G84" s="7" t="n">
        <x:v>300</x:v>
      </x:c>
      <x:c r="H84" s="9" t="n">
        <x:v>0.02</x:v>
      </x:c>
      <x:c r="I84" s="7" t="n">
        <x:v>294</x:v>
      </x:c>
    </x:row>
    <x:row r="85" ht="23" customHeight="1">
      <x:c r="A85" s="7" t="str">
        <x:v>INV00080</x:v>
      </x:c>
      <x:c r="B85" s="15" t="d">
        <x:v>2026-03-27T00:00:00.000Z</x:v>
      </x:c>
      <x:c r="C85" s="14" t="d">
        <x:v>2026-03-01T00:00:00.000Z</x:v>
      </x:c>
      <x:c r="D85" s="34" t="str">
        <x:v>0001</x:v>
      </x:c>
      <x:c r="E85" s="7" t="str">
        <x:v>West</x:v>
      </x:c>
      <x:c r="F85" s="7" t="n">
        <x:v>5</x:v>
      </x:c>
      <x:c r="G85" s="7" t="n">
        <x:v>160</x:v>
      </x:c>
      <x:c r="H85" s="9" t="n">
        <x:v>0.05</x:v>
      </x:c>
      <x:c r="I85" s="7" t="n">
        <x:v>760</x:v>
      </x:c>
    </x:row>
    <x:row r="86" ht="23" customHeight="1">
      <x:c r="A86" s="7" t="str">
        <x:v>INV00081</x:v>
      </x:c>
      <x:c r="B86" s="15" t="d">
        <x:v>2026-03-01T00:00:00.000Z</x:v>
      </x:c>
      <x:c r="C86" s="14" t="d">
        <x:v>2026-03-01T00:00:00.000Z</x:v>
      </x:c>
      <x:c r="D86" s="34" t="str">
        <x:v>0002</x:v>
      </x:c>
      <x:c r="E86" s="7" t="str">
        <x:v>West</x:v>
      </x:c>
      <x:c r="F86" s="7" t="n">
        <x:v>2</x:v>
      </x:c>
      <x:c r="G86" s="7" t="n">
        <x:v>180</x:v>
      </x:c>
      <x:c r="H86" s="9" t="n">
        <x:v>0</x:v>
      </x:c>
      <x:c r="I86" s="7" t="n">
        <x:v>360</x:v>
      </x:c>
    </x:row>
    <x:row r="87" ht="23" customHeight="1">
      <x:c r="A87" s="7" t="str">
        <x:v>INV00082</x:v>
      </x:c>
      <x:c r="B87" s="15" t="d">
        <x:v>2026-03-02T00:00:00.000Z</x:v>
      </x:c>
      <x:c r="C87" s="14" t="d">
        <x:v>2026-03-01T00:00:00.000Z</x:v>
      </x:c>
      <x:c r="D87" s="34" t="str">
        <x:v>0003</x:v>
      </x:c>
      <x:c r="E87" s="7" t="str">
        <x:v>West</x:v>
      </x:c>
      <x:c r="F87" s="7" t="n">
        <x:v>-1</x:v>
      </x:c>
      <x:c r="G87" s="7" t="n">
        <x:v>200</x:v>
      </x:c>
      <x:c r="H87" s="9" t="n">
        <x:v>0.02</x:v>
      </x:c>
      <x:c r="I87" s="7" t="n">
        <x:v>-196</x:v>
      </x:c>
    </x:row>
    <x:row r="88" ht="23" customHeight="1">
      <x:c r="A88" s="7" t="str">
        <x:v>INV00083</x:v>
      </x:c>
      <x:c r="B88" s="15" t="d">
        <x:v>2026-03-03T00:00:00.000Z</x:v>
      </x:c>
      <x:c r="C88" s="14" t="d">
        <x:v>2026-03-01T00:00:00.000Z</x:v>
      </x:c>
      <x:c r="D88" s="34" t="str">
        <x:v>0004</x:v>
      </x:c>
      <x:c r="E88" s="7" t="str">
        <x:v>West</x:v>
      </x:c>
      <x:c r="F88" s="7" t="n">
        <x:v>6</x:v>
      </x:c>
      <x:c r="G88" s="7" t="n">
        <x:v>220</x:v>
      </x:c>
      <x:c r="H88" s="9" t="n">
        <x:v>0.05</x:v>
      </x:c>
      <x:c r="I88" s="7" t="n">
        <x:v>1254</x:v>
      </x:c>
    </x:row>
    <x:row r="89" ht="23" customHeight="1">
      <x:c r="A89" s="7" t="str">
        <x:v>INV00084</x:v>
      </x:c>
      <x:c r="B89" s="15" t="d">
        <x:v>2026-03-04T00:00:00.000Z</x:v>
      </x:c>
      <x:c r="C89" s="14" t="d">
        <x:v>2026-03-01T00:00:00.000Z</x:v>
      </x:c>
      <x:c r="D89" s="34" t="str">
        <x:v>0005</x:v>
      </x:c>
      <x:c r="E89" s="7" t="str">
        <x:v>West</x:v>
      </x:c>
      <x:c r="F89" s="7" t="n">
        <x:v>5</x:v>
      </x:c>
      <x:c r="G89" s="7" t="n">
        <x:v>240</x:v>
      </x:c>
      <x:c r="H89" s="9" t="n">
        <x:v>0</x:v>
      </x:c>
      <x:c r="I89" s="7" t="n">
        <x:v>1200</x:v>
      </x:c>
    </x:row>
    <x:row r="90" ht="23" customHeight="1">
      <x:c r="A90" s="7" t="str">
        <x:v>INV00085</x:v>
      </x:c>
      <x:c r="B90" s="15" t="d">
        <x:v>2026-03-05T00:00:00.000Z</x:v>
      </x:c>
      <x:c r="C90" s="14" t="d">
        <x:v>2026-03-01T00:00:00.000Z</x:v>
      </x:c>
      <x:c r="D90" s="34" t="str">
        <x:v>0006</x:v>
      </x:c>
      <x:c r="E90" s="7" t="str">
        <x:v>West</x:v>
      </x:c>
      <x:c r="F90" s="7" t="n">
        <x:v>2</x:v>
      </x:c>
      <x:c r="G90" s="7" t="n">
        <x:v>260</x:v>
      </x:c>
      <x:c r="H90" s="9" t="n">
        <x:v>0.02</x:v>
      </x:c>
      <x:c r="I90" s="7" t="n">
        <x:v>509.6</x:v>
      </x:c>
    </x:row>
    <x:row r="91" ht="23" customHeight="1">
      <x:c r="A91" s="7" t="str">
        <x:v>INV00086</x:v>
      </x:c>
      <x:c r="B91" s="15" t="d">
        <x:v>2026-03-06T00:00:00.000Z</x:v>
      </x:c>
      <x:c r="C91" s="14" t="d">
        <x:v>2026-03-01T00:00:00.000Z</x:v>
      </x:c>
      <x:c r="D91" s="34" t="str">
        <x:v>0007</x:v>
      </x:c>
      <x:c r="E91" s="7" t="str">
        <x:v>West</x:v>
      </x:c>
      <x:c r="F91" s="7" t="n">
        <x:v>6</x:v>
      </x:c>
      <x:c r="G91" s="7" t="n">
        <x:v>280</x:v>
      </x:c>
      <x:c r="H91" s="9" t="n">
        <x:v>0.05</x:v>
      </x:c>
      <x:c r="I91" s="7" t="n">
        <x:v>1596</x:v>
      </x:c>
    </x:row>
    <x:row r="92" ht="23" customHeight="1">
      <x:c r="A92" s="7" t="str">
        <x:v>INV00087</x:v>
      </x:c>
      <x:c r="B92" s="15" t="d">
        <x:v>2026-03-07T00:00:00.000Z</x:v>
      </x:c>
      <x:c r="C92" s="14" t="d">
        <x:v>2026-03-01T00:00:00.000Z</x:v>
      </x:c>
      <x:c r="D92" s="34" t="str">
        <x:v>0008</x:v>
      </x:c>
      <x:c r="E92" s="7" t="str">
        <x:v>West</x:v>
      </x:c>
      <x:c r="F92" s="7" t="n">
        <x:v>5</x:v>
      </x:c>
      <x:c r="G92" s="7" t="n">
        <x:v>300</x:v>
      </x:c>
      <x:c r="H92" s="9" t="n">
        <x:v>0</x:v>
      </x:c>
      <x:c r="I92" s="7" t="n">
        <x:v>1500</x:v>
      </x:c>
    </x:row>
    <x:row r="93" ht="23" customHeight="1">
      <x:c r="A93" s="7" t="str">
        <x:v>INV00088</x:v>
      </x:c>
      <x:c r="B93" s="15" t="d">
        <x:v>2026-03-08T00:00:00.000Z</x:v>
      </x:c>
      <x:c r="C93" s="14" t="d">
        <x:v>2026-03-01T00:00:00.000Z</x:v>
      </x:c>
      <x:c r="D93" s="34" t="str">
        <x:v>0001</x:v>
      </x:c>
      <x:c r="E93" s="7" t="str">
        <x:v>North</x:v>
      </x:c>
      <x:c r="F93" s="7" t="n">
        <x:v>1</x:v>
      </x:c>
      <x:c r="G93" s="7" t="n">
        <x:v>160</x:v>
      </x:c>
      <x:c r="H93" s="9" t="n">
        <x:v>0.02</x:v>
      </x:c>
      <x:c r="I93" s="7" t="n">
        <x:v>156.8</x:v>
      </x:c>
    </x:row>
    <x:row r="94" ht="23" customHeight="1">
      <x:c r="A94" s="7" t="str">
        <x:v>INV00089</x:v>
      </x:c>
      <x:c r="B94" s="15" t="d">
        <x:v>2026-03-09T00:00:00.000Z</x:v>
      </x:c>
      <x:c r="C94" s="14" t="d">
        <x:v>2026-03-01T00:00:00.000Z</x:v>
      </x:c>
      <x:c r="D94" s="34" t="str">
        <x:v>0002</x:v>
      </x:c>
      <x:c r="E94" s="7" t="str">
        <x:v>North</x:v>
      </x:c>
      <x:c r="F94" s="7" t="n">
        <x:v>2</x:v>
      </x:c>
      <x:c r="G94" s="7" t="n">
        <x:v>180</x:v>
      </x:c>
      <x:c r="H94" s="9" t="n">
        <x:v>0.05</x:v>
      </x:c>
      <x:c r="I94" s="7" t="n">
        <x:v>342</x:v>
      </x:c>
    </x:row>
    <x:row r="95" ht="23" customHeight="1">
      <x:c r="A95" s="7" t="str">
        <x:v>INV00090</x:v>
      </x:c>
      <x:c r="B95" s="15" t="d">
        <x:v>2026-03-10T00:00:00.000Z</x:v>
      </x:c>
      <x:c r="C95" s="14" t="d">
        <x:v>2026-03-01T00:00:00.000Z</x:v>
      </x:c>
      <x:c r="D95" s="34" t="str">
        <x:v>0003</x:v>
      </x:c>
      <x:c r="E95" s="7" t="str">
        <x:v>North</x:v>
      </x:c>
      <x:c r="F95" s="7" t="n">
        <x:v>4</x:v>
      </x:c>
      <x:c r="G95" s="7" t="n">
        <x:v>200</x:v>
      </x:c>
      <x:c r="H95" s="9" t="n">
        <x:v>0</x:v>
      </x:c>
      <x:c r="I95" s="7" t="n">
        <x:v>800</x:v>
      </x:c>
    </x:row>
    <x:row r="96" ht="23" customHeight="1">
      <x:c r="A96" s="7" t="str">
        <x:v>INV00091</x:v>
      </x:c>
      <x:c r="B96" s="15" t="d">
        <x:v>2026-03-11T00:00:00.000Z</x:v>
      </x:c>
      <x:c r="C96" s="14" t="d">
        <x:v>2026-03-01T00:00:00.000Z</x:v>
      </x:c>
      <x:c r="D96" s="34" t="str">
        <x:v>0004</x:v>
      </x:c>
      <x:c r="E96" s="7" t="str">
        <x:v>North</x:v>
      </x:c>
      <x:c r="F96" s="7" t="n">
        <x:v>3</x:v>
      </x:c>
      <x:c r="G96" s="7" t="n">
        <x:v>220</x:v>
      </x:c>
      <x:c r="H96" s="9" t="n">
        <x:v>0.02</x:v>
      </x:c>
      <x:c r="I96" s="7" t="n">
        <x:v>646.8</x:v>
      </x:c>
    </x:row>
    <x:row r="97" ht="23" customHeight="1">
      <x:c r="A97" s="7" t="str">
        <x:v>INV00092</x:v>
      </x:c>
      <x:c r="B97" s="15" t="d">
        <x:v>2026-03-12T00:00:00.000Z</x:v>
      </x:c>
      <x:c r="C97" s="14" t="d">
        <x:v>2026-03-01T00:00:00.000Z</x:v>
      </x:c>
      <x:c r="D97" s="34" t="str">
        <x:v>0005</x:v>
      </x:c>
      <x:c r="E97" s="7" t="str">
        <x:v>North</x:v>
      </x:c>
      <x:c r="F97" s="7" t="n">
        <x:v>6</x:v>
      </x:c>
      <x:c r="G97" s="7" t="n">
        <x:v>240</x:v>
      </x:c>
      <x:c r="H97" s="9" t="n">
        <x:v>0.05</x:v>
      </x:c>
      <x:c r="I97" s="7" t="n">
        <x:v>1368</x:v>
      </x:c>
    </x:row>
    <x:row r="98" ht="23" customHeight="1">
      <x:c r="A98" s="7" t="str">
        <x:v>INV00093</x:v>
      </x:c>
      <x:c r="B98" s="15" t="d">
        <x:v>2026-03-13T00:00:00.000Z</x:v>
      </x:c>
      <x:c r="C98" s="14" t="d">
        <x:v>2026-03-01T00:00:00.000Z</x:v>
      </x:c>
      <x:c r="D98" s="34" t="str">
        <x:v>0006</x:v>
      </x:c>
      <x:c r="E98" s="7" t="str">
        <x:v>North</x:v>
      </x:c>
      <x:c r="F98" s="7" t="n">
        <x:v>3</x:v>
      </x:c>
      <x:c r="G98" s="7" t="n">
        <x:v>260</x:v>
      </x:c>
      <x:c r="H98" s="9" t="n">
        <x:v>0</x:v>
      </x:c>
      <x:c r="I98" s="7" t="n">
        <x:v>780</x:v>
      </x:c>
    </x:row>
    <x:row r="99" ht="23" customHeight="1">
      <x:c r="A99" s="7" t="str">
        <x:v>INV00094</x:v>
      </x:c>
      <x:c r="B99" s="15" t="d">
        <x:v>2026-03-14T00:00:00.000Z</x:v>
      </x:c>
      <x:c r="C99" s="14" t="d">
        <x:v>2026-03-01T00:00:00.000Z</x:v>
      </x:c>
      <x:c r="D99" s="34" t="str">
        <x:v>0007</x:v>
      </x:c>
      <x:c r="E99" s="7" t="str">
        <x:v>North</x:v>
      </x:c>
      <x:c r="F99" s="7" t="n">
        <x:v>3</x:v>
      </x:c>
      <x:c r="G99" s="7" t="n">
        <x:v>280</x:v>
      </x:c>
      <x:c r="H99" s="9" t="n">
        <x:v>0.02</x:v>
      </x:c>
      <x:c r="I99" s="7" t="n">
        <x:v>823.2</x:v>
      </x:c>
    </x:row>
    <x:row r="100" ht="23" customHeight="1">
      <x:c r="A100" s="7" t="str">
        <x:v>INV00095</x:v>
      </x:c>
      <x:c r="B100" s="15" t="d">
        <x:v>2026-03-15T00:00:00.000Z</x:v>
      </x:c>
      <x:c r="C100" s="14" t="d">
        <x:v>2026-03-01T00:00:00.000Z</x:v>
      </x:c>
      <x:c r="D100" s="34" t="str">
        <x:v>0008</x:v>
      </x:c>
      <x:c r="E100" s="7" t="str">
        <x:v>North</x:v>
      </x:c>
      <x:c r="F100" s="7" t="n">
        <x:v>3</x:v>
      </x:c>
      <x:c r="G100" s="7" t="n">
        <x:v>300</x:v>
      </x:c>
      <x:c r="H100" s="9" t="n">
        <x:v>0.05</x:v>
      </x:c>
      <x:c r="I100" s="7" t="n">
        <x:v>855</x:v>
      </x:c>
    </x:row>
    <x:row r="101" ht="23" customHeight="1">
      <x:c r="A101" s="7" t="str">
        <x:v>INV00096</x:v>
      </x:c>
      <x:c r="B101" s="15" t="d">
        <x:v>2026-04-16T00:00:00.000Z</x:v>
      </x:c>
      <x:c r="C101" s="14" t="d">
        <x:v>2026-04-01T00:00:00.000Z</x:v>
      </x:c>
      <x:c r="D101" s="34" t="str">
        <x:v>0001</x:v>
      </x:c>
      <x:c r="E101" s="7" t="str">
        <x:v>Central</x:v>
      </x:c>
      <x:c r="F101" s="7" t="n">
        <x:v>7</x:v>
      </x:c>
      <x:c r="G101" s="7" t="n">
        <x:v>160</x:v>
      </x:c>
      <x:c r="H101" s="9" t="n">
        <x:v>0</x:v>
      </x:c>
      <x:c r="I101" s="7" t="n">
        <x:v>1120</x:v>
      </x:c>
    </x:row>
    <x:row r="102" ht="23" customHeight="1">
      <x:c r="A102" s="7" t="str">
        <x:v>INV00097</x:v>
      </x:c>
      <x:c r="B102" s="15" t="d">
        <x:v>2026-04-17T00:00:00.000Z</x:v>
      </x:c>
      <x:c r="C102" s="14" t="d">
        <x:v>2026-04-01T00:00:00.000Z</x:v>
      </x:c>
      <x:c r="D102" s="34" t="str">
        <x:v>0002</x:v>
      </x:c>
      <x:c r="E102" s="7" t="str">
        <x:v>Central</x:v>
      </x:c>
      <x:c r="F102" s="7" t="n">
        <x:v>4</x:v>
      </x:c>
      <x:c r="G102" s="7" t="n">
        <x:v>180</x:v>
      </x:c>
      <x:c r="H102" s="9" t="n">
        <x:v>0.02</x:v>
      </x:c>
      <x:c r="I102" s="7" t="n">
        <x:v>705.6</x:v>
      </x:c>
    </x:row>
    <x:row r="103" ht="23" customHeight="1">
      <x:c r="A103" s="7" t="str">
        <x:v>INV00098</x:v>
      </x:c>
      <x:c r="B103" s="15" t="d">
        <x:v>2026-04-18T00:00:00.000Z</x:v>
      </x:c>
      <x:c r="C103" s="14" t="d">
        <x:v>2026-04-01T00:00:00.000Z</x:v>
      </x:c>
      <x:c r="D103" s="34" t="str">
        <x:v>0003</x:v>
      </x:c>
      <x:c r="E103" s="7" t="str">
        <x:v>Central</x:v>
      </x:c>
      <x:c r="F103" s="7" t="n">
        <x:v>1</x:v>
      </x:c>
      <x:c r="G103" s="7" t="n">
        <x:v>200</x:v>
      </x:c>
      <x:c r="H103" s="9" t="n">
        <x:v>0.05</x:v>
      </x:c>
      <x:c r="I103" s="7" t="n">
        <x:v>190</x:v>
      </x:c>
    </x:row>
    <x:row r="104" ht="23" customHeight="1">
      <x:c r="A104" s="7" t="str">
        <x:v>INV00099</x:v>
      </x:c>
      <x:c r="B104" s="15" t="d">
        <x:v>2026-04-19T00:00:00.000Z</x:v>
      </x:c>
      <x:c r="C104" s="14" t="d">
        <x:v>2026-04-01T00:00:00.000Z</x:v>
      </x:c>
      <x:c r="D104" s="34" t="str">
        <x:v>0004</x:v>
      </x:c>
      <x:c r="E104" s="7" t="str">
        <x:v>Central</x:v>
      </x:c>
      <x:c r="F104" s="7" t="n">
        <x:v>1</x:v>
      </x:c>
      <x:c r="G104" s="7" t="n">
        <x:v>220</x:v>
      </x:c>
      <x:c r="H104" s="9" t="n">
        <x:v>0</x:v>
      </x:c>
      <x:c r="I104" s="7" t="n">
        <x:v>220</x:v>
      </x:c>
    </x:row>
    <x:row r="105" ht="23" customHeight="1">
      <x:c r="A105" s="7" t="str">
        <x:v>INV00100</x:v>
      </x:c>
      <x:c r="B105" s="15" t="d">
        <x:v>2026-04-20T00:00:00.000Z</x:v>
      </x:c>
      <x:c r="C105" s="14" t="d">
        <x:v>2026-04-01T00:00:00.000Z</x:v>
      </x:c>
      <x:c r="D105" s="34" t="str">
        <x:v>0005</x:v>
      </x:c>
      <x:c r="E105" s="7" t="str">
        <x:v>Central</x:v>
      </x:c>
      <x:c r="F105" s="7" t="n">
        <x:v>4</x:v>
      </x:c>
      <x:c r="G105" s="7" t="n">
        <x:v>240</x:v>
      </x:c>
      <x:c r="H105" s="9" t="n">
        <x:v>0.02</x:v>
      </x:c>
      <x:c r="I105" s="7" t="n">
        <x:v>940.8</x:v>
      </x:c>
    </x:row>
    <x:row r="106" ht="23" customHeight="1">
      <x:c r="A106" s="7" t="str">
        <x:v>INV00101</x:v>
      </x:c>
      <x:c r="B106" s="15" t="d">
        <x:v>2026-04-21T00:00:00.000Z</x:v>
      </x:c>
      <x:c r="C106" s="14" t="d">
        <x:v>2026-04-01T00:00:00.000Z</x:v>
      </x:c>
      <x:c r="D106" s="34" t="str">
        <x:v>0006</x:v>
      </x:c>
      <x:c r="E106" s="7" t="str">
        <x:v>Central</x:v>
      </x:c>
      <x:c r="F106" s="7" t="n">
        <x:v>3</x:v>
      </x:c>
      <x:c r="G106" s="7" t="n">
        <x:v>260</x:v>
      </x:c>
      <x:c r="H106" s="9" t="n">
        <x:v>0.05</x:v>
      </x:c>
      <x:c r="I106" s="7" t="n">
        <x:v>741</x:v>
      </x:c>
    </x:row>
    <x:row r="107" ht="23" customHeight="1">
      <x:c r="A107" s="7" t="str">
        <x:v>INV00102</x:v>
      </x:c>
      <x:c r="B107" s="15" t="d">
        <x:v>2026-04-22T00:00:00.000Z</x:v>
      </x:c>
      <x:c r="C107" s="14" t="d">
        <x:v>2026-04-01T00:00:00.000Z</x:v>
      </x:c>
      <x:c r="D107" s="34" t="str">
        <x:v>0007</x:v>
      </x:c>
      <x:c r="E107" s="7" t="str">
        <x:v>Central</x:v>
      </x:c>
      <x:c r="F107" s="7" t="n">
        <x:v>5</x:v>
      </x:c>
      <x:c r="G107" s="7" t="n">
        <x:v>280</x:v>
      </x:c>
      <x:c r="H107" s="9" t="n">
        <x:v>0</x:v>
      </x:c>
      <x:c r="I107" s="7" t="n">
        <x:v>1400</x:v>
      </x:c>
    </x:row>
    <x:row r="108" ht="23" customHeight="1">
      <x:c r="A108" s="7" t="str">
        <x:v>INV00103</x:v>
      </x:c>
      <x:c r="B108" s="15" t="d">
        <x:v>2026-04-23T00:00:00.000Z</x:v>
      </x:c>
      <x:c r="C108" s="14" t="d">
        <x:v>2026-04-01T00:00:00.000Z</x:v>
      </x:c>
      <x:c r="D108" s="34" t="str">
        <x:v>0008</x:v>
      </x:c>
      <x:c r="E108" s="7" t="str">
        <x:v>Central</x:v>
      </x:c>
      <x:c r="F108" s="7" t="n">
        <x:v>4</x:v>
      </x:c>
      <x:c r="G108" s="7" t="n">
        <x:v>300</x:v>
      </x:c>
      <x:c r="H108" s="9" t="n">
        <x:v>0.02</x:v>
      </x:c>
      <x:c r="I108" s="7" t="n">
        <x:v>1176</x:v>
      </x:c>
    </x:row>
    <x:row r="109" ht="23" customHeight="1">
      <x:c r="A109" s="7" t="str">
        <x:v>INV00104</x:v>
      </x:c>
      <x:c r="B109" s="15" t="d">
        <x:v>2026-04-24T00:00:00.000Z</x:v>
      </x:c>
      <x:c r="C109" s="14" t="d">
        <x:v>2026-04-01T00:00:00.000Z</x:v>
      </x:c>
      <x:c r="D109" s="34" t="str">
        <x:v>0001</x:v>
      </x:c>
      <x:c r="E109" s="7" t="str">
        <x:v>East</x:v>
      </x:c>
      <x:c r="F109" s="7" t="n">
        <x:v>5</x:v>
      </x:c>
      <x:c r="G109" s="7" t="n">
        <x:v>160</x:v>
      </x:c>
      <x:c r="H109" s="9" t="n">
        <x:v>0.05</x:v>
      </x:c>
      <x:c r="I109" s="7" t="n">
        <x:v>760</x:v>
      </x:c>
    </x:row>
    <x:row r="110" ht="23" customHeight="1">
      <x:c r="A110" s="7" t="str">
        <x:v>INV00105</x:v>
      </x:c>
      <x:c r="B110" s="15" t="d">
        <x:v>2026-04-25T00:00:00.000Z</x:v>
      </x:c>
      <x:c r="C110" s="14" t="d">
        <x:v>2026-04-01T00:00:00.000Z</x:v>
      </x:c>
      <x:c r="D110" s="34" t="str">
        <x:v>0002</x:v>
      </x:c>
      <x:c r="E110" s="7" t="str">
        <x:v>East</x:v>
      </x:c>
      <x:c r="F110" s="7" t="n">
        <x:v>1</x:v>
      </x:c>
      <x:c r="G110" s="7" t="n">
        <x:v>180</x:v>
      </x:c>
      <x:c r="H110" s="9" t="n">
        <x:v>0</x:v>
      </x:c>
      <x:c r="I110" s="7" t="n">
        <x:v>180</x:v>
      </x:c>
    </x:row>
    <x:row r="111" ht="23" customHeight="1">
      <x:c r="A111" s="7" t="str">
        <x:v>INV00106</x:v>
      </x:c>
      <x:c r="B111" s="15" t="d">
        <x:v>2026-04-26T00:00:00.000Z</x:v>
      </x:c>
      <x:c r="C111" s="14" t="d">
        <x:v>2026-04-01T00:00:00.000Z</x:v>
      </x:c>
      <x:c r="D111" s="34" t="str">
        <x:v>0003</x:v>
      </x:c>
      <x:c r="E111" s="7" t="str">
        <x:v>East</x:v>
      </x:c>
      <x:c r="F111" s="7" t="n">
        <x:v>6</x:v>
      </x:c>
      <x:c r="G111" s="7" t="n">
        <x:v>200</x:v>
      </x:c>
      <x:c r="H111" s="9" t="n">
        <x:v>0.02</x:v>
      </x:c>
      <x:c r="I111" s="7" t="n">
        <x:v>1176</x:v>
      </x:c>
    </x:row>
    <x:row r="112" ht="23" customHeight="1">
      <x:c r="A112" s="7" t="str">
        <x:v>INV00107</x:v>
      </x:c>
      <x:c r="B112" s="15" t="d">
        <x:v>2026-04-27T00:00:00.000Z</x:v>
      </x:c>
      <x:c r="C112" s="14" t="d">
        <x:v>2026-04-01T00:00:00.000Z</x:v>
      </x:c>
      <x:c r="D112" s="34" t="str">
        <x:v>0004</x:v>
      </x:c>
      <x:c r="E112" s="7" t="str">
        <x:v>East</x:v>
      </x:c>
      <x:c r="F112" s="7" t="n">
        <x:v>6</x:v>
      </x:c>
      <x:c r="G112" s="7" t="n">
        <x:v>220</x:v>
      </x:c>
      <x:c r="H112" s="9" t="n">
        <x:v>0.05</x:v>
      </x:c>
      <x:c r="I112" s="7" t="n">
        <x:v>1254</x:v>
      </x:c>
    </x:row>
    <x:row r="113" ht="23" customHeight="1">
      <x:c r="A113" s="7" t="str">
        <x:v>INV00108</x:v>
      </x:c>
      <x:c r="B113" s="15" t="d">
        <x:v>2026-04-01T00:00:00.000Z</x:v>
      </x:c>
      <x:c r="C113" s="14" t="d">
        <x:v>2026-04-01T00:00:00.000Z</x:v>
      </x:c>
      <x:c r="D113" s="34" t="str">
        <x:v>0005</x:v>
      </x:c>
      <x:c r="E113" s="7" t="str">
        <x:v>East</x:v>
      </x:c>
      <x:c r="F113" s="7" t="n">
        <x:v>5</x:v>
      </x:c>
      <x:c r="G113" s="7" t="n">
        <x:v>240</x:v>
      </x:c>
      <x:c r="H113" s="9" t="n">
        <x:v>0</x:v>
      </x:c>
      <x:c r="I113" s="7" t="n">
        <x:v>1200</x:v>
      </x:c>
    </x:row>
    <x:row r="114" ht="23" customHeight="1">
      <x:c r="A114" s="7" t="str">
        <x:v>INV00109</x:v>
      </x:c>
      <x:c r="B114" s="15" t="d">
        <x:v>2026-04-02T00:00:00.000Z</x:v>
      </x:c>
      <x:c r="C114" s="14" t="d">
        <x:v>2026-04-01T00:00:00.000Z</x:v>
      </x:c>
      <x:c r="D114" s="34" t="str">
        <x:v>0006</x:v>
      </x:c>
      <x:c r="E114" s="7" t="str">
        <x:v>East</x:v>
      </x:c>
      <x:c r="F114" s="7" t="n">
        <x:v>2</x:v>
      </x:c>
      <x:c r="G114" s="7" t="n">
        <x:v>260</x:v>
      </x:c>
      <x:c r="H114" s="9" t="n">
        <x:v>0.02</x:v>
      </x:c>
      <x:c r="I114" s="7" t="n">
        <x:v>509.6</x:v>
      </x:c>
    </x:row>
    <x:row r="115" ht="23" customHeight="1">
      <x:c r="A115" s="7" t="str">
        <x:v>INV00110</x:v>
      </x:c>
      <x:c r="B115" s="15" t="d">
        <x:v>2026-04-03T00:00:00.000Z</x:v>
      </x:c>
      <x:c r="C115" s="14" t="d">
        <x:v>2026-04-01T00:00:00.000Z</x:v>
      </x:c>
      <x:c r="D115" s="34" t="str">
        <x:v>0007</x:v>
      </x:c>
      <x:c r="E115" s="7" t="str">
        <x:v>East</x:v>
      </x:c>
      <x:c r="F115" s="7" t="n">
        <x:v>1</x:v>
      </x:c>
      <x:c r="G115" s="7" t="n">
        <x:v>280</x:v>
      </x:c>
      <x:c r="H115" s="9" t="n">
        <x:v>0.05</x:v>
      </x:c>
      <x:c r="I115" s="7" t="n">
        <x:v>266</x:v>
      </x:c>
    </x:row>
    <x:row r="116" ht="23" customHeight="1">
      <x:c r="A116" s="7" t="str">
        <x:v>INV00111</x:v>
      </x:c>
      <x:c r="B116" s="15" t="d">
        <x:v>2026-04-04T00:00:00.000Z</x:v>
      </x:c>
      <x:c r="C116" s="14" t="d">
        <x:v>2026-04-01T00:00:00.000Z</x:v>
      </x:c>
      <x:c r="D116" s="34" t="str">
        <x:v>0008</x:v>
      </x:c>
      <x:c r="E116" s="7" t="str">
        <x:v>East</x:v>
      </x:c>
      <x:c r="F116" s="7" t="n">
        <x:v>1</x:v>
      </x:c>
      <x:c r="G116" s="7" t="n">
        <x:v>300</x:v>
      </x:c>
      <x:c r="H116" s="9" t="n">
        <x:v>0</x:v>
      </x:c>
      <x:c r="I116" s="7" t="n">
        <x:v>300</x:v>
      </x:c>
    </x:row>
    <x:row r="117" ht="23" customHeight="1">
      <x:c r="A117" s="7" t="str">
        <x:v>INV00112</x:v>
      </x:c>
      <x:c r="B117" s="15" t="d">
        <x:v>2026-04-05T00:00:00.000Z</x:v>
      </x:c>
      <x:c r="C117" s="14" t="d">
        <x:v>2026-04-01T00:00:00.000Z</x:v>
      </x:c>
      <x:c r="D117" s="34" t="str">
        <x:v>0001</x:v>
      </x:c>
      <x:c r="E117" s="7" t="str">
        <x:v>West</x:v>
      </x:c>
      <x:c r="F117" s="7" t="n">
        <x:v>5</x:v>
      </x:c>
      <x:c r="G117" s="7" t="n">
        <x:v>160</x:v>
      </x:c>
      <x:c r="H117" s="9" t="n">
        <x:v>0.02</x:v>
      </x:c>
      <x:c r="I117" s="7" t="n">
        <x:v>784</x:v>
      </x:c>
    </x:row>
    <x:row r="118" ht="23" customHeight="1">
      <x:c r="A118" s="7" t="str">
        <x:v>INV00113</x:v>
      </x:c>
      <x:c r="B118" s="15" t="d">
        <x:v>2026-04-06T00:00:00.000Z</x:v>
      </x:c>
      <x:c r="C118" s="14" t="d">
        <x:v>2026-04-01T00:00:00.000Z</x:v>
      </x:c>
      <x:c r="D118" s="34" t="str">
        <x:v>0002</x:v>
      </x:c>
      <x:c r="E118" s="7" t="str">
        <x:v>West</x:v>
      </x:c>
      <x:c r="F118" s="7" t="n">
        <x:v>1</x:v>
      </x:c>
      <x:c r="G118" s="7" t="n">
        <x:v>180</x:v>
      </x:c>
      <x:c r="H118" s="9" t="n">
        <x:v>0.05</x:v>
      </x:c>
      <x:c r="I118" s="7" t="n">
        <x:v>171</x:v>
      </x:c>
    </x:row>
    <x:row r="119" ht="23" customHeight="1">
      <x:c r="A119" s="7" t="str">
        <x:v>INV00114</x:v>
      </x:c>
      <x:c r="B119" s="15" t="d">
        <x:v>2026-04-07T00:00:00.000Z</x:v>
      </x:c>
      <x:c r="C119" s="14" t="d">
        <x:v>2026-04-01T00:00:00.000Z</x:v>
      </x:c>
      <x:c r="D119" s="34" t="str">
        <x:v>0003</x:v>
      </x:c>
      <x:c r="E119" s="7" t="str">
        <x:v>West</x:v>
      </x:c>
      <x:c r="F119" s="7" t="n">
        <x:v>2</x:v>
      </x:c>
      <x:c r="G119" s="7" t="n">
        <x:v>200</x:v>
      </x:c>
      <x:c r="H119" s="9" t="n">
        <x:v>0</x:v>
      </x:c>
      <x:c r="I119" s="7" t="n">
        <x:v>400</x:v>
      </x:c>
    </x:row>
    <x:row r="120" ht="23" customHeight="1">
      <x:c r="A120" s="7" t="str">
        <x:v>INV00115</x:v>
      </x:c>
      <x:c r="B120" s="15" t="d">
        <x:v>2026-04-08T00:00:00.000Z</x:v>
      </x:c>
      <x:c r="C120" s="14" t="d">
        <x:v>2026-04-01T00:00:00.000Z</x:v>
      </x:c>
      <x:c r="D120" s="34" t="str">
        <x:v>0004</x:v>
      </x:c>
      <x:c r="E120" s="7" t="str">
        <x:v>West</x:v>
      </x:c>
      <x:c r="F120" s="7" t="n">
        <x:v>5</x:v>
      </x:c>
      <x:c r="G120" s="7" t="n">
        <x:v>220</x:v>
      </x:c>
      <x:c r="H120" s="9" t="n">
        <x:v>0.02</x:v>
      </x:c>
      <x:c r="I120" s="7" t="n">
        <x:v>1078</x:v>
      </x:c>
    </x:row>
    <x:row r="121" ht="23" customHeight="1">
      <x:c r="A121" s="7" t="str">
        <x:v>INV00116</x:v>
      </x:c>
      <x:c r="B121" s="15" t="d">
        <x:v>2026-04-09T00:00:00.000Z</x:v>
      </x:c>
      <x:c r="C121" s="14" t="d">
        <x:v>2026-04-01T00:00:00.000Z</x:v>
      </x:c>
      <x:c r="D121" s="34" t="str">
        <x:v>0005</x:v>
      </x:c>
      <x:c r="E121" s="7" t="str">
        <x:v>West</x:v>
      </x:c>
      <x:c r="F121" s="7" t="n">
        <x:v>6</x:v>
      </x:c>
      <x:c r="G121" s="7" t="n">
        <x:v>240</x:v>
      </x:c>
      <x:c r="H121" s="9" t="n">
        <x:v>0.05</x:v>
      </x:c>
      <x:c r="I121" s="7" t="n">
        <x:v>1368</x:v>
      </x:c>
    </x:row>
    <x:row r="122" ht="23" customHeight="1">
      <x:c r="A122" s="7" t="str">
        <x:v>INV00117</x:v>
      </x:c>
      <x:c r="B122" s="15" t="d">
        <x:v>2026-04-10T00:00:00.000Z</x:v>
      </x:c>
      <x:c r="C122" s="14" t="d">
        <x:v>2026-04-01T00:00:00.000Z</x:v>
      </x:c>
      <x:c r="D122" s="34" t="str">
        <x:v>0006</x:v>
      </x:c>
      <x:c r="E122" s="7" t="str">
        <x:v>West</x:v>
      </x:c>
      <x:c r="F122" s="7" t="n">
        <x:v>7</x:v>
      </x:c>
      <x:c r="G122" s="7" t="n">
        <x:v>260</x:v>
      </x:c>
      <x:c r="H122" s="9" t="n">
        <x:v>0</x:v>
      </x:c>
      <x:c r="I122" s="7" t="n">
        <x:v>1820</x:v>
      </x:c>
    </x:row>
    <x:row r="123" ht="23" customHeight="1">
      <x:c r="A123" s="7" t="str">
        <x:v>INV00118</x:v>
      </x:c>
      <x:c r="B123" s="15" t="d">
        <x:v>2026-04-11T00:00:00.000Z</x:v>
      </x:c>
      <x:c r="C123" s="14" t="d">
        <x:v>2026-04-01T00:00:00.000Z</x:v>
      </x:c>
      <x:c r="D123" s="34" t="str">
        <x:v>0007</x:v>
      </x:c>
      <x:c r="E123" s="7" t="str">
        <x:v>West</x:v>
      </x:c>
      <x:c r="F123" s="7" t="n">
        <x:v>5</x:v>
      </x:c>
      <x:c r="G123" s="7" t="n">
        <x:v>280</x:v>
      </x:c>
      <x:c r="H123" s="9" t="n">
        <x:v>0.02</x:v>
      </x:c>
      <x:c r="I123" s="7" t="n">
        <x:v>1372</x:v>
      </x:c>
    </x:row>
    <x:row r="124" ht="23" customHeight="1">
      <x:c r="A124" s="7" t="str">
        <x:v>INV00119</x:v>
      </x:c>
      <x:c r="B124" s="15" t="d">
        <x:v>2026-04-12T00:00:00.000Z</x:v>
      </x:c>
      <x:c r="C124" s="14" t="d">
        <x:v>2026-04-01T00:00:00.000Z</x:v>
      </x:c>
      <x:c r="D124" s="34" t="str">
        <x:v>0008</x:v>
      </x:c>
      <x:c r="E124" s="7" t="str">
        <x:v>West</x:v>
      </x:c>
      <x:c r="F124" s="7" t="n">
        <x:v>4</x:v>
      </x:c>
      <x:c r="G124" s="7" t="n">
        <x:v>300</x:v>
      </x:c>
      <x:c r="H124" s="9" t="n">
        <x:v>0.05</x:v>
      </x:c>
      <x:c r="I124" s="7" t="n">
        <x:v>1140</x:v>
      </x:c>
    </x:row>
    <x:row r="125" ht="23" customHeight="1">
      <x:c r="A125" s="7" t="str">
        <x:v>INV00120</x:v>
      </x:c>
      <x:c r="B125" s="15" t="d">
        <x:v>2026-04-13T00:00:00.000Z</x:v>
      </x:c>
      <x:c r="C125" s="14" t="d">
        <x:v>2026-04-01T00:00:00.000Z</x:v>
      </x:c>
      <x:c r="D125" s="34" t="str">
        <x:v>0001</x:v>
      </x:c>
      <x:c r="E125" s="7" t="str">
        <x:v>North</x:v>
      </x:c>
      <x:c r="F125" s="7" t="n">
        <x:v>7</x:v>
      </x:c>
      <x:c r="G125" s="7" t="n">
        <x:v>160</x:v>
      </x:c>
      <x:c r="H125" s="9" t="n">
        <x:v>0</x:v>
      </x:c>
      <x:c r="I125" s="7" t="n">
        <x:v>1120</x:v>
      </x:c>
    </x:row>
    <x:row r="126" ht="23" customHeight="1">
      <x:c r="A126" s="7" t="str">
        <x:v>INV00121</x:v>
      </x:c>
      <x:c r="B126" s="15" t="d">
        <x:v>2026-04-14T00:00:00.000Z</x:v>
      </x:c>
      <x:c r="C126" s="14" t="d">
        <x:v>2026-04-01T00:00:00.000Z</x:v>
      </x:c>
      <x:c r="D126" s="34" t="str">
        <x:v>0002</x:v>
      </x:c>
      <x:c r="E126" s="7" t="str">
        <x:v>North</x:v>
      </x:c>
      <x:c r="F126" s="7" t="n">
        <x:v>2</x:v>
      </x:c>
      <x:c r="G126" s="7" t="n">
        <x:v>180</x:v>
      </x:c>
      <x:c r="H126" s="9" t="n">
        <x:v>0.02</x:v>
      </x:c>
      <x:c r="I126" s="7" t="n">
        <x:v>352.8</x:v>
      </x:c>
    </x:row>
    <x:row r="127" ht="23" customHeight="1">
      <x:c r="A127" s="7" t="str">
        <x:v>INV00122</x:v>
      </x:c>
      <x:c r="B127" s="15" t="d">
        <x:v>2026-04-15T00:00:00.000Z</x:v>
      </x:c>
      <x:c r="C127" s="14" t="d">
        <x:v>2026-04-01T00:00:00.000Z</x:v>
      </x:c>
      <x:c r="D127" s="34" t="str">
        <x:v>0003</x:v>
      </x:c>
      <x:c r="E127" s="7" t="str">
        <x:v>North</x:v>
      </x:c>
      <x:c r="F127" s="7" t="n">
        <x:v>3</x:v>
      </x:c>
      <x:c r="G127" s="7" t="n">
        <x:v>200</x:v>
      </x:c>
      <x:c r="H127" s="9" t="n">
        <x:v>0.05</x:v>
      </x:c>
      <x:c r="I127" s="7" t="n">
        <x:v>570</x:v>
      </x:c>
    </x:row>
    <x:row r="128" ht="23" customHeight="1">
      <x:c r="A128" s="7" t="str">
        <x:v>INV00123</x:v>
      </x:c>
      <x:c r="B128" s="15" t="d">
        <x:v>2026-04-16T00:00:00.000Z</x:v>
      </x:c>
      <x:c r="C128" s="14" t="d">
        <x:v>2026-04-01T00:00:00.000Z</x:v>
      </x:c>
      <x:c r="D128" s="34" t="str">
        <x:v>0004</x:v>
      </x:c>
      <x:c r="E128" s="7" t="str">
        <x:v>North</x:v>
      </x:c>
      <x:c r="F128" s="7" t="n">
        <x:v>-5</x:v>
      </x:c>
      <x:c r="G128" s="7" t="n">
        <x:v>220</x:v>
      </x:c>
      <x:c r="H128" s="9" t="n">
        <x:v>0</x:v>
      </x:c>
      <x:c r="I128" s="7" t="n">
        <x:v>-1100</x:v>
      </x:c>
    </x:row>
    <x:row r="129" ht="23" customHeight="1">
      <x:c r="A129" s="7" t="str">
        <x:v>INV00124</x:v>
      </x:c>
      <x:c r="B129" s="15" t="d">
        <x:v>2026-04-17T00:00:00.000Z</x:v>
      </x:c>
      <x:c r="C129" s="14" t="d">
        <x:v>2026-04-01T00:00:00.000Z</x:v>
      </x:c>
      <x:c r="D129" s="34" t="str">
        <x:v>0005</x:v>
      </x:c>
      <x:c r="E129" s="7" t="str">
        <x:v>North</x:v>
      </x:c>
      <x:c r="F129" s="7" t="n">
        <x:v>7</x:v>
      </x:c>
      <x:c r="G129" s="7" t="n">
        <x:v>240</x:v>
      </x:c>
      <x:c r="H129" s="9" t="n">
        <x:v>0.02</x:v>
      </x:c>
      <x:c r="I129" s="7" t="n">
        <x:v>1646.4</x:v>
      </x:c>
    </x:row>
    <x:row r="130" ht="23" customHeight="1">
      <x:c r="A130" s="7" t="str">
        <x:v>INV00125</x:v>
      </x:c>
      <x:c r="B130" s="15" t="d">
        <x:v>2026-04-18T00:00:00.000Z</x:v>
      </x:c>
      <x:c r="C130" s="14" t="d">
        <x:v>2026-04-01T00:00:00.000Z</x:v>
      </x:c>
      <x:c r="D130" s="34" t="str">
        <x:v>0006</x:v>
      </x:c>
      <x:c r="E130" s="7" t="str">
        <x:v>North</x:v>
      </x:c>
      <x:c r="F130" s="7" t="n">
        <x:v>3</x:v>
      </x:c>
      <x:c r="G130" s="7" t="n">
        <x:v>260</x:v>
      </x:c>
      <x:c r="H130" s="9" t="n">
        <x:v>0.05</x:v>
      </x:c>
      <x:c r="I130" s="7" t="n">
        <x:v>741</x:v>
      </x:c>
    </x:row>
    <x:row r="131" ht="23" customHeight="1">
      <x:c r="A131" s="7" t="str">
        <x:v>INV00126</x:v>
      </x:c>
      <x:c r="B131" s="15" t="d">
        <x:v>2026-04-19T00:00:00.000Z</x:v>
      </x:c>
      <x:c r="C131" s="14" t="d">
        <x:v>2026-04-01T00:00:00.000Z</x:v>
      </x:c>
      <x:c r="D131" s="34" t="str">
        <x:v>0007</x:v>
      </x:c>
      <x:c r="E131" s="7" t="str">
        <x:v>North</x:v>
      </x:c>
      <x:c r="F131" s="7" t="n">
        <x:v>2</x:v>
      </x:c>
      <x:c r="G131" s="7" t="n">
        <x:v>280</x:v>
      </x:c>
      <x:c r="H131" s="9" t="n">
        <x:v>0</x:v>
      </x:c>
      <x:c r="I131" s="7" t="n">
        <x:v>560</x:v>
      </x:c>
    </x:row>
    <x:row r="132" ht="23" customHeight="1">
      <x:c r="A132" s="7" t="str">
        <x:v>INV00127</x:v>
      </x:c>
      <x:c r="B132" s="15" t="d">
        <x:v>2026-04-20T00:00:00.000Z</x:v>
      </x:c>
      <x:c r="C132" s="14" t="d">
        <x:v>2026-04-01T00:00:00.000Z</x:v>
      </x:c>
      <x:c r="D132" s="34" t="str">
        <x:v>0008</x:v>
      </x:c>
      <x:c r="E132" s="7" t="str">
        <x:v>North</x:v>
      </x:c>
      <x:c r="F132" s="7" t="n">
        <x:v>5</x:v>
      </x:c>
      <x:c r="G132" s="7" t="n">
        <x:v>300</x:v>
      </x:c>
      <x:c r="H132" s="9" t="n">
        <x:v>0.02</x:v>
      </x:c>
      <x:c r="I132" s="7" t="n">
        <x:v>1470</x:v>
      </x:c>
    </x:row>
    <x:row r="133" ht="23" customHeight="1">
      <x:c r="A133" s="7" t="str">
        <x:v>INV00128</x:v>
      </x:c>
      <x:c r="B133" s="15" t="d">
        <x:v>2026-05-21T00:00:00.000Z</x:v>
      </x:c>
      <x:c r="C133" s="14" t="d">
        <x:v>2026-05-01T00:00:00.000Z</x:v>
      </x:c>
      <x:c r="D133" s="34" t="str">
        <x:v>0001</x:v>
      </x:c>
      <x:c r="E133" s="7" t="str">
        <x:v>Central</x:v>
      </x:c>
      <x:c r="F133" s="7" t="n">
        <x:v>5</x:v>
      </x:c>
      <x:c r="G133" s="7" t="n">
        <x:v>160</x:v>
      </x:c>
      <x:c r="H133" s="9" t="n">
        <x:v>0.05</x:v>
      </x:c>
      <x:c r="I133" s="7" t="n">
        <x:v>760</x:v>
      </x:c>
    </x:row>
    <x:row r="134" ht="23" customHeight="1">
      <x:c r="A134" s="7" t="str">
        <x:v>INV00129</x:v>
      </x:c>
      <x:c r="B134" s="15" t="d">
        <x:v>2026-05-22T00:00:00.000Z</x:v>
      </x:c>
      <x:c r="C134" s="14" t="d">
        <x:v>2026-05-01T00:00:00.000Z</x:v>
      </x:c>
      <x:c r="D134" s="34" t="str">
        <x:v>0002</x:v>
      </x:c>
      <x:c r="E134" s="7" t="str">
        <x:v>Central</x:v>
      </x:c>
      <x:c r="F134" s="7" t="n">
        <x:v>7</x:v>
      </x:c>
      <x:c r="G134" s="7" t="n">
        <x:v>180</x:v>
      </x:c>
      <x:c r="H134" s="9" t="n">
        <x:v>0</x:v>
      </x:c>
      <x:c r="I134" s="7" t="n">
        <x:v>1260</x:v>
      </x:c>
    </x:row>
    <x:row r="135" ht="23" customHeight="1">
      <x:c r="A135" s="7" t="str">
        <x:v>INV00130</x:v>
      </x:c>
      <x:c r="B135" s="15" t="d">
        <x:v>2026-05-23T00:00:00.000Z</x:v>
      </x:c>
      <x:c r="C135" s="14" t="d">
        <x:v>2026-05-01T00:00:00.000Z</x:v>
      </x:c>
      <x:c r="D135" s="34" t="str">
        <x:v>0003</x:v>
      </x:c>
      <x:c r="E135" s="7" t="str">
        <x:v>Central</x:v>
      </x:c>
      <x:c r="F135" s="7" t="n">
        <x:v>7</x:v>
      </x:c>
      <x:c r="G135" s="7" t="n">
        <x:v>200</x:v>
      </x:c>
      <x:c r="H135" s="9" t="n">
        <x:v>0.02</x:v>
      </x:c>
      <x:c r="I135" s="7" t="n">
        <x:v>1372</x:v>
      </x:c>
    </x:row>
    <x:row r="136" ht="23" customHeight="1">
      <x:c r="A136" s="7" t="str">
        <x:v>INV00131</x:v>
      </x:c>
      <x:c r="B136" s="15" t="d">
        <x:v>2026-05-24T00:00:00.000Z</x:v>
      </x:c>
      <x:c r="C136" s="14" t="d">
        <x:v>2026-05-01T00:00:00.000Z</x:v>
      </x:c>
      <x:c r="D136" s="34" t="str">
        <x:v>0004</x:v>
      </x:c>
      <x:c r="E136" s="7" t="str">
        <x:v>Central</x:v>
      </x:c>
      <x:c r="F136" s="7" t="n">
        <x:v>6</x:v>
      </x:c>
      <x:c r="G136" s="7" t="n">
        <x:v>220</x:v>
      </x:c>
      <x:c r="H136" s="9" t="n">
        <x:v>0.05</x:v>
      </x:c>
      <x:c r="I136" s="7" t="n">
        <x:v>1254</x:v>
      </x:c>
    </x:row>
    <x:row r="137" ht="23" customHeight="1">
      <x:c r="A137" s="7" t="str">
        <x:v>INV00132</x:v>
      </x:c>
      <x:c r="B137" s="15" t="d">
        <x:v>2026-05-25T00:00:00.000Z</x:v>
      </x:c>
      <x:c r="C137" s="14" t="d">
        <x:v>2026-05-01T00:00:00.000Z</x:v>
      </x:c>
      <x:c r="D137" s="34" t="str">
        <x:v>0005</x:v>
      </x:c>
      <x:c r="E137" s="7" t="str">
        <x:v>Central</x:v>
      </x:c>
      <x:c r="F137" s="7" t="n">
        <x:v>1</x:v>
      </x:c>
      <x:c r="G137" s="7" t="n">
        <x:v>240</x:v>
      </x:c>
      <x:c r="H137" s="9" t="n">
        <x:v>0</x:v>
      </x:c>
      <x:c r="I137" s="7" t="n">
        <x:v>240</x:v>
      </x:c>
    </x:row>
    <x:row r="138" ht="23" customHeight="1">
      <x:c r="A138" s="7" t="str">
        <x:v>INV00133</x:v>
      </x:c>
      <x:c r="B138" s="15" t="d">
        <x:v>2026-05-26T00:00:00.000Z</x:v>
      </x:c>
      <x:c r="C138" s="14" t="d">
        <x:v>2026-05-01T00:00:00.000Z</x:v>
      </x:c>
      <x:c r="D138" s="34" t="str">
        <x:v>0006</x:v>
      </x:c>
      <x:c r="E138" s="7" t="str">
        <x:v>Central</x:v>
      </x:c>
      <x:c r="F138" s="7" t="n">
        <x:v>7</x:v>
      </x:c>
      <x:c r="G138" s="7" t="n">
        <x:v>260</x:v>
      </x:c>
      <x:c r="H138" s="9" t="n">
        <x:v>0.02</x:v>
      </x:c>
      <x:c r="I138" s="7" t="n">
        <x:v>1783.6</x:v>
      </x:c>
    </x:row>
    <x:row r="139" ht="23" customHeight="1">
      <x:c r="A139" s="7" t="str">
        <x:v>INV00134</x:v>
      </x:c>
      <x:c r="B139" s="15" t="d">
        <x:v>2026-05-27T00:00:00.000Z</x:v>
      </x:c>
      <x:c r="C139" s="14" t="d">
        <x:v>2026-05-01T00:00:00.000Z</x:v>
      </x:c>
      <x:c r="D139" s="34" t="str">
        <x:v>0007</x:v>
      </x:c>
      <x:c r="E139" s="7" t="str">
        <x:v>Central</x:v>
      </x:c>
      <x:c r="F139" s="7" t="n">
        <x:v>7</x:v>
      </x:c>
      <x:c r="G139" s="7" t="n">
        <x:v>280</x:v>
      </x:c>
      <x:c r="H139" s="9" t="n">
        <x:v>0.05</x:v>
      </x:c>
      <x:c r="I139" s="7" t="n">
        <x:v>1862</x:v>
      </x:c>
    </x:row>
    <x:row r="140" ht="23" customHeight="1">
      <x:c r="A140" s="7" t="str">
        <x:v>INV00135</x:v>
      </x:c>
      <x:c r="B140" s="15" t="d">
        <x:v>2026-05-01T00:00:00.000Z</x:v>
      </x:c>
      <x:c r="C140" s="14" t="d">
        <x:v>2026-05-01T00:00:00.000Z</x:v>
      </x:c>
      <x:c r="D140" s="34" t="str">
        <x:v>0008</x:v>
      </x:c>
      <x:c r="E140" s="7" t="str">
        <x:v>Central</x:v>
      </x:c>
      <x:c r="F140" s="7" t="n">
        <x:v>4</x:v>
      </x:c>
      <x:c r="G140" s="7" t="n">
        <x:v>300</x:v>
      </x:c>
      <x:c r="H140" s="9" t="n">
        <x:v>0</x:v>
      </x:c>
      <x:c r="I140" s="7" t="n">
        <x:v>1200</x:v>
      </x:c>
    </x:row>
    <x:row r="141" ht="23" customHeight="1">
      <x:c r="A141" s="7" t="str">
        <x:v>INV00136</x:v>
      </x:c>
      <x:c r="B141" s="15" t="d">
        <x:v>2026-05-02T00:00:00.000Z</x:v>
      </x:c>
      <x:c r="C141" s="14" t="d">
        <x:v>2026-05-01T00:00:00.000Z</x:v>
      </x:c>
      <x:c r="D141" s="34" t="str">
        <x:v>0001</x:v>
      </x:c>
      <x:c r="E141" s="7" t="str">
        <x:v>East</x:v>
      </x:c>
      <x:c r="F141" s="7" t="n">
        <x:v>1</x:v>
      </x:c>
      <x:c r="G141" s="7" t="n">
        <x:v>160</x:v>
      </x:c>
      <x:c r="H141" s="9" t="n">
        <x:v>0.02</x:v>
      </x:c>
      <x:c r="I141" s="7" t="n">
        <x:v>156.8</x:v>
      </x:c>
    </x:row>
    <x:row r="142" ht="23" customHeight="1">
      <x:c r="A142" s="7" t="str">
        <x:v>INV00137</x:v>
      </x:c>
      <x:c r="B142" s="15" t="d">
        <x:v>2026-05-03T00:00:00.000Z</x:v>
      </x:c>
      <x:c r="C142" s="14" t="d">
        <x:v>2026-05-01T00:00:00.000Z</x:v>
      </x:c>
      <x:c r="D142" s="34" t="str">
        <x:v>0002</x:v>
      </x:c>
      <x:c r="E142" s="7" t="str">
        <x:v>East</x:v>
      </x:c>
      <x:c r="F142" s="7" t="n">
        <x:v>7</x:v>
      </x:c>
      <x:c r="G142" s="7" t="n">
        <x:v>180</x:v>
      </x:c>
      <x:c r="H142" s="9" t="n">
        <x:v>0.05</x:v>
      </x:c>
      <x:c r="I142" s="7" t="n">
        <x:v>1197</x:v>
      </x:c>
    </x:row>
    <x:row r="143" ht="23" customHeight="1">
      <x:c r="A143" s="7" t="str">
        <x:v>INV00138</x:v>
      </x:c>
      <x:c r="B143" s="15" t="d">
        <x:v>2026-05-04T00:00:00.000Z</x:v>
      </x:c>
      <x:c r="C143" s="14" t="d">
        <x:v>2026-05-01T00:00:00.000Z</x:v>
      </x:c>
      <x:c r="D143" s="34" t="str">
        <x:v>0003</x:v>
      </x:c>
      <x:c r="E143" s="7" t="str">
        <x:v>East</x:v>
      </x:c>
      <x:c r="F143" s="7" t="n">
        <x:v>3</x:v>
      </x:c>
      <x:c r="G143" s="7" t="n">
        <x:v>200</x:v>
      </x:c>
      <x:c r="H143" s="9" t="n">
        <x:v>0</x:v>
      </x:c>
      <x:c r="I143" s="7" t="n">
        <x:v>600</x:v>
      </x:c>
    </x:row>
    <x:row r="144" ht="23" customHeight="1">
      <x:c r="A144" s="7" t="str">
        <x:v>INV00139</x:v>
      </x:c>
      <x:c r="B144" s="15" t="d">
        <x:v>2026-05-05T00:00:00.000Z</x:v>
      </x:c>
      <x:c r="C144" s="14" t="d">
        <x:v>2026-05-01T00:00:00.000Z</x:v>
      </x:c>
      <x:c r="D144" s="34" t="str">
        <x:v>0004</x:v>
      </x:c>
      <x:c r="E144" s="7" t="str">
        <x:v>East</x:v>
      </x:c>
      <x:c r="F144" s="7" t="n">
        <x:v>2</x:v>
      </x:c>
      <x:c r="G144" s="7" t="n">
        <x:v>220</x:v>
      </x:c>
      <x:c r="H144" s="9" t="n">
        <x:v>0.02</x:v>
      </x:c>
      <x:c r="I144" s="7" t="n">
        <x:v>431.2</x:v>
      </x:c>
    </x:row>
    <x:row r="145" ht="23" customHeight="1">
      <x:c r="A145" s="7" t="str">
        <x:v>INV00140</x:v>
      </x:c>
      <x:c r="B145" s="15" t="d">
        <x:v>2026-05-06T00:00:00.000Z</x:v>
      </x:c>
      <x:c r="C145" s="14" t="d">
        <x:v>2026-05-01T00:00:00.000Z</x:v>
      </x:c>
      <x:c r="D145" s="34" t="str">
        <x:v>0005</x:v>
      </x:c>
      <x:c r="E145" s="7" t="str">
        <x:v>East</x:v>
      </x:c>
      <x:c r="F145" s="7" t="n">
        <x:v>2</x:v>
      </x:c>
      <x:c r="G145" s="7" t="n">
        <x:v>240</x:v>
      </x:c>
      <x:c r="H145" s="9" t="n">
        <x:v>0.05</x:v>
      </x:c>
      <x:c r="I145" s="7" t="n">
        <x:v>456</x:v>
      </x:c>
    </x:row>
    <x:row r="146" ht="23" customHeight="1">
      <x:c r="A146" s="7" t="str">
        <x:v>INV00141</x:v>
      </x:c>
      <x:c r="B146" s="15" t="d">
        <x:v>2026-05-07T00:00:00.000Z</x:v>
      </x:c>
      <x:c r="C146" s="14" t="d">
        <x:v>2026-05-01T00:00:00.000Z</x:v>
      </x:c>
      <x:c r="D146" s="34" t="str">
        <x:v>0006</x:v>
      </x:c>
      <x:c r="E146" s="7" t="str">
        <x:v>East</x:v>
      </x:c>
      <x:c r="F146" s="7" t="n">
        <x:v>5</x:v>
      </x:c>
      <x:c r="G146" s="7" t="n">
        <x:v>260</x:v>
      </x:c>
      <x:c r="H146" s="9" t="n">
        <x:v>0</x:v>
      </x:c>
      <x:c r="I146" s="7" t="n">
        <x:v>1300</x:v>
      </x:c>
    </x:row>
    <x:row r="147" ht="23" customHeight="1">
      <x:c r="A147" s="7" t="str">
        <x:v>INV00142</x:v>
      </x:c>
      <x:c r="B147" s="15" t="d">
        <x:v>2026-05-08T00:00:00.000Z</x:v>
      </x:c>
      <x:c r="C147" s="14" t="d">
        <x:v>2026-05-01T00:00:00.000Z</x:v>
      </x:c>
      <x:c r="D147" s="34" t="str">
        <x:v>0007</x:v>
      </x:c>
      <x:c r="E147" s="7" t="str">
        <x:v>East</x:v>
      </x:c>
      <x:c r="F147" s="7" t="n">
        <x:v>4</x:v>
      </x:c>
      <x:c r="G147" s="7" t="n">
        <x:v>280</x:v>
      </x:c>
      <x:c r="H147" s="9" t="n">
        <x:v>0.02</x:v>
      </x:c>
      <x:c r="I147" s="7" t="n">
        <x:v>1097.6</x:v>
      </x:c>
    </x:row>
    <x:row r="148" ht="23" customHeight="1">
      <x:c r="A148" s="7" t="str">
        <x:v>INV00143</x:v>
      </x:c>
      <x:c r="B148" s="15" t="d">
        <x:v>2026-05-09T00:00:00.000Z</x:v>
      </x:c>
      <x:c r="C148" s="14" t="d">
        <x:v>2026-05-01T00:00:00.000Z</x:v>
      </x:c>
      <x:c r="D148" s="34" t="str">
        <x:v>0008</x:v>
      </x:c>
      <x:c r="E148" s="7" t="str">
        <x:v>East</x:v>
      </x:c>
      <x:c r="F148" s="7" t="n">
        <x:v>4</x:v>
      </x:c>
      <x:c r="G148" s="7" t="n">
        <x:v>300</x:v>
      </x:c>
      <x:c r="H148" s="9" t="n">
        <x:v>0.05</x:v>
      </x:c>
      <x:c r="I148" s="7" t="n">
        <x:v>1140</x:v>
      </x:c>
    </x:row>
    <x:row r="149" ht="23" customHeight="1">
      <x:c r="A149" s="7" t="str">
        <x:v>INV00144</x:v>
      </x:c>
      <x:c r="B149" s="15" t="d">
        <x:v>2026-05-10T00:00:00.000Z</x:v>
      </x:c>
      <x:c r="C149" s="14" t="d">
        <x:v>2026-05-01T00:00:00.000Z</x:v>
      </x:c>
      <x:c r="D149" s="34" t="str">
        <x:v>0001</x:v>
      </x:c>
      <x:c r="E149" s="7" t="str">
        <x:v>West</x:v>
      </x:c>
      <x:c r="F149" s="7" t="n">
        <x:v>6</x:v>
      </x:c>
      <x:c r="G149" s="7" t="n">
        <x:v>160</x:v>
      </x:c>
      <x:c r="H149" s="9" t="n">
        <x:v>0</x:v>
      </x:c>
      <x:c r="I149" s="7" t="n">
        <x:v>960</x:v>
      </x:c>
    </x:row>
    <x:row r="150" ht="23" customHeight="1">
      <x:c r="A150" s="7" t="str">
        <x:v>INV00145</x:v>
      </x:c>
      <x:c r="B150" s="15" t="d">
        <x:v>2026-05-11T00:00:00.000Z</x:v>
      </x:c>
      <x:c r="C150" s="14" t="d">
        <x:v>2026-05-01T00:00:00.000Z</x:v>
      </x:c>
      <x:c r="D150" s="34" t="str">
        <x:v>0002</x:v>
      </x:c>
      <x:c r="E150" s="7" t="str">
        <x:v>West</x:v>
      </x:c>
      <x:c r="F150" s="7" t="n">
        <x:v>3</x:v>
      </x:c>
      <x:c r="G150" s="7" t="n">
        <x:v>180</x:v>
      </x:c>
      <x:c r="H150" s="9" t="n">
        <x:v>0.02</x:v>
      </x:c>
      <x:c r="I150" s="7" t="n">
        <x:v>529.2</x:v>
      </x:c>
    </x:row>
    <x:row r="151" ht="23" customHeight="1">
      <x:c r="A151" s="7" t="str">
        <x:v>INV00146</x:v>
      </x:c>
      <x:c r="B151" s="15" t="d">
        <x:v>2026-05-12T00:00:00.000Z</x:v>
      </x:c>
      <x:c r="C151" s="14" t="d">
        <x:v>2026-05-01T00:00:00.000Z</x:v>
      </x:c>
      <x:c r="D151" s="34" t="str">
        <x:v>0003</x:v>
      </x:c>
      <x:c r="E151" s="7" t="str">
        <x:v>West</x:v>
      </x:c>
      <x:c r="F151" s="7" t="n">
        <x:v>7</x:v>
      </x:c>
      <x:c r="G151" s="7" t="n">
        <x:v>200</x:v>
      </x:c>
      <x:c r="H151" s="9" t="n">
        <x:v>0.05</x:v>
      </x:c>
      <x:c r="I151" s="7" t="n">
        <x:v>1330</x:v>
      </x:c>
    </x:row>
    <x:row r="152" ht="23" customHeight="1">
      <x:c r="A152" s="7" t="str">
        <x:v>INV00147</x:v>
      </x:c>
      <x:c r="B152" s="15" t="d">
        <x:v>2026-05-13T00:00:00.000Z</x:v>
      </x:c>
      <x:c r="C152" s="14" t="d">
        <x:v>2026-05-01T00:00:00.000Z</x:v>
      </x:c>
      <x:c r="D152" s="34" t="str">
        <x:v>0004</x:v>
      </x:c>
      <x:c r="E152" s="7" t="str">
        <x:v>West</x:v>
      </x:c>
      <x:c r="F152" s="7" t="n">
        <x:v>7</x:v>
      </x:c>
      <x:c r="G152" s="7" t="n">
        <x:v>220</x:v>
      </x:c>
      <x:c r="H152" s="9" t="n">
        <x:v>0</x:v>
      </x:c>
      <x:c r="I152" s="7" t="n">
        <x:v>1540</x:v>
      </x:c>
    </x:row>
    <x:row r="153" ht="23" customHeight="1">
      <x:c r="A153" s="7" t="str">
        <x:v>INV00148</x:v>
      </x:c>
      <x:c r="B153" s="15" t="d">
        <x:v>2026-05-14T00:00:00.000Z</x:v>
      </x:c>
      <x:c r="C153" s="14" t="d">
        <x:v>2026-05-01T00:00:00.000Z</x:v>
      </x:c>
      <x:c r="D153" s="34" t="str">
        <x:v>0005</x:v>
      </x:c>
      <x:c r="E153" s="7" t="str">
        <x:v>West</x:v>
      </x:c>
      <x:c r="F153" s="7" t="n">
        <x:v>7</x:v>
      </x:c>
      <x:c r="G153" s="7" t="n">
        <x:v>240</x:v>
      </x:c>
      <x:c r="H153" s="9" t="n">
        <x:v>0.02</x:v>
      </x:c>
      <x:c r="I153" s="7" t="n">
        <x:v>1646.4</x:v>
      </x:c>
    </x:row>
    <x:row r="154" ht="23" customHeight="1">
      <x:c r="A154" s="7" t="str">
        <x:v>INV00149</x:v>
      </x:c>
      <x:c r="B154" s="15" t="d">
        <x:v>2026-05-15T00:00:00.000Z</x:v>
      </x:c>
      <x:c r="C154" s="14" t="d">
        <x:v>2026-05-01T00:00:00.000Z</x:v>
      </x:c>
      <x:c r="D154" s="34" t="str">
        <x:v>0006</x:v>
      </x:c>
      <x:c r="E154" s="7" t="str">
        <x:v>West</x:v>
      </x:c>
      <x:c r="F154" s="7" t="n">
        <x:v>4</x:v>
      </x:c>
      <x:c r="G154" s="7" t="n">
        <x:v>260</x:v>
      </x:c>
      <x:c r="H154" s="9" t="n">
        <x:v>0.05</x:v>
      </x:c>
      <x:c r="I154" s="7" t="n">
        <x:v>988</x:v>
      </x:c>
    </x:row>
    <x:row r="155" ht="23" customHeight="1">
      <x:c r="A155" s="7" t="str">
        <x:v>INV00150</x:v>
      </x:c>
      <x:c r="B155" s="15" t="d">
        <x:v>2026-05-16T00:00:00.000Z</x:v>
      </x:c>
      <x:c r="C155" s="14" t="d">
        <x:v>2026-05-01T00:00:00.000Z</x:v>
      </x:c>
      <x:c r="D155" s="34" t="str">
        <x:v>0007</x:v>
      </x:c>
      <x:c r="E155" s="7" t="str">
        <x:v>West</x:v>
      </x:c>
      <x:c r="F155" s="7" t="n">
        <x:v>2</x:v>
      </x:c>
      <x:c r="G155" s="7" t="n">
        <x:v>280</x:v>
      </x:c>
      <x:c r="H155" s="9" t="n">
        <x:v>0</x:v>
      </x:c>
      <x:c r="I155" s="7" t="n">
        <x:v>560</x:v>
      </x:c>
    </x:row>
    <x:row r="156" ht="23" customHeight="1">
      <x:c r="A156" s="7" t="str">
        <x:v>INV00151</x:v>
      </x:c>
      <x:c r="B156" s="15" t="d">
        <x:v>2026-05-17T00:00:00.000Z</x:v>
      </x:c>
      <x:c r="C156" s="14" t="d">
        <x:v>2026-05-01T00:00:00.000Z</x:v>
      </x:c>
      <x:c r="D156" s="34" t="str">
        <x:v>0008</x:v>
      </x:c>
      <x:c r="E156" s="7" t="str">
        <x:v>West</x:v>
      </x:c>
      <x:c r="F156" s="7" t="n">
        <x:v>3</x:v>
      </x:c>
      <x:c r="G156" s="7" t="n">
        <x:v>300</x:v>
      </x:c>
      <x:c r="H156" s="9" t="n">
        <x:v>0.02</x:v>
      </x:c>
      <x:c r="I156" s="7" t="n">
        <x:v>882</x:v>
      </x:c>
    </x:row>
    <x:row r="157" ht="23" customHeight="1">
      <x:c r="A157" s="7" t="str">
        <x:v>INV00152</x:v>
      </x:c>
      <x:c r="B157" s="15" t="d">
        <x:v>2026-05-18T00:00:00.000Z</x:v>
      </x:c>
      <x:c r="C157" s="14" t="d">
        <x:v>2026-05-01T00:00:00.000Z</x:v>
      </x:c>
      <x:c r="D157" s="34" t="str">
        <x:v>0001</x:v>
      </x:c>
      <x:c r="E157" s="7" t="str">
        <x:v>North</x:v>
      </x:c>
      <x:c r="F157" s="7" t="n">
        <x:v>2</x:v>
      </x:c>
      <x:c r="G157" s="7" t="n">
        <x:v>160</x:v>
      </x:c>
      <x:c r="H157" s="9" t="n">
        <x:v>0.05</x:v>
      </x:c>
      <x:c r="I157" s="7" t="n">
        <x:v>304</x:v>
      </x:c>
    </x:row>
    <x:row r="158" ht="23" customHeight="1">
      <x:c r="A158" s="7" t="str">
        <x:v>INV00153</x:v>
      </x:c>
      <x:c r="B158" s="15" t="d">
        <x:v>2026-05-19T00:00:00.000Z</x:v>
      </x:c>
      <x:c r="C158" s="14" t="d">
        <x:v>2026-05-01T00:00:00.000Z</x:v>
      </x:c>
      <x:c r="D158" s="34" t="str">
        <x:v>0002</x:v>
      </x:c>
      <x:c r="E158" s="7" t="str">
        <x:v>North</x:v>
      </x:c>
      <x:c r="F158" s="7" t="n">
        <x:v>2</x:v>
      </x:c>
      <x:c r="G158" s="7" t="n">
        <x:v>180</x:v>
      </x:c>
      <x:c r="H158" s="9" t="n">
        <x:v>0</x:v>
      </x:c>
      <x:c r="I158" s="7" t="n">
        <x:v>360</x:v>
      </x:c>
    </x:row>
    <x:row r="159" ht="23" customHeight="1">
      <x:c r="A159" s="7" t="str">
        <x:v>INV00154</x:v>
      </x:c>
      <x:c r="B159" s="15" t="d">
        <x:v>2026-05-20T00:00:00.000Z</x:v>
      </x:c>
      <x:c r="C159" s="14" t="d">
        <x:v>2026-05-01T00:00:00.000Z</x:v>
      </x:c>
      <x:c r="D159" s="34" t="str">
        <x:v>0003</x:v>
      </x:c>
      <x:c r="E159" s="7" t="str">
        <x:v>North</x:v>
      </x:c>
      <x:c r="F159" s="7" t="n">
        <x:v>4</x:v>
      </x:c>
      <x:c r="G159" s="7" t="n">
        <x:v>200</x:v>
      </x:c>
      <x:c r="H159" s="9" t="n">
        <x:v>0.02</x:v>
      </x:c>
      <x:c r="I159" s="7" t="n">
        <x:v>784</x:v>
      </x:c>
    </x:row>
    <x:row r="160" ht="23" customHeight="1">
      <x:c r="A160" s="7" t="str">
        <x:v>INV00155</x:v>
      </x:c>
      <x:c r="B160" s="15" t="d">
        <x:v>2026-05-21T00:00:00.000Z</x:v>
      </x:c>
      <x:c r="C160" s="14" t="d">
        <x:v>2026-05-01T00:00:00.000Z</x:v>
      </x:c>
      <x:c r="D160" s="34" t="str">
        <x:v>0004</x:v>
      </x:c>
      <x:c r="E160" s="7" t="str">
        <x:v>North</x:v>
      </x:c>
      <x:c r="F160" s="7" t="n">
        <x:v>3</x:v>
      </x:c>
      <x:c r="G160" s="7" t="n">
        <x:v>220</x:v>
      </x:c>
      <x:c r="H160" s="9" t="n">
        <x:v>0.05</x:v>
      </x:c>
      <x:c r="I160" s="7" t="n">
        <x:v>627</x:v>
      </x:c>
    </x:row>
    <x:row r="161" ht="23" customHeight="1">
      <x:c r="A161" s="7" t="str">
        <x:v>INV00156</x:v>
      </x:c>
      <x:c r="B161" s="15" t="d">
        <x:v>2026-05-22T00:00:00.000Z</x:v>
      </x:c>
      <x:c r="C161" s="14" t="d">
        <x:v>2026-05-01T00:00:00.000Z</x:v>
      </x:c>
      <x:c r="D161" s="34" t="str">
        <x:v>0005</x:v>
      </x:c>
      <x:c r="E161" s="7" t="str">
        <x:v>North</x:v>
      </x:c>
      <x:c r="F161" s="7" t="n">
        <x:v>7</x:v>
      </x:c>
      <x:c r="G161" s="7" t="n">
        <x:v>240</x:v>
      </x:c>
      <x:c r="H161" s="9" t="n">
        <x:v>0</x:v>
      </x:c>
      <x:c r="I161" s="7" t="n">
        <x:v>1680</x:v>
      </x:c>
    </x:row>
    <x:row r="162" ht="23" customHeight="1">
      <x:c r="A162" s="7" t="str">
        <x:v>INV00157</x:v>
      </x:c>
      <x:c r="B162" s="15" t="d">
        <x:v>2026-05-23T00:00:00.000Z</x:v>
      </x:c>
      <x:c r="C162" s="14" t="d">
        <x:v>2026-05-01T00:00:00.000Z</x:v>
      </x:c>
      <x:c r="D162" s="34" t="str">
        <x:v>0006</x:v>
      </x:c>
      <x:c r="E162" s="7" t="str">
        <x:v>North</x:v>
      </x:c>
      <x:c r="F162" s="7" t="n">
        <x:v>7</x:v>
      </x:c>
      <x:c r="G162" s="7" t="n">
        <x:v>260</x:v>
      </x:c>
      <x:c r="H162" s="9" t="n">
        <x:v>0.02</x:v>
      </x:c>
      <x:c r="I162" s="7" t="n">
        <x:v>1783.6</x:v>
      </x:c>
    </x:row>
    <x:row r="163" ht="23" customHeight="1">
      <x:c r="A163" s="7" t="str">
        <x:v>INV00158</x:v>
      </x:c>
      <x:c r="B163" s="15" t="d">
        <x:v>2026-05-24T00:00:00.000Z</x:v>
      </x:c>
      <x:c r="C163" s="14" t="d">
        <x:v>2026-05-01T00:00:00.000Z</x:v>
      </x:c>
      <x:c r="D163" s="34" t="str">
        <x:v>0007</x:v>
      </x:c>
      <x:c r="E163" s="7" t="str">
        <x:v>North</x:v>
      </x:c>
      <x:c r="F163" s="7" t="n">
        <x:v>5</x:v>
      </x:c>
      <x:c r="G163" s="7" t="n">
        <x:v>280</x:v>
      </x:c>
      <x:c r="H163" s="9" t="n">
        <x:v>0.05</x:v>
      </x:c>
      <x:c r="I163" s="7" t="n">
        <x:v>1330</x:v>
      </x:c>
    </x:row>
    <x:row r="164" ht="23" customHeight="1">
      <x:c r="A164" s="7" t="str">
        <x:v>INV00159</x:v>
      </x:c>
      <x:c r="B164" s="15" t="d">
        <x:v>2026-05-25T00:00:00.000Z</x:v>
      </x:c>
      <x:c r="C164" s="14" t="d">
        <x:v>2026-05-01T00:00:00.000Z</x:v>
      </x:c>
      <x:c r="D164" s="34" t="str">
        <x:v>0008</x:v>
      </x:c>
      <x:c r="E164" s="7" t="str">
        <x:v>North</x:v>
      </x:c>
      <x:c r="F164" s="7" t="n">
        <x:v>6</x:v>
      </x:c>
      <x:c r="G164" s="7" t="n">
        <x:v>300</x:v>
      </x:c>
      <x:c r="H164" s="9" t="n">
        <x:v>0</x:v>
      </x:c>
      <x:c r="I164" s="7" t="n">
        <x:v>1800</x:v>
      </x:c>
    </x:row>
    <x:row r="165" ht="23" customHeight="1">
      <x:c r="A165" s="7" t="str">
        <x:v>INV00160</x:v>
      </x:c>
      <x:c r="B165" s="15" t="d">
        <x:v>2026-06-26T00:00:00.000Z</x:v>
      </x:c>
      <x:c r="C165" s="14" t="d">
        <x:v>2026-06-01T00:00:00.000Z</x:v>
      </x:c>
      <x:c r="D165" s="34" t="str">
        <x:v>0001</x:v>
      </x:c>
      <x:c r="E165" s="7" t="str">
        <x:v>Central</x:v>
      </x:c>
      <x:c r="F165" s="7" t="n">
        <x:v>5</x:v>
      </x:c>
      <x:c r="G165" s="7" t="n">
        <x:v>160</x:v>
      </x:c>
      <x:c r="H165" s="9" t="n">
        <x:v>0.02</x:v>
      </x:c>
      <x:c r="I165" s="7" t="n">
        <x:v>784</x:v>
      </x:c>
    </x:row>
    <x:row r="166" ht="23" customHeight="1">
      <x:c r="A166" s="7" t="str">
        <x:v>INV00161</x:v>
      </x:c>
      <x:c r="B166" s="15" t="d">
        <x:v>2026-06-27T00:00:00.000Z</x:v>
      </x:c>
      <x:c r="C166" s="14" t="d">
        <x:v>2026-06-01T00:00:00.000Z</x:v>
      </x:c>
      <x:c r="D166" s="34" t="str">
        <x:v>0002</x:v>
      </x:c>
      <x:c r="E166" s="7" t="str">
        <x:v>Central</x:v>
      </x:c>
      <x:c r="F166" s="7" t="n">
        <x:v>5</x:v>
      </x:c>
      <x:c r="G166" s="7" t="n">
        <x:v>180</x:v>
      </x:c>
      <x:c r="H166" s="9" t="n">
        <x:v>0.05</x:v>
      </x:c>
      <x:c r="I166" s="7" t="n">
        <x:v>855</x:v>
      </x:c>
    </x:row>
    <x:row r="167" ht="23" customHeight="1">
      <x:c r="A167" s="7" t="str">
        <x:v>INV00162</x:v>
      </x:c>
      <x:c r="B167" s="15" t="d">
        <x:v>2026-06-01T00:00:00.000Z</x:v>
      </x:c>
      <x:c r="C167" s="14" t="d">
        <x:v>2026-06-01T00:00:00.000Z</x:v>
      </x:c>
      <x:c r="D167" s="34" t="str">
        <x:v>0003</x:v>
      </x:c>
      <x:c r="E167" s="7" t="str">
        <x:v>Central</x:v>
      </x:c>
      <x:c r="F167" s="7" t="n">
        <x:v>1</x:v>
      </x:c>
      <x:c r="G167" s="7" t="n">
        <x:v>200</x:v>
      </x:c>
      <x:c r="H167" s="9" t="n">
        <x:v>0</x:v>
      </x:c>
      <x:c r="I167" s="7" t="n">
        <x:v>200</x:v>
      </x:c>
    </x:row>
    <x:row r="168" ht="23" customHeight="1">
      <x:c r="A168" s="7" t="str">
        <x:v>INV00163</x:v>
      </x:c>
      <x:c r="B168" s="15" t="d">
        <x:v>2026-06-02T00:00:00.000Z</x:v>
      </x:c>
      <x:c r="C168" s="14" t="d">
        <x:v>2026-06-01T00:00:00.000Z</x:v>
      </x:c>
      <x:c r="D168" s="34" t="str">
        <x:v>0004</x:v>
      </x:c>
      <x:c r="E168" s="7" t="str">
        <x:v>Central</x:v>
      </x:c>
      <x:c r="F168" s="7" t="n">
        <x:v>1</x:v>
      </x:c>
      <x:c r="G168" s="7" t="n">
        <x:v>220</x:v>
      </x:c>
      <x:c r="H168" s="9" t="n">
        <x:v>0.02</x:v>
      </x:c>
      <x:c r="I168" s="7" t="n">
        <x:v>215.6</x:v>
      </x:c>
    </x:row>
    <x:row r="169" ht="23" customHeight="1">
      <x:c r="A169" s="7" t="str">
        <x:v>INV00164</x:v>
      </x:c>
      <x:c r="B169" s="15" t="d">
        <x:v>2026-06-03T00:00:00.000Z</x:v>
      </x:c>
      <x:c r="C169" s="14" t="d">
        <x:v>2026-06-01T00:00:00.000Z</x:v>
      </x:c>
      <x:c r="D169" s="34" t="str">
        <x:v>0005</x:v>
      </x:c>
      <x:c r="E169" s="7" t="str">
        <x:v>Central</x:v>
      </x:c>
      <x:c r="F169" s="7" t="n">
        <x:v>-7</x:v>
      </x:c>
      <x:c r="G169" s="7" t="n">
        <x:v>240</x:v>
      </x:c>
      <x:c r="H169" s="9" t="n">
        <x:v>0.05</x:v>
      </x:c>
      <x:c r="I169" s="7" t="n">
        <x:v>-1596</x:v>
      </x:c>
    </x:row>
    <x:row r="170" ht="23" customHeight="1">
      <x:c r="A170" s="7" t="str">
        <x:v>INV00165</x:v>
      </x:c>
      <x:c r="B170" s="15" t="d">
        <x:v>2026-06-04T00:00:00.000Z</x:v>
      </x:c>
      <x:c r="C170" s="14" t="d">
        <x:v>2026-06-01T00:00:00.000Z</x:v>
      </x:c>
      <x:c r="D170" s="34" t="str">
        <x:v>0006</x:v>
      </x:c>
      <x:c r="E170" s="7" t="str">
        <x:v>Central</x:v>
      </x:c>
      <x:c r="F170" s="7" t="n">
        <x:v>3</x:v>
      </x:c>
      <x:c r="G170" s="7" t="n">
        <x:v>260</x:v>
      </x:c>
      <x:c r="H170" s="9" t="n">
        <x:v>0</x:v>
      </x:c>
      <x:c r="I170" s="7" t="n">
        <x:v>780</x:v>
      </x:c>
    </x:row>
    <x:row r="171" ht="23" customHeight="1">
      <x:c r="A171" s="7" t="str">
        <x:v>INV00166</x:v>
      </x:c>
      <x:c r="B171" s="15" t="d">
        <x:v>2026-06-05T00:00:00.000Z</x:v>
      </x:c>
      <x:c r="C171" s="14" t="d">
        <x:v>2026-06-01T00:00:00.000Z</x:v>
      </x:c>
      <x:c r="D171" s="34" t="str">
        <x:v>0007</x:v>
      </x:c>
      <x:c r="E171" s="7" t="str">
        <x:v>Central</x:v>
      </x:c>
      <x:c r="F171" s="7" t="n">
        <x:v>2</x:v>
      </x:c>
      <x:c r="G171" s="7" t="n">
        <x:v>280</x:v>
      </x:c>
      <x:c r="H171" s="9" t="n">
        <x:v>0.02</x:v>
      </x:c>
      <x:c r="I171" s="7" t="n">
        <x:v>548.8</x:v>
      </x:c>
    </x:row>
    <x:row r="172" ht="23" customHeight="1">
      <x:c r="A172" s="7" t="str">
        <x:v>INV00167</x:v>
      </x:c>
      <x:c r="B172" s="15" t="d">
        <x:v>2026-06-06T00:00:00.000Z</x:v>
      </x:c>
      <x:c r="C172" s="14" t="d">
        <x:v>2026-06-01T00:00:00.000Z</x:v>
      </x:c>
      <x:c r="D172" s="34" t="str">
        <x:v>0008</x:v>
      </x:c>
      <x:c r="E172" s="7" t="str">
        <x:v>Central</x:v>
      </x:c>
      <x:c r="F172" s="7" t="n">
        <x:v>4</x:v>
      </x:c>
      <x:c r="G172" s="7" t="n">
        <x:v>300</x:v>
      </x:c>
      <x:c r="H172" s="9" t="n">
        <x:v>0.05</x:v>
      </x:c>
      <x:c r="I172" s="7" t="n">
        <x:v>1140</x:v>
      </x:c>
    </x:row>
    <x:row r="173" ht="23" customHeight="1">
      <x:c r="A173" s="7" t="str">
        <x:v>INV00168</x:v>
      </x:c>
      <x:c r="B173" s="15" t="d">
        <x:v>2026-06-07T00:00:00.000Z</x:v>
      </x:c>
      <x:c r="C173" s="14" t="d">
        <x:v>2026-06-01T00:00:00.000Z</x:v>
      </x:c>
      <x:c r="D173" s="34" t="str">
        <x:v>0001</x:v>
      </x:c>
      <x:c r="E173" s="7" t="str">
        <x:v>East</x:v>
      </x:c>
      <x:c r="F173" s="7" t="n">
        <x:v>1</x:v>
      </x:c>
      <x:c r="G173" s="7" t="n">
        <x:v>160</x:v>
      </x:c>
      <x:c r="H173" s="9" t="n">
        <x:v>0</x:v>
      </x:c>
      <x:c r="I173" s="7" t="n">
        <x:v>160</x:v>
      </x:c>
    </x:row>
    <x:row r="174" ht="23" customHeight="1">
      <x:c r="A174" s="7" t="str">
        <x:v>INV00169</x:v>
      </x:c>
      <x:c r="B174" s="15" t="d">
        <x:v>2026-06-08T00:00:00.000Z</x:v>
      </x:c>
      <x:c r="C174" s="14" t="d">
        <x:v>2026-06-01T00:00:00.000Z</x:v>
      </x:c>
      <x:c r="D174" s="34" t="str">
        <x:v>0002</x:v>
      </x:c>
      <x:c r="E174" s="7" t="str">
        <x:v>East</x:v>
      </x:c>
      <x:c r="F174" s="7" t="n">
        <x:v>7</x:v>
      </x:c>
      <x:c r="G174" s="7" t="n">
        <x:v>180</x:v>
      </x:c>
      <x:c r="H174" s="9" t="n">
        <x:v>0.02</x:v>
      </x:c>
      <x:c r="I174" s="7" t="n">
        <x:v>1234.8</x:v>
      </x:c>
    </x:row>
    <x:row r="175" ht="23" customHeight="1">
      <x:c r="A175" s="7" t="str">
        <x:v>INV00170</x:v>
      </x:c>
      <x:c r="B175" s="15" t="d">
        <x:v>2026-06-09T00:00:00.000Z</x:v>
      </x:c>
      <x:c r="C175" s="14" t="d">
        <x:v>2026-06-01T00:00:00.000Z</x:v>
      </x:c>
      <x:c r="D175" s="34" t="str">
        <x:v>0003</x:v>
      </x:c>
      <x:c r="E175" s="7" t="str">
        <x:v>East</x:v>
      </x:c>
      <x:c r="F175" s="7" t="n">
        <x:v>3</x:v>
      </x:c>
      <x:c r="G175" s="7" t="n">
        <x:v>200</x:v>
      </x:c>
      <x:c r="H175" s="9" t="n">
        <x:v>0.05</x:v>
      </x:c>
      <x:c r="I175" s="7" t="n">
        <x:v>570</x:v>
      </x:c>
    </x:row>
    <x:row r="176" ht="23" customHeight="1">
      <x:c r="A176" s="7" t="str">
        <x:v>INV00171</x:v>
      </x:c>
      <x:c r="B176" s="15" t="d">
        <x:v>2026-06-10T00:00:00.000Z</x:v>
      </x:c>
      <x:c r="C176" s="14" t="d">
        <x:v>2026-06-01T00:00:00.000Z</x:v>
      </x:c>
      <x:c r="D176" s="34" t="str">
        <x:v>0004</x:v>
      </x:c>
      <x:c r="E176" s="7" t="str">
        <x:v>East</x:v>
      </x:c>
      <x:c r="F176" s="7" t="n">
        <x:v>6</x:v>
      </x:c>
      <x:c r="G176" s="7" t="n">
        <x:v>220</x:v>
      </x:c>
      <x:c r="H176" s="9" t="n">
        <x:v>0</x:v>
      </x:c>
      <x:c r="I176" s="7" t="n">
        <x:v>1320</x:v>
      </x:c>
    </x:row>
    <x:row r="177" ht="23" customHeight="1">
      <x:c r="A177" s="7" t="str">
        <x:v>INV00172</x:v>
      </x:c>
      <x:c r="B177" s="15" t="d">
        <x:v>2026-06-11T00:00:00.000Z</x:v>
      </x:c>
      <x:c r="C177" s="14" t="d">
        <x:v>2026-06-01T00:00:00.000Z</x:v>
      </x:c>
      <x:c r="D177" s="34" t="str">
        <x:v>0005</x:v>
      </x:c>
      <x:c r="E177" s="7" t="str">
        <x:v>East</x:v>
      </x:c>
      <x:c r="F177" s="7" t="n">
        <x:v>1</x:v>
      </x:c>
      <x:c r="G177" s="7" t="n">
        <x:v>240</x:v>
      </x:c>
      <x:c r="H177" s="9" t="n">
        <x:v>0.02</x:v>
      </x:c>
      <x:c r="I177" s="7" t="n">
        <x:v>235.2</x:v>
      </x:c>
    </x:row>
    <x:row r="178" ht="23" customHeight="1">
      <x:c r="A178" s="7" t="str">
        <x:v>INV00173</x:v>
      </x:c>
      <x:c r="B178" s="15" t="d">
        <x:v>2026-06-12T00:00:00.000Z</x:v>
      </x:c>
      <x:c r="C178" s="14" t="d">
        <x:v>2026-06-01T00:00:00.000Z</x:v>
      </x:c>
      <x:c r="D178" s="34" t="str">
        <x:v>0006</x:v>
      </x:c>
      <x:c r="E178" s="7" t="str">
        <x:v>East</x:v>
      </x:c>
      <x:c r="F178" s="7" t="n">
        <x:v>7</x:v>
      </x:c>
      <x:c r="G178" s="7" t="n">
        <x:v>260</x:v>
      </x:c>
      <x:c r="H178" s="9" t="n">
        <x:v>0.05</x:v>
      </x:c>
      <x:c r="I178" s="7" t="n">
        <x:v>1729</x:v>
      </x:c>
    </x:row>
    <x:row r="179" ht="23" customHeight="1">
      <x:c r="A179" s="7" t="str">
        <x:v>INV00174</x:v>
      </x:c>
      <x:c r="B179" s="15" t="d">
        <x:v>2026-06-13T00:00:00.000Z</x:v>
      </x:c>
      <x:c r="C179" s="14" t="d">
        <x:v>2026-06-01T00:00:00.000Z</x:v>
      </x:c>
      <x:c r="D179" s="34" t="str">
        <x:v>0007</x:v>
      </x:c>
      <x:c r="E179" s="7" t="str">
        <x:v>East</x:v>
      </x:c>
      <x:c r="F179" s="7" t="n">
        <x:v>6</x:v>
      </x:c>
      <x:c r="G179" s="7" t="n">
        <x:v>280</x:v>
      </x:c>
      <x:c r="H179" s="9" t="n">
        <x:v>0</x:v>
      </x:c>
      <x:c r="I179" s="7" t="n">
        <x:v>1680</x:v>
      </x:c>
    </x:row>
    <x:row r="180" ht="23" customHeight="1">
      <x:c r="A180" s="7" t="str">
        <x:v>INV00175</x:v>
      </x:c>
      <x:c r="B180" s="15" t="d">
        <x:v>2026-06-14T00:00:00.000Z</x:v>
      </x:c>
      <x:c r="C180" s="14" t="d">
        <x:v>2026-06-01T00:00:00.000Z</x:v>
      </x:c>
      <x:c r="D180" s="34" t="str">
        <x:v>0008</x:v>
      </x:c>
      <x:c r="E180" s="7" t="str">
        <x:v>East</x:v>
      </x:c>
      <x:c r="F180" s="7" t="n">
        <x:v>3</x:v>
      </x:c>
      <x:c r="G180" s="7" t="n">
        <x:v>300</x:v>
      </x:c>
      <x:c r="H180" s="9" t="n">
        <x:v>0.02</x:v>
      </x:c>
      <x:c r="I180" s="7" t="n">
        <x:v>882</x:v>
      </x:c>
    </x:row>
    <x:row r="181" ht="23" customHeight="1">
      <x:c r="A181" s="7" t="str">
        <x:v>INV00176</x:v>
      </x:c>
      <x:c r="B181" s="15" t="d">
        <x:v>2026-06-15T00:00:00.000Z</x:v>
      </x:c>
      <x:c r="C181" s="14" t="d">
        <x:v>2026-06-01T00:00:00.000Z</x:v>
      </x:c>
      <x:c r="D181" s="34" t="str">
        <x:v>0001</x:v>
      </x:c>
      <x:c r="E181" s="7" t="str">
        <x:v>West</x:v>
      </x:c>
      <x:c r="F181" s="7" t="n">
        <x:v>7</x:v>
      </x:c>
      <x:c r="G181" s="7" t="n">
        <x:v>160</x:v>
      </x:c>
      <x:c r="H181" s="9" t="n">
        <x:v>0.05</x:v>
      </x:c>
      <x:c r="I181" s="7" t="n">
        <x:v>1064</x:v>
      </x:c>
    </x:row>
    <x:row r="182" ht="23" customHeight="1">
      <x:c r="A182" s="7" t="str">
        <x:v>INV00177</x:v>
      </x:c>
      <x:c r="B182" s="15" t="d">
        <x:v>2026-06-16T00:00:00.000Z</x:v>
      </x:c>
      <x:c r="C182" s="14" t="d">
        <x:v>2026-06-01T00:00:00.000Z</x:v>
      </x:c>
      <x:c r="D182" s="34" t="str">
        <x:v>0002</x:v>
      </x:c>
      <x:c r="E182" s="7" t="str">
        <x:v>West</x:v>
      </x:c>
      <x:c r="F182" s="7" t="n">
        <x:v>6</x:v>
      </x:c>
      <x:c r="G182" s="7" t="n">
        <x:v>180</x:v>
      </x:c>
      <x:c r="H182" s="9" t="n">
        <x:v>0</x:v>
      </x:c>
      <x:c r="I182" s="7" t="n">
        <x:v>1080</x:v>
      </x:c>
    </x:row>
    <x:row r="183" ht="23" customHeight="1">
      <x:c r="A183" s="7" t="str">
        <x:v>INV00178</x:v>
      </x:c>
      <x:c r="B183" s="15" t="d">
        <x:v>2026-06-17T00:00:00.000Z</x:v>
      </x:c>
      <x:c r="C183" s="14" t="d">
        <x:v>2026-06-01T00:00:00.000Z</x:v>
      </x:c>
      <x:c r="D183" s="34" t="str">
        <x:v>0003</x:v>
      </x:c>
      <x:c r="E183" s="7" t="str">
        <x:v>West</x:v>
      </x:c>
      <x:c r="F183" s="7" t="n">
        <x:v>5</x:v>
      </x:c>
      <x:c r="G183" s="7" t="n">
        <x:v>200</x:v>
      </x:c>
      <x:c r="H183" s="9" t="n">
        <x:v>0.02</x:v>
      </x:c>
      <x:c r="I183" s="7" t="n">
        <x:v>980</x:v>
      </x:c>
    </x:row>
    <x:row r="184" ht="23" customHeight="1">
      <x:c r="A184" s="7" t="str">
        <x:v>INV00179</x:v>
      </x:c>
      <x:c r="B184" s="15" t="d">
        <x:v>2026-06-18T00:00:00.000Z</x:v>
      </x:c>
      <x:c r="C184" s="14" t="d">
        <x:v>2026-06-01T00:00:00.000Z</x:v>
      </x:c>
      <x:c r="D184" s="34" t="str">
        <x:v>0004</x:v>
      </x:c>
      <x:c r="E184" s="7" t="str">
        <x:v>West</x:v>
      </x:c>
      <x:c r="F184" s="7" t="n">
        <x:v>4</x:v>
      </x:c>
      <x:c r="G184" s="7" t="n">
        <x:v>220</x:v>
      </x:c>
      <x:c r="H184" s="9" t="n">
        <x:v>0.05</x:v>
      </x:c>
      <x:c r="I184" s="7" t="n">
        <x:v>836</x:v>
      </x:c>
    </x:row>
    <x:row r="185" ht="23" customHeight="1">
      <x:c r="A185" s="7" t="str">
        <x:v>INV00180</x:v>
      </x:c>
      <x:c r="B185" s="15" t="d">
        <x:v>2026-06-19T00:00:00.000Z</x:v>
      </x:c>
      <x:c r="C185" s="14" t="d">
        <x:v>2026-06-01T00:00:00.000Z</x:v>
      </x:c>
      <x:c r="D185" s="34" t="str">
        <x:v>0005</x:v>
      </x:c>
      <x:c r="E185" s="7" t="str">
        <x:v>West</x:v>
      </x:c>
      <x:c r="F185" s="7" t="n">
        <x:v>5</x:v>
      </x:c>
      <x:c r="G185" s="7" t="n">
        <x:v>240</x:v>
      </x:c>
      <x:c r="H185" s="9" t="n">
        <x:v>0</x:v>
      </x:c>
      <x:c r="I185" s="7" t="n">
        <x:v>1200</x:v>
      </x:c>
    </x:row>
    <x:row r="186" ht="23" customHeight="1">
      <x:c r="A186" s="7" t="str">
        <x:v>INV00181</x:v>
      </x:c>
      <x:c r="B186" s="15" t="d">
        <x:v>2026-06-20T00:00:00.000Z</x:v>
      </x:c>
      <x:c r="C186" s="14" t="d">
        <x:v>2026-06-01T00:00:00.000Z</x:v>
      </x:c>
      <x:c r="D186" s="34" t="str">
        <x:v>0006</x:v>
      </x:c>
      <x:c r="E186" s="7" t="str">
        <x:v>West</x:v>
      </x:c>
      <x:c r="F186" s="7" t="n">
        <x:v>7</x:v>
      </x:c>
      <x:c r="G186" s="7" t="n">
        <x:v>260</x:v>
      </x:c>
      <x:c r="H186" s="9" t="n">
        <x:v>0.02</x:v>
      </x:c>
      <x:c r="I186" s="7" t="n">
        <x:v>1783.6</x:v>
      </x:c>
    </x:row>
    <x:row r="187" ht="23" customHeight="1">
      <x:c r="A187" s="7" t="str">
        <x:v>INV00182</x:v>
      </x:c>
      <x:c r="B187" s="15" t="d">
        <x:v>2026-06-21T00:00:00.000Z</x:v>
      </x:c>
      <x:c r="C187" s="14" t="d">
        <x:v>2026-06-01T00:00:00.000Z</x:v>
      </x:c>
      <x:c r="D187" s="34" t="str">
        <x:v>0007</x:v>
      </x:c>
      <x:c r="E187" s="7" t="str">
        <x:v>West</x:v>
      </x:c>
      <x:c r="F187" s="7" t="n">
        <x:v>1</x:v>
      </x:c>
      <x:c r="G187" s="7" t="n">
        <x:v>280</x:v>
      </x:c>
      <x:c r="H187" s="9" t="n">
        <x:v>0.05</x:v>
      </x:c>
      <x:c r="I187" s="7" t="n">
        <x:v>266</x:v>
      </x:c>
    </x:row>
    <x:row r="188" ht="23" customHeight="1">
      <x:c r="A188" s="7" t="str">
        <x:v>INV00183</x:v>
      </x:c>
      <x:c r="B188" s="15" t="d">
        <x:v>2026-06-22T00:00:00.000Z</x:v>
      </x:c>
      <x:c r="C188" s="14" t="d">
        <x:v>2026-06-01T00:00:00.000Z</x:v>
      </x:c>
      <x:c r="D188" s="34" t="str">
        <x:v>0008</x:v>
      </x:c>
      <x:c r="E188" s="7" t="str">
        <x:v>West</x:v>
      </x:c>
      <x:c r="F188" s="7" t="n">
        <x:v>7</x:v>
      </x:c>
      <x:c r="G188" s="7" t="n">
        <x:v>300</x:v>
      </x:c>
      <x:c r="H188" s="9" t="n">
        <x:v>0</x:v>
      </x:c>
      <x:c r="I188" s="7" t="n">
        <x:v>2100</x:v>
      </x:c>
    </x:row>
    <x:row r="189" ht="23" customHeight="1">
      <x:c r="A189" s="7" t="str">
        <x:v>INV00184</x:v>
      </x:c>
      <x:c r="B189" s="15" t="d">
        <x:v>2026-06-23T00:00:00.000Z</x:v>
      </x:c>
      <x:c r="C189" s="14" t="d">
        <x:v>2026-06-01T00:00:00.000Z</x:v>
      </x:c>
      <x:c r="D189" s="34" t="str">
        <x:v>0001</x:v>
      </x:c>
      <x:c r="E189" s="7" t="str">
        <x:v>North</x:v>
      </x:c>
      <x:c r="F189" s="7" t="n">
        <x:v>4</x:v>
      </x:c>
      <x:c r="G189" s="7" t="n">
        <x:v>160</x:v>
      </x:c>
      <x:c r="H189" s="9" t="n">
        <x:v>0.02</x:v>
      </x:c>
      <x:c r="I189" s="7" t="n">
        <x:v>627.2</x:v>
      </x:c>
    </x:row>
    <x:row r="190" ht="23" customHeight="1">
      <x:c r="A190" s="7" t="str">
        <x:v>INV00185</x:v>
      </x:c>
      <x:c r="B190" s="15" t="d">
        <x:v>2026-06-24T00:00:00.000Z</x:v>
      </x:c>
      <x:c r="C190" s="14" t="d">
        <x:v>2026-06-01T00:00:00.000Z</x:v>
      </x:c>
      <x:c r="D190" s="34" t="str">
        <x:v>0002</x:v>
      </x:c>
      <x:c r="E190" s="7" t="str">
        <x:v>North</x:v>
      </x:c>
      <x:c r="F190" s="7" t="n">
        <x:v>7</x:v>
      </x:c>
      <x:c r="G190" s="7" t="n">
        <x:v>180</x:v>
      </x:c>
      <x:c r="H190" s="9" t="n">
        <x:v>0.05</x:v>
      </x:c>
      <x:c r="I190" s="7" t="n">
        <x:v>1197</x:v>
      </x:c>
    </x:row>
    <x:row r="191" ht="23" customHeight="1">
      <x:c r="A191" s="7" t="str">
        <x:v>INV00186</x:v>
      </x:c>
      <x:c r="B191" s="15" t="d">
        <x:v>2026-06-25T00:00:00.000Z</x:v>
      </x:c>
      <x:c r="C191" s="14" t="d">
        <x:v>2026-06-01T00:00:00.000Z</x:v>
      </x:c>
      <x:c r="D191" s="34" t="str">
        <x:v>0003</x:v>
      </x:c>
      <x:c r="E191" s="7" t="str">
        <x:v>North</x:v>
      </x:c>
      <x:c r="F191" s="7" t="n">
        <x:v>7</x:v>
      </x:c>
      <x:c r="G191" s="7" t="n">
        <x:v>200</x:v>
      </x:c>
      <x:c r="H191" s="9" t="n">
        <x:v>0</x:v>
      </x:c>
      <x:c r="I191" s="7" t="n">
        <x:v>1400</x:v>
      </x:c>
    </x:row>
    <x:row r="192" ht="23" customHeight="1">
      <x:c r="A192" s="7" t="str">
        <x:v>INV00187</x:v>
      </x:c>
      <x:c r="B192" s="15" t="d">
        <x:v>2026-06-26T00:00:00.000Z</x:v>
      </x:c>
      <x:c r="C192" s="14" t="d">
        <x:v>2026-06-01T00:00:00.000Z</x:v>
      </x:c>
      <x:c r="D192" s="34" t="str">
        <x:v>0004</x:v>
      </x:c>
      <x:c r="E192" s="7" t="str">
        <x:v>North</x:v>
      </x:c>
      <x:c r="F192" s="7" t="n">
        <x:v>3</x:v>
      </x:c>
      <x:c r="G192" s="7" t="n">
        <x:v>220</x:v>
      </x:c>
      <x:c r="H192" s="9" t="n">
        <x:v>0.02</x:v>
      </x:c>
      <x:c r="I192" s="7" t="n">
        <x:v>646.8</x:v>
      </x:c>
    </x:row>
    <x:row r="193" ht="23" customHeight="1">
      <x:c r="A193" s="7" t="str">
        <x:v>INV00188</x:v>
      </x:c>
      <x:c r="B193" s="15" t="d">
        <x:v>2026-06-27T00:00:00.000Z</x:v>
      </x:c>
      <x:c r="C193" s="14" t="d">
        <x:v>2026-06-01T00:00:00.000Z</x:v>
      </x:c>
      <x:c r="D193" s="34" t="str">
        <x:v>0005</x:v>
      </x:c>
      <x:c r="E193" s="7" t="str">
        <x:v>North</x:v>
      </x:c>
      <x:c r="F193" s="7" t="n">
        <x:v>7</x:v>
      </x:c>
      <x:c r="G193" s="7" t="n">
        <x:v>240</x:v>
      </x:c>
      <x:c r="H193" s="9" t="n">
        <x:v>0.05</x:v>
      </x:c>
      <x:c r="I193" s="7" t="n">
        <x:v>1596</x:v>
      </x:c>
    </x:row>
    <x:row r="194" ht="23" customHeight="1">
      <x:c r="A194" s="7" t="str">
        <x:v>INV00189</x:v>
      </x:c>
      <x:c r="B194" s="15" t="d">
        <x:v>2026-06-01T00:00:00.000Z</x:v>
      </x:c>
      <x:c r="C194" s="14" t="d">
        <x:v>2026-06-01T00:00:00.000Z</x:v>
      </x:c>
      <x:c r="D194" s="34" t="str">
        <x:v>0006</x:v>
      </x:c>
      <x:c r="E194" s="7" t="str">
        <x:v>North</x:v>
      </x:c>
      <x:c r="F194" s="7" t="n">
        <x:v>6</x:v>
      </x:c>
      <x:c r="G194" s="7" t="n">
        <x:v>260</x:v>
      </x:c>
      <x:c r="H194" s="9" t="n">
        <x:v>0</x:v>
      </x:c>
      <x:c r="I194" s="7" t="n">
        <x:v>1560</x:v>
      </x:c>
    </x:row>
    <x:row r="195" ht="23" customHeight="1">
      <x:c r="A195" s="7" t="str">
        <x:v>INV00190</x:v>
      </x:c>
      <x:c r="B195" s="15" t="d">
        <x:v>2026-06-02T00:00:00.000Z</x:v>
      </x:c>
      <x:c r="C195" s="14" t="d">
        <x:v>2026-06-01T00:00:00.000Z</x:v>
      </x:c>
      <x:c r="D195" s="34" t="str">
        <x:v>0007</x:v>
      </x:c>
      <x:c r="E195" s="7" t="str">
        <x:v>North</x:v>
      </x:c>
      <x:c r="F195" s="7" t="n">
        <x:v>1</x:v>
      </x:c>
      <x:c r="G195" s="7" t="n">
        <x:v>280</x:v>
      </x:c>
      <x:c r="H195" s="9" t="n">
        <x:v>0.02</x:v>
      </x:c>
      <x:c r="I195" s="7" t="n">
        <x:v>274.4</x:v>
      </x:c>
    </x:row>
    <x:row r="196" ht="23" customHeight="1">
      <x:c r="A196" s="7" t="str">
        <x:v>INV00191</x:v>
      </x:c>
      <x:c r="B196" s="15" t="d">
        <x:v>2026-06-03T00:00:00.000Z</x:v>
      </x:c>
      <x:c r="C196" s="14" t="d">
        <x:v>2026-06-01T00:00:00.000Z</x:v>
      </x:c>
      <x:c r="D196" s="34" t="str">
        <x:v>0008</x:v>
      </x:c>
      <x:c r="E196" s="7" t="str">
        <x:v>North</x:v>
      </x:c>
      <x:c r="F196" s="7" t="n">
        <x:v>1</x:v>
      </x:c>
      <x:c r="G196" s="7" t="n">
        <x:v>300</x:v>
      </x:c>
      <x:c r="H196" s="9" t="n">
        <x:v>0.05</x:v>
      </x:c>
      <x:c r="I196" s="7" t="n">
        <x:v>285</x:v>
      </x:c>
    </x:row>
    <x:row r="197" ht="23" customHeight="1">
      <x:c r="A197" s="7" t="str">
        <x:v>INV00192</x:v>
      </x:c>
      <x:c r="B197" s="15" t="d">
        <x:v>2026-01-04T00:00:00.000Z</x:v>
      </x:c>
      <x:c r="C197" s="14" t="d">
        <x:v>2026-01-01T00:00:00.000Z</x:v>
      </x:c>
      <x:c r="D197" s="34" t="str">
        <x:v>0001</x:v>
      </x:c>
      <x:c r="E197" s="7" t="str">
        <x:v>Central</x:v>
      </x:c>
      <x:c r="F197" s="7" t="n">
        <x:v>1</x:v>
      </x:c>
      <x:c r="G197" s="7" t="n">
        <x:v>160</x:v>
      </x:c>
      <x:c r="H197" s="9" t="n">
        <x:v>0</x:v>
      </x:c>
      <x:c r="I197" s="7" t="n">
        <x:v>160</x:v>
      </x:c>
    </x:row>
    <x:row r="198" ht="23" customHeight="1">
      <x:c r="A198" s="7" t="str">
        <x:v>INV00193</x:v>
      </x:c>
      <x:c r="B198" s="15" t="d">
        <x:v>2026-01-05T00:00:00.000Z</x:v>
      </x:c>
      <x:c r="C198" s="14" t="d">
        <x:v>2026-01-01T00:00:00.000Z</x:v>
      </x:c>
      <x:c r="D198" s="34" t="str">
        <x:v>0002</x:v>
      </x:c>
      <x:c r="E198" s="7" t="str">
        <x:v>Central</x:v>
      </x:c>
      <x:c r="F198" s="7" t="n">
        <x:v>4</x:v>
      </x:c>
      <x:c r="G198" s="7" t="n">
        <x:v>180</x:v>
      </x:c>
      <x:c r="H198" s="9" t="n">
        <x:v>0.02</x:v>
      </x:c>
      <x:c r="I198" s="7" t="n">
        <x:v>705.6</x:v>
      </x:c>
    </x:row>
    <x:row r="199" ht="23" customHeight="1">
      <x:c r="A199" s="7" t="str">
        <x:v>INV00194</x:v>
      </x:c>
      <x:c r="B199" s="15" t="d">
        <x:v>2026-01-06T00:00:00.000Z</x:v>
      </x:c>
      <x:c r="C199" s="14" t="d">
        <x:v>2026-01-01T00:00:00.000Z</x:v>
      </x:c>
      <x:c r="D199" s="34" t="str">
        <x:v>0003</x:v>
      </x:c>
      <x:c r="E199" s="7" t="str">
        <x:v>Central</x:v>
      </x:c>
      <x:c r="F199" s="7" t="n">
        <x:v>6</x:v>
      </x:c>
      <x:c r="G199" s="7" t="n">
        <x:v>200</x:v>
      </x:c>
      <x:c r="H199" s="9" t="n">
        <x:v>0.05</x:v>
      </x:c>
      <x:c r="I199" s="7" t="n">
        <x:v>1140</x:v>
      </x:c>
    </x:row>
    <x:row r="200" ht="23" customHeight="1">
      <x:c r="A200" s="7" t="str">
        <x:v>INV00195</x:v>
      </x:c>
      <x:c r="B200" s="15" t="d">
        <x:v>2026-01-07T00:00:00.000Z</x:v>
      </x:c>
      <x:c r="C200" s="14" t="d">
        <x:v>2026-01-01T00:00:00.000Z</x:v>
      </x:c>
      <x:c r="D200" s="34" t="str">
        <x:v>0004</x:v>
      </x:c>
      <x:c r="E200" s="7" t="str">
        <x:v>Central</x:v>
      </x:c>
      <x:c r="F200" s="7" t="n">
        <x:v>7</x:v>
      </x:c>
      <x:c r="G200" s="7" t="n">
        <x:v>220</x:v>
      </x:c>
      <x:c r="H200" s="9" t="n">
        <x:v>0</x:v>
      </x:c>
      <x:c r="I200" s="7" t="n">
        <x:v>1540</x:v>
      </x:c>
    </x:row>
    <x:row r="201" ht="23" customHeight="1">
      <x:c r="A201" s="7" t="str">
        <x:v>INV00196</x:v>
      </x:c>
      <x:c r="B201" s="15" t="d">
        <x:v>2026-01-08T00:00:00.000Z</x:v>
      </x:c>
      <x:c r="C201" s="14" t="d">
        <x:v>2026-01-01T00:00:00.000Z</x:v>
      </x:c>
      <x:c r="D201" s="34" t="str">
        <x:v>0005</x:v>
      </x:c>
      <x:c r="E201" s="7" t="str">
        <x:v>Central</x:v>
      </x:c>
      <x:c r="F201" s="7" t="n">
        <x:v>2</x:v>
      </x:c>
      <x:c r="G201" s="7" t="n">
        <x:v>240</x:v>
      </x:c>
      <x:c r="H201" s="9" t="n">
        <x:v>0.02</x:v>
      </x:c>
      <x:c r="I201" s="7" t="n">
        <x:v>470.4</x:v>
      </x:c>
    </x:row>
    <x:row r="202" ht="23" customHeight="1">
      <x:c r="A202" s="7" t="str">
        <x:v>INV00197</x:v>
      </x:c>
      <x:c r="B202" s="15" t="d">
        <x:v>2026-01-09T00:00:00.000Z</x:v>
      </x:c>
      <x:c r="C202" s="14" t="d">
        <x:v>2026-01-01T00:00:00.000Z</x:v>
      </x:c>
      <x:c r="D202" s="34" t="str">
        <x:v>0006</x:v>
      </x:c>
      <x:c r="E202" s="7" t="str">
        <x:v>Central</x:v>
      </x:c>
      <x:c r="F202" s="7" t="n">
        <x:v>3</x:v>
      </x:c>
      <x:c r="G202" s="7" t="n">
        <x:v>260</x:v>
      </x:c>
      <x:c r="H202" s="9" t="n">
        <x:v>0.05</x:v>
      </x:c>
      <x:c r="I202" s="7" t="n">
        <x:v>741</x:v>
      </x:c>
    </x:row>
    <x:row r="203" ht="23" customHeight="1">
      <x:c r="A203" s="7" t="str">
        <x:v>INV00198</x:v>
      </x:c>
      <x:c r="B203" s="15" t="d">
        <x:v>2026-01-10T00:00:00.000Z</x:v>
      </x:c>
      <x:c r="C203" s="14" t="d">
        <x:v>2026-01-01T00:00:00.000Z</x:v>
      </x:c>
      <x:c r="D203" s="34" t="str">
        <x:v>0007</x:v>
      </x:c>
      <x:c r="E203" s="7" t="str">
        <x:v>Central</x:v>
      </x:c>
      <x:c r="F203" s="7" t="n">
        <x:v>3</x:v>
      </x:c>
      <x:c r="G203" s="7" t="n">
        <x:v>280</x:v>
      </x:c>
      <x:c r="H203" s="9" t="n">
        <x:v>0</x:v>
      </x:c>
      <x:c r="I203" s="7" t="n">
        <x:v>840</x:v>
      </x:c>
    </x:row>
    <x:row r="204" ht="23" customHeight="1">
      <x:c r="A204" s="7" t="str">
        <x:v>INV00199</x:v>
      </x:c>
      <x:c r="B204" s="15" t="d">
        <x:v>2026-01-11T00:00:00.000Z</x:v>
      </x:c>
      <x:c r="C204" s="14" t="d">
        <x:v>2026-01-01T00:00:00.000Z</x:v>
      </x:c>
      <x:c r="D204" s="34" t="str">
        <x:v>0008</x:v>
      </x:c>
      <x:c r="E204" s="7" t="str">
        <x:v>Central</x:v>
      </x:c>
      <x:c r="F204" s="7" t="n">
        <x:v>2</x:v>
      </x:c>
      <x:c r="G204" s="7" t="n">
        <x:v>300</x:v>
      </x:c>
      <x:c r="H204" s="9" t="n">
        <x:v>0.02</x:v>
      </x:c>
      <x:c r="I204" s="7" t="n">
        <x:v>588</x:v>
      </x:c>
    </x:row>
    <x:row r="205" ht="23" customHeight="1">
      <x:c r="A205" s="7" t="str">
        <x:v>INV00200</x:v>
      </x:c>
      <x:c r="B205" s="15" t="d">
        <x:v>2026-01-12T00:00:00.000Z</x:v>
      </x:c>
      <x:c r="C205" s="14" t="d">
        <x:v>2026-01-01T00:00:00.000Z</x:v>
      </x:c>
      <x:c r="D205" s="34" t="str">
        <x:v>0001</x:v>
      </x:c>
      <x:c r="E205" s="7" t="str">
        <x:v>East</x:v>
      </x:c>
      <x:c r="F205" s="7" t="n">
        <x:v>7</x:v>
      </x:c>
      <x:c r="G205" s="7" t="n">
        <x:v>160</x:v>
      </x:c>
      <x:c r="H205" s="9" t="n">
        <x:v>0.05</x:v>
      </x:c>
      <x:c r="I205" s="7" t="n">
        <x:v>1064</x:v>
      </x:c>
    </x:row>
    <x:row r="206" ht="23" customHeight="1">
      <x:c r="A206" s="7" t="str">
        <x:v>INV00201</x:v>
      </x:c>
      <x:c r="B206" s="15" t="d">
        <x:v>2026-01-13T00:00:00.000Z</x:v>
      </x:c>
      <x:c r="C206" s="14" t="d">
        <x:v>2026-01-01T00:00:00.000Z</x:v>
      </x:c>
      <x:c r="D206" s="34" t="str">
        <x:v>0002</x:v>
      </x:c>
      <x:c r="E206" s="7" t="str">
        <x:v>East</x:v>
      </x:c>
      <x:c r="F206" s="7" t="n">
        <x:v>2</x:v>
      </x:c>
      <x:c r="G206" s="7" t="n">
        <x:v>180</x:v>
      </x:c>
      <x:c r="H206" s="9" t="n">
        <x:v>0</x:v>
      </x:c>
      <x:c r="I206" s="7" t="n">
        <x:v>360</x:v>
      </x:c>
    </x:row>
    <x:row r="207" ht="23" customHeight="1">
      <x:c r="A207" s="7" t="str">
        <x:v>INV00202</x:v>
      </x:c>
      <x:c r="B207" s="15" t="d">
        <x:v>2026-01-14T00:00:00.000Z</x:v>
      </x:c>
      <x:c r="C207" s="14" t="d">
        <x:v>2026-01-01T00:00:00.000Z</x:v>
      </x:c>
      <x:c r="D207" s="34" t="str">
        <x:v>0003</x:v>
      </x:c>
      <x:c r="E207" s="7" t="str">
        <x:v>East</x:v>
      </x:c>
      <x:c r="F207" s="7" t="n">
        <x:v>5</x:v>
      </x:c>
      <x:c r="G207" s="7" t="n">
        <x:v>200</x:v>
      </x:c>
      <x:c r="H207" s="9" t="n">
        <x:v>0.02</x:v>
      </x:c>
      <x:c r="I207" s="7" t="n">
        <x:v>980</x:v>
      </x:c>
    </x:row>
    <x:row r="208" ht="23" customHeight="1">
      <x:c r="A208" s="7" t="str">
        <x:v>INV00203</x:v>
      </x:c>
      <x:c r="B208" s="15" t="d">
        <x:v>2026-01-15T00:00:00.000Z</x:v>
      </x:c>
      <x:c r="C208" s="14" t="d">
        <x:v>2026-01-01T00:00:00.000Z</x:v>
      </x:c>
      <x:c r="D208" s="34" t="str">
        <x:v>0004</x:v>
      </x:c>
      <x:c r="E208" s="7" t="str">
        <x:v>East</x:v>
      </x:c>
      <x:c r="F208" s="7" t="n">
        <x:v>7</x:v>
      </x:c>
      <x:c r="G208" s="7" t="n">
        <x:v>220</x:v>
      </x:c>
      <x:c r="H208" s="9" t="n">
        <x:v>0.05</x:v>
      </x:c>
      <x:c r="I208" s="7" t="n">
        <x:v>1463</x:v>
      </x:c>
    </x:row>
    <x:row r="209" ht="23" customHeight="1">
      <x:c r="A209" s="7" t="str">
        <x:v>INV00204</x:v>
      </x:c>
      <x:c r="B209" s="15" t="d">
        <x:v>2026-01-16T00:00:00.000Z</x:v>
      </x:c>
      <x:c r="C209" s="14" t="d">
        <x:v>2026-01-01T00:00:00.000Z</x:v>
      </x:c>
      <x:c r="D209" s="34" t="str">
        <x:v>0005</x:v>
      </x:c>
      <x:c r="E209" s="7" t="str">
        <x:v>East</x:v>
      </x:c>
      <x:c r="F209" s="7" t="n">
        <x:v>4</x:v>
      </x:c>
      <x:c r="G209" s="7" t="n">
        <x:v>240</x:v>
      </x:c>
      <x:c r="H209" s="9" t="n">
        <x:v>0</x:v>
      </x:c>
      <x:c r="I209" s="7" t="n">
        <x:v>960</x:v>
      </x:c>
    </x:row>
    <x:row r="210" ht="23" customHeight="1">
      <x:c r="A210" s="7" t="str">
        <x:v>INV00205</x:v>
      </x:c>
      <x:c r="B210" s="15" t="d">
        <x:v>2026-01-17T00:00:00.000Z</x:v>
      </x:c>
      <x:c r="C210" s="14" t="d">
        <x:v>2026-01-01T00:00:00.000Z</x:v>
      </x:c>
      <x:c r="D210" s="34" t="str">
        <x:v>0006</x:v>
      </x:c>
      <x:c r="E210" s="7" t="str">
        <x:v>East</x:v>
      </x:c>
      <x:c r="F210" s="7" t="n">
        <x:v>-2</x:v>
      </x:c>
      <x:c r="G210" s="7" t="n">
        <x:v>260</x:v>
      </x:c>
      <x:c r="H210" s="9" t="n">
        <x:v>0.02</x:v>
      </x:c>
      <x:c r="I210" s="7" t="n">
        <x:v>-509.6</x:v>
      </x:c>
    </x:row>
    <x:row r="211" ht="23" customHeight="1">
      <x:c r="A211" s="7" t="str">
        <x:v>INV00206</x:v>
      </x:c>
      <x:c r="B211" s="15" t="d">
        <x:v>2026-01-18T00:00:00.000Z</x:v>
      </x:c>
      <x:c r="C211" s="14" t="d">
        <x:v>2026-01-01T00:00:00.000Z</x:v>
      </x:c>
      <x:c r="D211" s="34" t="str">
        <x:v>0007</x:v>
      </x:c>
      <x:c r="E211" s="7" t="str">
        <x:v>East</x:v>
      </x:c>
      <x:c r="F211" s="7" t="n">
        <x:v>5</x:v>
      </x:c>
      <x:c r="G211" s="7" t="n">
        <x:v>280</x:v>
      </x:c>
      <x:c r="H211" s="9" t="n">
        <x:v>0.05</x:v>
      </x:c>
      <x:c r="I211" s="7" t="n">
        <x:v>1330</x:v>
      </x:c>
    </x:row>
    <x:row r="212" ht="23" customHeight="1">
      <x:c r="A212" s="7" t="str">
        <x:v>INV00207</x:v>
      </x:c>
      <x:c r="B212" s="15" t="d">
        <x:v>2026-01-19T00:00:00.000Z</x:v>
      </x:c>
      <x:c r="C212" s="14" t="d">
        <x:v>2026-01-01T00:00:00.000Z</x:v>
      </x:c>
      <x:c r="D212" s="34" t="str">
        <x:v>0008</x:v>
      </x:c>
      <x:c r="E212" s="7" t="str">
        <x:v>East</x:v>
      </x:c>
      <x:c r="F212" s="7" t="n">
        <x:v>3</x:v>
      </x:c>
      <x:c r="G212" s="7" t="n">
        <x:v>300</x:v>
      </x:c>
      <x:c r="H212" s="9" t="n">
        <x:v>0</x:v>
      </x:c>
      <x:c r="I212" s="7" t="n">
        <x:v>900</x:v>
      </x:c>
    </x:row>
    <x:row r="213" ht="23" customHeight="1">
      <x:c r="A213" s="7" t="str">
        <x:v>INV00208</x:v>
      </x:c>
      <x:c r="B213" s="15" t="d">
        <x:v>2026-01-20T00:00:00.000Z</x:v>
      </x:c>
      <x:c r="C213" s="14" t="d">
        <x:v>2026-01-01T00:00:00.000Z</x:v>
      </x:c>
      <x:c r="D213" s="34" t="str">
        <x:v>0001</x:v>
      </x:c>
      <x:c r="E213" s="7" t="str">
        <x:v>West</x:v>
      </x:c>
      <x:c r="F213" s="7" t="n">
        <x:v>5</x:v>
      </x:c>
      <x:c r="G213" s="7" t="n">
        <x:v>160</x:v>
      </x:c>
      <x:c r="H213" s="9" t="n">
        <x:v>0.02</x:v>
      </x:c>
      <x:c r="I213" s="7" t="n">
        <x:v>784</x:v>
      </x:c>
    </x:row>
    <x:row r="214" ht="23" customHeight="1">
      <x:c r="A214" s="7" t="str">
        <x:v>INV00209</x:v>
      </x:c>
      <x:c r="B214" s="15" t="d">
        <x:v>2026-01-21T00:00:00.000Z</x:v>
      </x:c>
      <x:c r="C214" s="14" t="d">
        <x:v>2026-01-01T00:00:00.000Z</x:v>
      </x:c>
      <x:c r="D214" s="34" t="str">
        <x:v>0002</x:v>
      </x:c>
      <x:c r="E214" s="7" t="str">
        <x:v>West</x:v>
      </x:c>
      <x:c r="F214" s="7" t="n">
        <x:v>1</x:v>
      </x:c>
      <x:c r="G214" s="7" t="n">
        <x:v>180</x:v>
      </x:c>
      <x:c r="H214" s="9" t="n">
        <x:v>0.05</x:v>
      </x:c>
      <x:c r="I214" s="7" t="n">
        <x:v>171</x:v>
      </x:c>
    </x:row>
    <x:row r="215" ht="23" customHeight="1">
      <x:c r="A215" s="7" t="str">
        <x:v>INV00210</x:v>
      </x:c>
      <x:c r="B215" s="15" t="d">
        <x:v>2026-01-22T00:00:00.000Z</x:v>
      </x:c>
      <x:c r="C215" s="14" t="d">
        <x:v>2026-01-01T00:00:00.000Z</x:v>
      </x:c>
      <x:c r="D215" s="34" t="str">
        <x:v>0003</x:v>
      </x:c>
      <x:c r="E215" s="7" t="str">
        <x:v>West</x:v>
      </x:c>
      <x:c r="F215" s="7" t="n">
        <x:v>6</x:v>
      </x:c>
      <x:c r="G215" s="7" t="n">
        <x:v>200</x:v>
      </x:c>
      <x:c r="H215" s="9" t="n">
        <x:v>0</x:v>
      </x:c>
      <x:c r="I215" s="7" t="n">
        <x:v>1200</x:v>
      </x:c>
    </x:row>
    <x:row r="216" ht="23" customHeight="1">
      <x:c r="A216" s="7" t="str">
        <x:v>INV00211</x:v>
      </x:c>
      <x:c r="B216" s="15" t="d">
        <x:v>2026-01-23T00:00:00.000Z</x:v>
      </x:c>
      <x:c r="C216" s="14" t="d">
        <x:v>2026-01-01T00:00:00.000Z</x:v>
      </x:c>
      <x:c r="D216" s="34" t="str">
        <x:v>0004</x:v>
      </x:c>
      <x:c r="E216" s="7" t="str">
        <x:v>West</x:v>
      </x:c>
      <x:c r="F216" s="7" t="n">
        <x:v>3</x:v>
      </x:c>
      <x:c r="G216" s="7" t="n">
        <x:v>220</x:v>
      </x:c>
      <x:c r="H216" s="9" t="n">
        <x:v>0.02</x:v>
      </x:c>
      <x:c r="I216" s="7" t="n">
        <x:v>646.8</x:v>
      </x:c>
    </x:row>
    <x:row r="217" ht="23" customHeight="1">
      <x:c r="A217" s="7" t="str">
        <x:v>INV00212</x:v>
      </x:c>
      <x:c r="B217" s="15" t="d">
        <x:v>2026-01-24T00:00:00.000Z</x:v>
      </x:c>
      <x:c r="C217" s="14" t="d">
        <x:v>2026-01-01T00:00:00.000Z</x:v>
      </x:c>
      <x:c r="D217" s="34" t="str">
        <x:v>0005</x:v>
      </x:c>
      <x:c r="E217" s="7" t="str">
        <x:v>West</x:v>
      </x:c>
      <x:c r="F217" s="7" t="n">
        <x:v>5</x:v>
      </x:c>
      <x:c r="G217" s="7" t="n">
        <x:v>240</x:v>
      </x:c>
      <x:c r="H217" s="9" t="n">
        <x:v>0.05</x:v>
      </x:c>
      <x:c r="I217" s="7" t="n">
        <x:v>1140</x:v>
      </x:c>
    </x:row>
    <x:row r="218" ht="23" customHeight="1">
      <x:c r="A218" s="7" t="str">
        <x:v>INV00213</x:v>
      </x:c>
      <x:c r="B218" s="15" t="d">
        <x:v>2026-01-25T00:00:00.000Z</x:v>
      </x:c>
      <x:c r="C218" s="14" t="d">
        <x:v>2026-01-01T00:00:00.000Z</x:v>
      </x:c>
      <x:c r="D218" s="34" t="str">
        <x:v>0006</x:v>
      </x:c>
      <x:c r="E218" s="7" t="str">
        <x:v>West</x:v>
      </x:c>
      <x:c r="F218" s="7" t="n">
        <x:v>6</x:v>
      </x:c>
      <x:c r="G218" s="7" t="n">
        <x:v>260</x:v>
      </x:c>
      <x:c r="H218" s="9" t="n">
        <x:v>0</x:v>
      </x:c>
      <x:c r="I218" s="7" t="n">
        <x:v>1560</x:v>
      </x:c>
    </x:row>
    <x:row r="219" ht="23" customHeight="1">
      <x:c r="A219" s="7" t="str">
        <x:v>INV00214</x:v>
      </x:c>
      <x:c r="B219" s="15" t="d">
        <x:v>2026-01-26T00:00:00.000Z</x:v>
      </x:c>
      <x:c r="C219" s="14" t="d">
        <x:v>2026-01-01T00:00:00.000Z</x:v>
      </x:c>
      <x:c r="D219" s="34" t="str">
        <x:v>0007</x:v>
      </x:c>
      <x:c r="E219" s="7" t="str">
        <x:v>West</x:v>
      </x:c>
      <x:c r="F219" s="7" t="n">
        <x:v>6</x:v>
      </x:c>
      <x:c r="G219" s="7" t="n">
        <x:v>280</x:v>
      </x:c>
      <x:c r="H219" s="9" t="n">
        <x:v>0.02</x:v>
      </x:c>
      <x:c r="I219" s="7" t="n">
        <x:v>1646.4</x:v>
      </x:c>
    </x:row>
    <x:row r="220" ht="23" customHeight="1">
      <x:c r="A220" s="7" t="str">
        <x:v>INV00215</x:v>
      </x:c>
      <x:c r="B220" s="15" t="d">
        <x:v>2026-01-27T00:00:00.000Z</x:v>
      </x:c>
      <x:c r="C220" s="14" t="d">
        <x:v>2026-01-01T00:00:00.000Z</x:v>
      </x:c>
      <x:c r="D220" s="34" t="str">
        <x:v>0008</x:v>
      </x:c>
      <x:c r="E220" s="7" t="str">
        <x:v>West</x:v>
      </x:c>
      <x:c r="F220" s="7" t="n">
        <x:v>3</x:v>
      </x:c>
      <x:c r="G220" s="7" t="n">
        <x:v>300</x:v>
      </x:c>
      <x:c r="H220" s="9" t="n">
        <x:v>0.05</x:v>
      </x:c>
      <x:c r="I220" s="7" t="n">
        <x:v>855</x:v>
      </x:c>
    </x:row>
    <x:row r="221" ht="23" customHeight="1">
      <x:c r="A221" s="7" t="str">
        <x:v>INV00216</x:v>
      </x:c>
      <x:c r="B221" s="15" t="d">
        <x:v>2026-01-01T00:00:00.000Z</x:v>
      </x:c>
      <x:c r="C221" s="14" t="d">
        <x:v>2026-01-01T00:00:00.000Z</x:v>
      </x:c>
      <x:c r="D221" s="34" t="str">
        <x:v>0001</x:v>
      </x:c>
      <x:c r="E221" s="7" t="str">
        <x:v>North</x:v>
      </x:c>
      <x:c r="F221" s="7" t="n">
        <x:v>1</x:v>
      </x:c>
      <x:c r="G221" s="7" t="n">
        <x:v>160</x:v>
      </x:c>
      <x:c r="H221" s="9" t="n">
        <x:v>0</x:v>
      </x:c>
      <x:c r="I221" s="7" t="n">
        <x:v>160</x:v>
      </x:c>
    </x:row>
    <x:row r="222" ht="23" customHeight="1">
      <x:c r="A222" s="7" t="str">
        <x:v>INV00217</x:v>
      </x:c>
      <x:c r="B222" s="15" t="d">
        <x:v>2026-01-02T00:00:00.000Z</x:v>
      </x:c>
      <x:c r="C222" s="14" t="d">
        <x:v>2026-01-01T00:00:00.000Z</x:v>
      </x:c>
      <x:c r="D222" s="34" t="str">
        <x:v>0002</x:v>
      </x:c>
      <x:c r="E222" s="7" t="str">
        <x:v>North</x:v>
      </x:c>
      <x:c r="F222" s="7" t="n">
        <x:v>1</x:v>
      </x:c>
      <x:c r="G222" s="7" t="n">
        <x:v>180</x:v>
      </x:c>
      <x:c r="H222" s="9" t="n">
        <x:v>0.02</x:v>
      </x:c>
      <x:c r="I222" s="7" t="n">
        <x:v>176.4</x:v>
      </x:c>
    </x:row>
    <x:row r="223" ht="23" customHeight="1">
      <x:c r="A223" s="7" t="str">
        <x:v>INV00218</x:v>
      </x:c>
      <x:c r="B223" s="15" t="d">
        <x:v>2026-01-03T00:00:00.000Z</x:v>
      </x:c>
      <x:c r="C223" s="14" t="d">
        <x:v>2026-01-01T00:00:00.000Z</x:v>
      </x:c>
      <x:c r="D223" s="34" t="str">
        <x:v>0003</x:v>
      </x:c>
      <x:c r="E223" s="7" t="str">
        <x:v>North</x:v>
      </x:c>
      <x:c r="F223" s="7" t="n">
        <x:v>4</x:v>
      </x:c>
      <x:c r="G223" s="7" t="n">
        <x:v>200</x:v>
      </x:c>
      <x:c r="H223" s="9" t="n">
        <x:v>0.05</x:v>
      </x:c>
      <x:c r="I223" s="7" t="n">
        <x:v>760</x:v>
      </x:c>
    </x:row>
    <x:row r="224" ht="23" customHeight="1">
      <x:c r="A224" s="7" t="str">
        <x:v>INV00219</x:v>
      </x:c>
      <x:c r="B224" s="15" t="d">
        <x:v>2026-01-04T00:00:00.000Z</x:v>
      </x:c>
      <x:c r="C224" s="14" t="d">
        <x:v>2026-01-01T00:00:00.000Z</x:v>
      </x:c>
      <x:c r="D224" s="34" t="str">
        <x:v>0004</x:v>
      </x:c>
      <x:c r="E224" s="7" t="str">
        <x:v>North</x:v>
      </x:c>
      <x:c r="F224" s="7" t="n">
        <x:v>5</x:v>
      </x:c>
      <x:c r="G224" s="7" t="n">
        <x:v>220</x:v>
      </x:c>
      <x:c r="H224" s="9" t="n">
        <x:v>0</x:v>
      </x:c>
      <x:c r="I224" s="7" t="n">
        <x:v>1100</x:v>
      </x:c>
    </x:row>
    <x:row r="225" ht="23" customHeight="1">
      <x:c r="A225" s="7" t="str">
        <x:v>INV00220</x:v>
      </x:c>
      <x:c r="B225" s="15" t="d">
        <x:v>2026-01-05T00:00:00.000Z</x:v>
      </x:c>
      <x:c r="C225" s="14" t="d">
        <x:v>2026-01-01T00:00:00.000Z</x:v>
      </x:c>
      <x:c r="D225" s="34" t="str">
        <x:v>0005</x:v>
      </x:c>
      <x:c r="E225" s="7" t="str">
        <x:v>North</x:v>
      </x:c>
      <x:c r="F225" s="7" t="n">
        <x:v>5</x:v>
      </x:c>
      <x:c r="G225" s="7" t="n">
        <x:v>240</x:v>
      </x:c>
      <x:c r="H225" s="9" t="n">
        <x:v>0.02</x:v>
      </x:c>
      <x:c r="I225" s="7" t="n">
        <x:v>1176</x:v>
      </x:c>
    </x:row>
    <x:row r="226" ht="23" customHeight="1">
      <x:c r="A226" s="7" t="str">
        <x:v>INV00221</x:v>
      </x:c>
      <x:c r="B226" s="15" t="d">
        <x:v>2026-01-06T00:00:00.000Z</x:v>
      </x:c>
      <x:c r="C226" s="14" t="d">
        <x:v>2026-01-01T00:00:00.000Z</x:v>
      </x:c>
      <x:c r="D226" s="34" t="str">
        <x:v>0006</x:v>
      </x:c>
      <x:c r="E226" s="7" t="str">
        <x:v>North</x:v>
      </x:c>
      <x:c r="F226" s="7" t="n">
        <x:v>1</x:v>
      </x:c>
      <x:c r="G226" s="7" t="n">
        <x:v>260</x:v>
      </x:c>
      <x:c r="H226" s="9" t="n">
        <x:v>0.05</x:v>
      </x:c>
      <x:c r="I226" s="7" t="n">
        <x:v>247</x:v>
      </x:c>
    </x:row>
    <x:row r="227" ht="23" customHeight="1">
      <x:c r="A227" s="7" t="str">
        <x:v>INV00222</x:v>
      </x:c>
      <x:c r="B227" s="15" t="d">
        <x:v>2026-01-07T00:00:00.000Z</x:v>
      </x:c>
      <x:c r="C227" s="14" t="d">
        <x:v>2026-01-01T00:00:00.000Z</x:v>
      </x:c>
      <x:c r="D227" s="34" t="str">
        <x:v>0007</x:v>
      </x:c>
      <x:c r="E227" s="7" t="str">
        <x:v>North</x:v>
      </x:c>
      <x:c r="F227" s="7" t="n">
        <x:v>6</x:v>
      </x:c>
      <x:c r="G227" s="7" t="n">
        <x:v>280</x:v>
      </x:c>
      <x:c r="H227" s="9" t="n">
        <x:v>0</x:v>
      </x:c>
      <x:c r="I227" s="7" t="n">
        <x:v>1680</x:v>
      </x:c>
    </x:row>
    <x:row r="228" ht="23" customHeight="1">
      <x:c r="A228" s="7" t="str">
        <x:v>INV00223</x:v>
      </x:c>
      <x:c r="B228" s="15" t="d">
        <x:v>2026-01-08T00:00:00.000Z</x:v>
      </x:c>
      <x:c r="C228" s="14" t="d">
        <x:v>2026-01-01T00:00:00.000Z</x:v>
      </x:c>
      <x:c r="D228" s="34" t="str">
        <x:v>0008</x:v>
      </x:c>
      <x:c r="E228" s="7" t="str">
        <x:v>North</x:v>
      </x:c>
      <x:c r="F228" s="7" t="n">
        <x:v>4</x:v>
      </x:c>
      <x:c r="G228" s="7" t="n">
        <x:v>300</x:v>
      </x:c>
      <x:c r="H228" s="9" t="n">
        <x:v>0.02</x:v>
      </x:c>
      <x:c r="I228" s="7" t="n">
        <x:v>1176</x:v>
      </x:c>
    </x:row>
    <x:row r="229" ht="23" customHeight="1">
      <x:c r="A229" s="7" t="str">
        <x:v>INV00224</x:v>
      </x:c>
      <x:c r="B229" s="15" t="d">
        <x:v>2026-02-09T00:00:00.000Z</x:v>
      </x:c>
      <x:c r="C229" s="14" t="d">
        <x:v>2026-02-01T00:00:00.000Z</x:v>
      </x:c>
      <x:c r="D229" s="34" t="str">
        <x:v>0001</x:v>
      </x:c>
      <x:c r="E229" s="7" t="str">
        <x:v>Central</x:v>
      </x:c>
      <x:c r="F229" s="7" t="n">
        <x:v>7</x:v>
      </x:c>
      <x:c r="G229" s="7" t="n">
        <x:v>160</x:v>
      </x:c>
      <x:c r="H229" s="9" t="n">
        <x:v>0.05</x:v>
      </x:c>
      <x:c r="I229" s="7" t="n">
        <x:v>1064</x:v>
      </x:c>
    </x:row>
    <x:row r="230" ht="23" customHeight="1">
      <x:c r="A230" s="7" t="str">
        <x:v>INV00225</x:v>
      </x:c>
      <x:c r="B230" s="15" t="d">
        <x:v>2026-02-10T00:00:00.000Z</x:v>
      </x:c>
      <x:c r="C230" s="14" t="d">
        <x:v>2026-02-01T00:00:00.000Z</x:v>
      </x:c>
      <x:c r="D230" s="34" t="str">
        <x:v>0002</x:v>
      </x:c>
      <x:c r="E230" s="7" t="str">
        <x:v>Central</x:v>
      </x:c>
      <x:c r="F230" s="7" t="n">
        <x:v>1</x:v>
      </x:c>
      <x:c r="G230" s="7" t="n">
        <x:v>180</x:v>
      </x:c>
      <x:c r="H230" s="9" t="n">
        <x:v>0</x:v>
      </x:c>
      <x:c r="I230" s="7" t="n">
        <x:v>180</x:v>
      </x:c>
    </x:row>
    <x:row r="231" ht="23" customHeight="1">
      <x:c r="A231" s="7" t="str">
        <x:v>INV00226</x:v>
      </x:c>
      <x:c r="B231" s="15" t="d">
        <x:v>2026-02-11T00:00:00.000Z</x:v>
      </x:c>
      <x:c r="C231" s="14" t="d">
        <x:v>2026-02-01T00:00:00.000Z</x:v>
      </x:c>
      <x:c r="D231" s="34" t="str">
        <x:v>0003</x:v>
      </x:c>
      <x:c r="E231" s="7" t="str">
        <x:v>Central</x:v>
      </x:c>
      <x:c r="F231" s="7" t="n">
        <x:v>1</x:v>
      </x:c>
      <x:c r="G231" s="7" t="n">
        <x:v>200</x:v>
      </x:c>
      <x:c r="H231" s="9" t="n">
        <x:v>0.02</x:v>
      </x:c>
      <x:c r="I231" s="7" t="n">
        <x:v>196</x:v>
      </x:c>
    </x:row>
    <x:row r="232" ht="23" customHeight="1">
      <x:c r="A232" s="7" t="str">
        <x:v>INV00227</x:v>
      </x:c>
      <x:c r="B232" s="15" t="d">
        <x:v>2026-02-12T00:00:00.000Z</x:v>
      </x:c>
      <x:c r="C232" s="14" t="d">
        <x:v>2026-02-01T00:00:00.000Z</x:v>
      </x:c>
      <x:c r="D232" s="34" t="str">
        <x:v>0004</x:v>
      </x:c>
      <x:c r="E232" s="7" t="str">
        <x:v>Central</x:v>
      </x:c>
      <x:c r="F232" s="7" t="n">
        <x:v>4</x:v>
      </x:c>
      <x:c r="G232" s="7" t="n">
        <x:v>220</x:v>
      </x:c>
      <x:c r="H232" s="9" t="n">
        <x:v>0.05</x:v>
      </x:c>
      <x:c r="I232" s="7" t="n">
        <x:v>836</x:v>
      </x:c>
    </x:row>
    <x:row r="233" ht="23" customHeight="1">
      <x:c r="A233" s="7" t="str">
        <x:v>INV00228</x:v>
      </x:c>
      <x:c r="B233" s="15" t="d">
        <x:v>2026-02-13T00:00:00.000Z</x:v>
      </x:c>
      <x:c r="C233" s="14" t="d">
        <x:v>2026-02-01T00:00:00.000Z</x:v>
      </x:c>
      <x:c r="D233" s="34" t="str">
        <x:v>0005</x:v>
      </x:c>
      <x:c r="E233" s="7" t="str">
        <x:v>Central</x:v>
      </x:c>
      <x:c r="F233" s="7" t="n">
        <x:v>2</x:v>
      </x:c>
      <x:c r="G233" s="7" t="n">
        <x:v>240</x:v>
      </x:c>
      <x:c r="H233" s="9" t="n">
        <x:v>0</x:v>
      </x:c>
      <x:c r="I233" s="7" t="n">
        <x:v>480</x:v>
      </x:c>
    </x:row>
    <x:row r="234" ht="23" customHeight="1">
      <x:c r="A234" s="7" t="str">
        <x:v>INV00229</x:v>
      </x:c>
      <x:c r="B234" s="15" t="d">
        <x:v>2026-02-14T00:00:00.000Z</x:v>
      </x:c>
      <x:c r="C234" s="14" t="d">
        <x:v>2026-02-01T00:00:00.000Z</x:v>
      </x:c>
      <x:c r="D234" s="34" t="str">
        <x:v>0006</x:v>
      </x:c>
      <x:c r="E234" s="7" t="str">
        <x:v>Central</x:v>
      </x:c>
      <x:c r="F234" s="7" t="n">
        <x:v>3</x:v>
      </x:c>
      <x:c r="G234" s="7" t="n">
        <x:v>260</x:v>
      </x:c>
      <x:c r="H234" s="9" t="n">
        <x:v>0.02</x:v>
      </x:c>
      <x:c r="I234" s="7" t="n">
        <x:v>764.4</x:v>
      </x:c>
    </x:row>
    <x:row r="235" ht="23" customHeight="1">
      <x:c r="A235" s="7" t="str">
        <x:v>INV00230</x:v>
      </x:c>
      <x:c r="B235" s="15" t="d">
        <x:v>2026-02-15T00:00:00.000Z</x:v>
      </x:c>
      <x:c r="C235" s="14" t="d">
        <x:v>2026-02-01T00:00:00.000Z</x:v>
      </x:c>
      <x:c r="D235" s="34" t="str">
        <x:v>0007</x:v>
      </x:c>
      <x:c r="E235" s="7" t="str">
        <x:v>Central</x:v>
      </x:c>
      <x:c r="F235" s="7" t="n">
        <x:v>5</x:v>
      </x:c>
      <x:c r="G235" s="7" t="n">
        <x:v>280</x:v>
      </x:c>
      <x:c r="H235" s="9" t="n">
        <x:v>0.05</x:v>
      </x:c>
      <x:c r="I235" s="7" t="n">
        <x:v>1330</x:v>
      </x:c>
    </x:row>
    <x:row r="236" ht="23" customHeight="1">
      <x:c r="A236" s="7" t="str">
        <x:v>INV00231</x:v>
      </x:c>
      <x:c r="B236" s="15" t="d">
        <x:v>2026-02-16T00:00:00.000Z</x:v>
      </x:c>
      <x:c r="C236" s="14" t="d">
        <x:v>2026-02-01T00:00:00.000Z</x:v>
      </x:c>
      <x:c r="D236" s="34" t="str">
        <x:v>0008</x:v>
      </x:c>
      <x:c r="E236" s="7" t="str">
        <x:v>Central</x:v>
      </x:c>
      <x:c r="F236" s="7" t="n">
        <x:v>4</x:v>
      </x:c>
      <x:c r="G236" s="7" t="n">
        <x:v>300</x:v>
      </x:c>
      <x:c r="H236" s="9" t="n">
        <x:v>0</x:v>
      </x:c>
      <x:c r="I236" s="7" t="n">
        <x:v>1200</x:v>
      </x:c>
    </x:row>
    <x:row r="237" ht="23" customHeight="1">
      <x:c r="A237" s="7" t="str">
        <x:v>INV00232</x:v>
      </x:c>
      <x:c r="B237" s="15" t="d">
        <x:v>2026-02-17T00:00:00.000Z</x:v>
      </x:c>
      <x:c r="C237" s="14" t="d">
        <x:v>2026-02-01T00:00:00.000Z</x:v>
      </x:c>
      <x:c r="D237" s="34" t="str">
        <x:v>0001</x:v>
      </x:c>
      <x:c r="E237" s="7" t="str">
        <x:v>East</x:v>
      </x:c>
      <x:c r="F237" s="7" t="n">
        <x:v>4</x:v>
      </x:c>
      <x:c r="G237" s="7" t="n">
        <x:v>160</x:v>
      </x:c>
      <x:c r="H237" s="9" t="n">
        <x:v>0.02</x:v>
      </x:c>
      <x:c r="I237" s="7" t="n">
        <x:v>627.2</x:v>
      </x:c>
    </x:row>
    <x:row r="238" ht="23" customHeight="1">
      <x:c r="A238" s="7" t="str">
        <x:v>INV00233</x:v>
      </x:c>
      <x:c r="B238" s="15" t="d">
        <x:v>2026-02-18T00:00:00.000Z</x:v>
      </x:c>
      <x:c r="C238" s="14" t="d">
        <x:v>2026-02-01T00:00:00.000Z</x:v>
      </x:c>
      <x:c r="D238" s="34" t="str">
        <x:v>0002</x:v>
      </x:c>
      <x:c r="E238" s="7" t="str">
        <x:v>East</x:v>
      </x:c>
      <x:c r="F238" s="7" t="n">
        <x:v>3</x:v>
      </x:c>
      <x:c r="G238" s="7" t="n">
        <x:v>180</x:v>
      </x:c>
      <x:c r="H238" s="9" t="n">
        <x:v>0.05</x:v>
      </x:c>
      <x:c r="I238" s="7" t="n">
        <x:v>513</x:v>
      </x:c>
    </x:row>
    <x:row r="239" ht="23" customHeight="1">
      <x:c r="A239" s="7" t="str">
        <x:v>INV00234</x:v>
      </x:c>
      <x:c r="B239" s="15" t="d">
        <x:v>2026-02-19T00:00:00.000Z</x:v>
      </x:c>
      <x:c r="C239" s="14" t="d">
        <x:v>2026-02-01T00:00:00.000Z</x:v>
      </x:c>
      <x:c r="D239" s="34" t="str">
        <x:v>0003</x:v>
      </x:c>
      <x:c r="E239" s="7" t="str">
        <x:v>East</x:v>
      </x:c>
      <x:c r="F239" s="7" t="n">
        <x:v>1</x:v>
      </x:c>
      <x:c r="G239" s="7" t="n">
        <x:v>200</x:v>
      </x:c>
      <x:c r="H239" s="9" t="n">
        <x:v>0</x:v>
      </x:c>
      <x:c r="I239" s="7" t="n">
        <x:v>200</x:v>
      </x:c>
    </x:row>
    <x:row r="240" ht="23" customHeight="1">
      <x:c r="A240" s="7" t="str">
        <x:v>INV00235</x:v>
      </x:c>
      <x:c r="B240" s="15" t="d">
        <x:v>2026-02-20T00:00:00.000Z</x:v>
      </x:c>
      <x:c r="C240" s="14" t="d">
        <x:v>2026-02-01T00:00:00.000Z</x:v>
      </x:c>
      <x:c r="D240" s="34" t="str">
        <x:v>0004</x:v>
      </x:c>
      <x:c r="E240" s="7" t="str">
        <x:v>East</x:v>
      </x:c>
      <x:c r="F240" s="7" t="n">
        <x:v>7</x:v>
      </x:c>
      <x:c r="G240" s="7" t="n">
        <x:v>220</x:v>
      </x:c>
      <x:c r="H240" s="9" t="n">
        <x:v>0.02</x:v>
      </x:c>
      <x:c r="I240" s="7" t="n">
        <x:v>1509.2</x:v>
      </x:c>
    </x:row>
    <x:row r="241" ht="23" customHeight="1">
      <x:c r="A241" s="7" t="str">
        <x:v>INV00236</x:v>
      </x:c>
      <x:c r="B241" s="15" t="d">
        <x:v>2026-02-21T00:00:00.000Z</x:v>
      </x:c>
      <x:c r="C241" s="14" t="d">
        <x:v>2026-02-01T00:00:00.000Z</x:v>
      </x:c>
      <x:c r="D241" s="34" t="str">
        <x:v>0005</x:v>
      </x:c>
      <x:c r="E241" s="7" t="str">
        <x:v>East</x:v>
      </x:c>
      <x:c r="F241" s="7" t="n">
        <x:v>3</x:v>
      </x:c>
      <x:c r="G241" s="7" t="n">
        <x:v>240</x:v>
      </x:c>
      <x:c r="H241" s="9" t="n">
        <x:v>0.05</x:v>
      </x:c>
      <x:c r="I241" s="7" t="n">
        <x:v>684</x:v>
      </x:c>
    </x:row>
    <x:row r="242" ht="23" customHeight="1">
      <x:c r="A242" s="7" t="str">
        <x:v>INV00237</x:v>
      </x:c>
      <x:c r="B242" s="15" t="d">
        <x:v>2026-02-22T00:00:00.000Z</x:v>
      </x:c>
      <x:c r="C242" s="14" t="d">
        <x:v>2026-02-01T00:00:00.000Z</x:v>
      </x:c>
      <x:c r="D242" s="34" t="str">
        <x:v>0006</x:v>
      </x:c>
      <x:c r="E242" s="7" t="str">
        <x:v>East</x:v>
      </x:c>
      <x:c r="F242" s="7" t="n">
        <x:v>6</x:v>
      </x:c>
      <x:c r="G242" s="7" t="n">
        <x:v>260</x:v>
      </x:c>
      <x:c r="H242" s="9" t="n">
        <x:v>0</x:v>
      </x:c>
      <x:c r="I242" s="7" t="n">
        <x:v>1560</x:v>
      </x:c>
    </x:row>
    <x:row r="243" ht="23" customHeight="1">
      <x:c r="A243" s="7" t="str">
        <x:v>INV00238</x:v>
      </x:c>
      <x:c r="B243" s="15" t="d">
        <x:v>2026-02-23T00:00:00.000Z</x:v>
      </x:c>
      <x:c r="C243" s="14" t="d">
        <x:v>2026-02-01T00:00:00.000Z</x:v>
      </x:c>
      <x:c r="D243" s="34" t="str">
        <x:v>0007</x:v>
      </x:c>
      <x:c r="E243" s="7" t="str">
        <x:v>East</x:v>
      </x:c>
      <x:c r="F243" s="7" t="n">
        <x:v>2</x:v>
      </x:c>
      <x:c r="G243" s="7" t="n">
        <x:v>280</x:v>
      </x:c>
      <x:c r="H243" s="9" t="n">
        <x:v>0.02</x:v>
      </x:c>
      <x:c r="I243" s="7" t="n">
        <x:v>548.8</x:v>
      </x:c>
    </x:row>
    <x:row r="244" ht="23" customHeight="1">
      <x:c r="A244" s="7" t="str">
        <x:v>INV00239</x:v>
      </x:c>
      <x:c r="B244" s="15" t="d">
        <x:v>2026-02-24T00:00:00.000Z</x:v>
      </x:c>
      <x:c r="C244" s="14" t="d">
        <x:v>2026-02-01T00:00:00.000Z</x:v>
      </x:c>
      <x:c r="D244" s="34" t="str">
        <x:v>0008</x:v>
      </x:c>
      <x:c r="E244" s="7" t="str">
        <x:v>East</x:v>
      </x:c>
      <x:c r="F244" s="7" t="n">
        <x:v>4</x:v>
      </x:c>
      <x:c r="G244" s="7" t="n">
        <x:v>300</x:v>
      </x:c>
      <x:c r="H244" s="9" t="n">
        <x:v>0.05</x:v>
      </x:c>
      <x:c r="I244" s="7" t="n">
        <x:v>1140</x:v>
      </x:c>
    </x:row>
    <x:row r="245" ht="23" customHeight="1">
      <x:c r="A245" s="7" t="str">
        <x:v>INV00240</x:v>
      </x:c>
      <x:c r="B245" s="15" t="d">
        <x:v>2026-02-25T00:00:00.000Z</x:v>
      </x:c>
      <x:c r="C245" s="14" t="d">
        <x:v>2026-02-01T00:00:00.000Z</x:v>
      </x:c>
      <x:c r="D245" s="34" t="str">
        <x:v>0001</x:v>
      </x:c>
      <x:c r="E245" s="7" t="str">
        <x:v>West</x:v>
      </x:c>
      <x:c r="F245" s="7" t="n">
        <x:v>4</x:v>
      </x:c>
      <x:c r="G245" s="7" t="n">
        <x:v>160</x:v>
      </x:c>
      <x:c r="H245" s="9" t="n">
        <x:v>0</x:v>
      </x:c>
      <x:c r="I245" s="7" t="n">
        <x:v>640</x:v>
      </x:c>
    </x:row>
    <x:row r="246" ht="23" customHeight="1">
      <x:c r="A246" s="7" t="str">
        <x:v>INV00241</x:v>
      </x:c>
      <x:c r="B246" s="15" t="d">
        <x:v>2026-02-26T00:00:00.000Z</x:v>
      </x:c>
      <x:c r="C246" s="14" t="d">
        <x:v>2026-02-01T00:00:00.000Z</x:v>
      </x:c>
      <x:c r="D246" s="34" t="str">
        <x:v>0002</x:v>
      </x:c>
      <x:c r="E246" s="7" t="str">
        <x:v>West</x:v>
      </x:c>
      <x:c r="F246" s="7" t="n">
        <x:v>3</x:v>
      </x:c>
      <x:c r="G246" s="7" t="n">
        <x:v>180</x:v>
      </x:c>
      <x:c r="H246" s="9" t="n">
        <x:v>0.02</x:v>
      </x:c>
      <x:c r="I246" s="7" t="n">
        <x:v>529.2</x:v>
      </x:c>
    </x:row>
    <x:row r="247" ht="23" customHeight="1">
      <x:c r="A247" s="7" t="str">
        <x:v>INV00242</x:v>
      </x:c>
      <x:c r="B247" s="15" t="d">
        <x:v>2026-02-27T00:00:00.000Z</x:v>
      </x:c>
      <x:c r="C247" s="14" t="d">
        <x:v>2026-02-01T00:00:00.000Z</x:v>
      </x:c>
      <x:c r="D247" s="34" t="str">
        <x:v>0003</x:v>
      </x:c>
      <x:c r="E247" s="7" t="str">
        <x:v>West</x:v>
      </x:c>
      <x:c r="F247" s="7" t="n">
        <x:v>5</x:v>
      </x:c>
      <x:c r="G247" s="7" t="n">
        <x:v>200</x:v>
      </x:c>
      <x:c r="H247" s="9" t="n">
        <x:v>0.05</x:v>
      </x:c>
      <x:c r="I247" s="7" t="n">
        <x:v>950</x:v>
      </x:c>
    </x:row>
    <x:row r="248" ht="23" customHeight="1">
      <x:c r="A248" s="7" t="str">
        <x:v>INV00243</x:v>
      </x:c>
      <x:c r="B248" s="15" t="d">
        <x:v>2026-02-01T00:00:00.000Z</x:v>
      </x:c>
      <x:c r="C248" s="14" t="d">
        <x:v>2026-02-01T00:00:00.000Z</x:v>
      </x:c>
      <x:c r="D248" s="34" t="str">
        <x:v>0004</x:v>
      </x:c>
      <x:c r="E248" s="7" t="str">
        <x:v>West</x:v>
      </x:c>
      <x:c r="F248" s="7" t="n">
        <x:v>6</x:v>
      </x:c>
      <x:c r="G248" s="7" t="n">
        <x:v>220</x:v>
      </x:c>
      <x:c r="H248" s="9" t="n">
        <x:v>0</x:v>
      </x:c>
      <x:c r="I248" s="7" t="n">
        <x:v>1320</x:v>
      </x:c>
    </x:row>
    <x:row r="249" ht="23" customHeight="1">
      <x:c r="A249" s="7" t="str">
        <x:v>INV00244</x:v>
      </x:c>
      <x:c r="B249" s="15" t="d">
        <x:v>2026-02-02T00:00:00.000Z</x:v>
      </x:c>
      <x:c r="C249" s="14" t="d">
        <x:v>2026-02-01T00:00:00.000Z</x:v>
      </x:c>
      <x:c r="D249" s="34" t="str">
        <x:v>0005</x:v>
      </x:c>
      <x:c r="E249" s="7" t="str">
        <x:v>West</x:v>
      </x:c>
      <x:c r="F249" s="7" t="n">
        <x:v>7</x:v>
      </x:c>
      <x:c r="G249" s="7" t="n">
        <x:v>240</x:v>
      </x:c>
      <x:c r="H249" s="9" t="n">
        <x:v>0.02</x:v>
      </x:c>
      <x:c r="I249" s="7" t="n">
        <x:v>1646.4</x:v>
      </x:c>
    </x:row>
    <x:row r="250" ht="23" customHeight="1">
      <x:c r="A250" s="7" t="str">
        <x:v>INV00245</x:v>
      </x:c>
      <x:c r="B250" s="15" t="d">
        <x:v>2026-02-03T00:00:00.000Z</x:v>
      </x:c>
      <x:c r="C250" s="14" t="d">
        <x:v>2026-02-01T00:00:00.000Z</x:v>
      </x:c>
      <x:c r="D250" s="34" t="str">
        <x:v>0006</x:v>
      </x:c>
      <x:c r="E250" s="7" t="str">
        <x:v>West</x:v>
      </x:c>
      <x:c r="F250" s="7" t="n">
        <x:v>7</x:v>
      </x:c>
      <x:c r="G250" s="7" t="n">
        <x:v>260</x:v>
      </x:c>
      <x:c r="H250" s="9" t="n">
        <x:v>0.05</x:v>
      </x:c>
      <x:c r="I250" s="7" t="n">
        <x:v>1729</x:v>
      </x:c>
    </x:row>
    <x:row r="251" ht="23" customHeight="1">
      <x:c r="A251" s="7" t="str">
        <x:v>INV00246</x:v>
      </x:c>
      <x:c r="B251" s="15" t="d">
        <x:v>2026-02-04T00:00:00.000Z</x:v>
      </x:c>
      <x:c r="C251" s="14" t="d">
        <x:v>2026-02-01T00:00:00.000Z</x:v>
      </x:c>
      <x:c r="D251" s="34" t="str">
        <x:v>0007</x:v>
      </x:c>
      <x:c r="E251" s="7" t="str">
        <x:v>West</x:v>
      </x:c>
      <x:c r="F251" s="7" t="n">
        <x:v>-5</x:v>
      </x:c>
      <x:c r="G251" s="7" t="n">
        <x:v>280</x:v>
      </x:c>
      <x:c r="H251" s="9" t="n">
        <x:v>0</x:v>
      </x:c>
      <x:c r="I251" s="7" t="n">
        <x:v>-1400</x:v>
      </x:c>
    </x:row>
    <x:row r="252" ht="23" customHeight="1">
      <x:c r="A252" s="7" t="str">
        <x:v>INV00247</x:v>
      </x:c>
      <x:c r="B252" s="15" t="d">
        <x:v>2026-02-05T00:00:00.000Z</x:v>
      </x:c>
      <x:c r="C252" s="14" t="d">
        <x:v>2026-02-01T00:00:00.000Z</x:v>
      </x:c>
      <x:c r="D252" s="34" t="str">
        <x:v>0008</x:v>
      </x:c>
      <x:c r="E252" s="7" t="str">
        <x:v>West</x:v>
      </x:c>
      <x:c r="F252" s="7" t="n">
        <x:v>3</x:v>
      </x:c>
      <x:c r="G252" s="7" t="n">
        <x:v>300</x:v>
      </x:c>
      <x:c r="H252" s="9" t="n">
        <x:v>0.02</x:v>
      </x:c>
      <x:c r="I252" s="7" t="n">
        <x:v>882</x:v>
      </x:c>
    </x:row>
    <x:row r="253" ht="23" customHeight="1">
      <x:c r="A253" s="7" t="str">
        <x:v>INV00248</x:v>
      </x:c>
      <x:c r="B253" s="15" t="d">
        <x:v>2026-02-06T00:00:00.000Z</x:v>
      </x:c>
      <x:c r="C253" s="14" t="d">
        <x:v>2026-02-01T00:00:00.000Z</x:v>
      </x:c>
      <x:c r="D253" s="34" t="str">
        <x:v>0001</x:v>
      </x:c>
      <x:c r="E253" s="7" t="str">
        <x:v>North</x:v>
      </x:c>
      <x:c r="F253" s="7" t="n">
        <x:v>7</x:v>
      </x:c>
      <x:c r="G253" s="7" t="n">
        <x:v>160</x:v>
      </x:c>
      <x:c r="H253" s="9" t="n">
        <x:v>0.05</x:v>
      </x:c>
      <x:c r="I253" s="7" t="n">
        <x:v>1064</x:v>
      </x:c>
    </x:row>
    <x:row r="254" ht="23" customHeight="1">
      <x:c r="A254" s="7" t="str">
        <x:v>INV00249</x:v>
      </x:c>
      <x:c r="B254" s="15" t="d">
        <x:v>2026-02-07T00:00:00.000Z</x:v>
      </x:c>
      <x:c r="C254" s="14" t="d">
        <x:v>2026-02-01T00:00:00.000Z</x:v>
      </x:c>
      <x:c r="D254" s="34" t="str">
        <x:v>0002</x:v>
      </x:c>
      <x:c r="E254" s="7" t="str">
        <x:v>North</x:v>
      </x:c>
      <x:c r="F254" s="7" t="n">
        <x:v>4</x:v>
      </x:c>
      <x:c r="G254" s="7" t="n">
        <x:v>180</x:v>
      </x:c>
      <x:c r="H254" s="9" t="n">
        <x:v>0</x:v>
      </x:c>
      <x:c r="I254" s="7" t="n">
        <x:v>720</x:v>
      </x:c>
    </x:row>
    <x:row r="255" ht="23" customHeight="1">
      <x:c r="A255" s="7" t="str">
        <x:v>INV00250</x:v>
      </x:c>
      <x:c r="B255" s="15" t="d">
        <x:v>2026-02-08T00:00:00.000Z</x:v>
      </x:c>
      <x:c r="C255" s="14" t="d">
        <x:v>2026-02-01T00:00:00.000Z</x:v>
      </x:c>
      <x:c r="D255" s="34" t="str">
        <x:v>0003</x:v>
      </x:c>
      <x:c r="E255" s="7" t="str">
        <x:v>North</x:v>
      </x:c>
      <x:c r="F255" s="7" t="n">
        <x:v>4</x:v>
      </x:c>
      <x:c r="G255" s="7" t="n">
        <x:v>200</x:v>
      </x:c>
      <x:c r="H255" s="9" t="n">
        <x:v>0.02</x:v>
      </x:c>
      <x:c r="I255" s="7" t="n">
        <x:v>784</x:v>
      </x:c>
    </x:row>
    <x:row r="256" ht="23" customHeight="1">
      <x:c r="A256" s="7" t="str">
        <x:v>INV00251</x:v>
      </x:c>
      <x:c r="B256" s="15" t="d">
        <x:v>2026-02-09T00:00:00.000Z</x:v>
      </x:c>
      <x:c r="C256" s="14" t="d">
        <x:v>2026-02-01T00:00:00.000Z</x:v>
      </x:c>
      <x:c r="D256" s="34" t="str">
        <x:v>0004</x:v>
      </x:c>
      <x:c r="E256" s="7" t="str">
        <x:v>North</x:v>
      </x:c>
      <x:c r="F256" s="7" t="n">
        <x:v>5</x:v>
      </x:c>
      <x:c r="G256" s="7" t="n">
        <x:v>220</x:v>
      </x:c>
      <x:c r="H256" s="9" t="n">
        <x:v>0.05</x:v>
      </x:c>
      <x:c r="I256" s="7" t="n">
        <x:v>1045</x:v>
      </x:c>
    </x:row>
    <x:row r="257" ht="23" customHeight="1">
      <x:c r="A257" s="7" t="str">
        <x:v>INV00252</x:v>
      </x:c>
      <x:c r="B257" s="15" t="d">
        <x:v>2026-02-10T00:00:00.000Z</x:v>
      </x:c>
      <x:c r="C257" s="14" t="d">
        <x:v>2026-02-01T00:00:00.000Z</x:v>
      </x:c>
      <x:c r="D257" s="34" t="str">
        <x:v>0005</x:v>
      </x:c>
      <x:c r="E257" s="7" t="str">
        <x:v>North</x:v>
      </x:c>
      <x:c r="F257" s="7" t="n">
        <x:v>6</x:v>
      </x:c>
      <x:c r="G257" s="7" t="n">
        <x:v>240</x:v>
      </x:c>
      <x:c r="H257" s="9" t="n">
        <x:v>0</x:v>
      </x:c>
      <x:c r="I257" s="7" t="n">
        <x:v>1440</x:v>
      </x:c>
    </x:row>
    <x:row r="258" ht="23" customHeight="1">
      <x:c r="A258" s="7" t="str">
        <x:v>INV00253</x:v>
      </x:c>
      <x:c r="B258" s="15" t="d">
        <x:v>2026-02-11T00:00:00.000Z</x:v>
      </x:c>
      <x:c r="C258" s="14" t="d">
        <x:v>2026-02-01T00:00:00.000Z</x:v>
      </x:c>
      <x:c r="D258" s="34" t="str">
        <x:v>0006</x:v>
      </x:c>
      <x:c r="E258" s="7" t="str">
        <x:v>North</x:v>
      </x:c>
      <x:c r="F258" s="7" t="n">
        <x:v>6</x:v>
      </x:c>
      <x:c r="G258" s="7" t="n">
        <x:v>260</x:v>
      </x:c>
      <x:c r="H258" s="9" t="n">
        <x:v>0.02</x:v>
      </x:c>
      <x:c r="I258" s="7" t="n">
        <x:v>1528.8</x:v>
      </x:c>
    </x:row>
    <x:row r="259" ht="23" customHeight="1">
      <x:c r="A259" s="7" t="str">
        <x:v>INV00254</x:v>
      </x:c>
      <x:c r="B259" s="15" t="d">
        <x:v>2026-02-12T00:00:00.000Z</x:v>
      </x:c>
      <x:c r="C259" s="14" t="d">
        <x:v>2026-02-01T00:00:00.000Z</x:v>
      </x:c>
      <x:c r="D259" s="34" t="str">
        <x:v>0007</x:v>
      </x:c>
      <x:c r="E259" s="7" t="str">
        <x:v>North</x:v>
      </x:c>
      <x:c r="F259" s="7" t="n">
        <x:v>6</x:v>
      </x:c>
      <x:c r="G259" s="7" t="n">
        <x:v>280</x:v>
      </x:c>
      <x:c r="H259" s="9" t="n">
        <x:v>0.05</x:v>
      </x:c>
      <x:c r="I259" s="7" t="n">
        <x:v>1596</x:v>
      </x:c>
    </x:row>
    <x:row r="260" ht="23" customHeight="1">
      <x:c r="A260" s="7" t="str">
        <x:v>INV00255</x:v>
      </x:c>
      <x:c r="B260" s="15" t="d">
        <x:v>2026-02-13T00:00:00.000Z</x:v>
      </x:c>
      <x:c r="C260" s="14" t="d">
        <x:v>2026-02-01T00:00:00.000Z</x:v>
      </x:c>
      <x:c r="D260" s="34" t="str">
        <x:v>0008</x:v>
      </x:c>
      <x:c r="E260" s="7" t="str">
        <x:v>North</x:v>
      </x:c>
      <x:c r="F260" s="7" t="n">
        <x:v>3</x:v>
      </x:c>
      <x:c r="G260" s="7" t="n">
        <x:v>300</x:v>
      </x:c>
      <x:c r="H260" s="9" t="n">
        <x:v>0</x:v>
      </x:c>
      <x:c r="I260" s="7" t="n">
        <x:v>900</x:v>
      </x:c>
    </x:row>
    <x:row r="261" ht="23" customHeight="1">
      <x:c r="A261" s="7" t="str">
        <x:v>INV00256</x:v>
      </x:c>
      <x:c r="B261" s="15" t="d">
        <x:v>2026-03-14T00:00:00.000Z</x:v>
      </x:c>
      <x:c r="C261" s="14" t="d">
        <x:v>2026-03-01T00:00:00.000Z</x:v>
      </x:c>
      <x:c r="D261" s="34" t="str">
        <x:v>0001</x:v>
      </x:c>
      <x:c r="E261" s="7" t="str">
        <x:v>Central</x:v>
      </x:c>
      <x:c r="F261" s="7" t="n">
        <x:v>2</x:v>
      </x:c>
      <x:c r="G261" s="7" t="n">
        <x:v>160</x:v>
      </x:c>
      <x:c r="H261" s="9" t="n">
        <x:v>0.02</x:v>
      </x:c>
      <x:c r="I261" s="7" t="n">
        <x:v>313.6</x:v>
      </x:c>
    </x:row>
    <x:row r="262" ht="23" customHeight="1">
      <x:c r="A262" s="7" t="str">
        <x:v>INV00257</x:v>
      </x:c>
      <x:c r="B262" s="15" t="d">
        <x:v>2026-03-15T00:00:00.000Z</x:v>
      </x:c>
      <x:c r="C262" s="14" t="d">
        <x:v>2026-03-01T00:00:00.000Z</x:v>
      </x:c>
      <x:c r="D262" s="34" t="str">
        <x:v>0002</x:v>
      </x:c>
      <x:c r="E262" s="7" t="str">
        <x:v>Central</x:v>
      </x:c>
      <x:c r="F262" s="7" t="n">
        <x:v>5</x:v>
      </x:c>
      <x:c r="G262" s="7" t="n">
        <x:v>180</x:v>
      </x:c>
      <x:c r="H262" s="9" t="n">
        <x:v>0.05</x:v>
      </x:c>
      <x:c r="I262" s="7" t="n">
        <x:v>855</x:v>
      </x:c>
    </x:row>
    <x:row r="263" ht="23" customHeight="1">
      <x:c r="A263" s="7" t="str">
        <x:v>INV00258</x:v>
      </x:c>
      <x:c r="B263" s="15" t="d">
        <x:v>2026-03-16T00:00:00.000Z</x:v>
      </x:c>
      <x:c r="C263" s="14" t="d">
        <x:v>2026-03-01T00:00:00.000Z</x:v>
      </x:c>
      <x:c r="D263" s="34" t="str">
        <x:v>0003</x:v>
      </x:c>
      <x:c r="E263" s="7" t="str">
        <x:v>Central</x:v>
      </x:c>
      <x:c r="F263" s="7" t="n">
        <x:v>3</x:v>
      </x:c>
      <x:c r="G263" s="7" t="n">
        <x:v>200</x:v>
      </x:c>
      <x:c r="H263" s="9" t="n">
        <x:v>0</x:v>
      </x:c>
      <x:c r="I263" s="7" t="n">
        <x:v>600</x:v>
      </x:c>
    </x:row>
    <x:row r="264" ht="23" customHeight="1">
      <x:c r="A264" s="7" t="str">
        <x:v>INV00259</x:v>
      </x:c>
      <x:c r="B264" s="15" t="d">
        <x:v>2026-03-17T00:00:00.000Z</x:v>
      </x:c>
      <x:c r="C264" s="14" t="d">
        <x:v>2026-03-01T00:00:00.000Z</x:v>
      </x:c>
      <x:c r="D264" s="34" t="str">
        <x:v>0004</x:v>
      </x:c>
      <x:c r="E264" s="7" t="str">
        <x:v>Central</x:v>
      </x:c>
      <x:c r="F264" s="7" t="n">
        <x:v>4</x:v>
      </x:c>
      <x:c r="G264" s="7" t="n">
        <x:v>220</x:v>
      </x:c>
      <x:c r="H264" s="9" t="n">
        <x:v>0.02</x:v>
      </x:c>
      <x:c r="I264" s="7" t="n">
        <x:v>862.4</x:v>
      </x:c>
    </x:row>
    <x:row r="265" ht="23" customHeight="1">
      <x:c r="A265" s="7" t="str">
        <x:v>INV00260</x:v>
      </x:c>
      <x:c r="B265" s="15" t="d">
        <x:v>2026-03-18T00:00:00.000Z</x:v>
      </x:c>
      <x:c r="C265" s="14" t="d">
        <x:v>2026-03-01T00:00:00.000Z</x:v>
      </x:c>
      <x:c r="D265" s="34" t="str">
        <x:v>0005</x:v>
      </x:c>
      <x:c r="E265" s="7" t="str">
        <x:v>Central</x:v>
      </x:c>
      <x:c r="F265" s="7" t="n">
        <x:v>6</x:v>
      </x:c>
      <x:c r="G265" s="7" t="n">
        <x:v>240</x:v>
      </x:c>
      <x:c r="H265" s="9" t="n">
        <x:v>0.05</x:v>
      </x:c>
      <x:c r="I265" s="7" t="n">
        <x:v>1368</x:v>
      </x:c>
    </x:row>
    <x:row r="266" ht="23" customHeight="1">
      <x:c r="A266" s="7" t="str">
        <x:v>INV00261</x:v>
      </x:c>
      <x:c r="B266" s="15" t="d">
        <x:v>2026-03-19T00:00:00.000Z</x:v>
      </x:c>
      <x:c r="C266" s="14" t="d">
        <x:v>2026-03-01T00:00:00.000Z</x:v>
      </x:c>
      <x:c r="D266" s="34" t="str">
        <x:v>0006</x:v>
      </x:c>
      <x:c r="E266" s="7" t="str">
        <x:v>Central</x:v>
      </x:c>
      <x:c r="F266" s="7" t="n">
        <x:v>2</x:v>
      </x:c>
      <x:c r="G266" s="7" t="n">
        <x:v>260</x:v>
      </x:c>
      <x:c r="H266" s="9" t="n">
        <x:v>0</x:v>
      </x:c>
      <x:c r="I266" s="7" t="n">
        <x:v>520</x:v>
      </x:c>
    </x:row>
    <x:row r="267" ht="23" customHeight="1">
      <x:c r="A267" s="7" t="str">
        <x:v>INV00262</x:v>
      </x:c>
      <x:c r="B267" s="15" t="d">
        <x:v>2026-03-20T00:00:00.000Z</x:v>
      </x:c>
      <x:c r="C267" s="14" t="d">
        <x:v>2026-03-01T00:00:00.000Z</x:v>
      </x:c>
      <x:c r="D267" s="34" t="str">
        <x:v>0007</x:v>
      </x:c>
      <x:c r="E267" s="7" t="str">
        <x:v>Central</x:v>
      </x:c>
      <x:c r="F267" s="7" t="n">
        <x:v>5</x:v>
      </x:c>
      <x:c r="G267" s="7" t="n">
        <x:v>280</x:v>
      </x:c>
      <x:c r="H267" s="9" t="n">
        <x:v>0.02</x:v>
      </x:c>
      <x:c r="I267" s="7" t="n">
        <x:v>1372</x:v>
      </x:c>
    </x:row>
    <x:row r="268" ht="23" customHeight="1">
      <x:c r="A268" s="7" t="str">
        <x:v>INV00263</x:v>
      </x:c>
      <x:c r="B268" s="15" t="d">
        <x:v>2026-03-21T00:00:00.000Z</x:v>
      </x:c>
      <x:c r="C268" s="14" t="d">
        <x:v>2026-03-01T00:00:00.000Z</x:v>
      </x:c>
      <x:c r="D268" s="34" t="str">
        <x:v>0008</x:v>
      </x:c>
      <x:c r="E268" s="7" t="str">
        <x:v>Central</x:v>
      </x:c>
      <x:c r="F268" s="7" t="n">
        <x:v>1</x:v>
      </x:c>
      <x:c r="G268" s="7" t="n">
        <x:v>300</x:v>
      </x:c>
      <x:c r="H268" s="9" t="n">
        <x:v>0.05</x:v>
      </x:c>
      <x:c r="I268" s="7" t="n">
        <x:v>285</x:v>
      </x:c>
    </x:row>
    <x:row r="269" ht="23" customHeight="1">
      <x:c r="A269" s="7" t="str">
        <x:v>INV00264</x:v>
      </x:c>
      <x:c r="B269" s="15" t="d">
        <x:v>2026-03-22T00:00:00.000Z</x:v>
      </x:c>
      <x:c r="C269" s="14" t="d">
        <x:v>2026-03-01T00:00:00.000Z</x:v>
      </x:c>
      <x:c r="D269" s="34" t="str">
        <x:v>0001</x:v>
      </x:c>
      <x:c r="E269" s="7" t="str">
        <x:v>East</x:v>
      </x:c>
      <x:c r="F269" s="7" t="n">
        <x:v>2</x:v>
      </x:c>
      <x:c r="G269" s="7" t="n">
        <x:v>160</x:v>
      </x:c>
      <x:c r="H269" s="9" t="n">
        <x:v>0</x:v>
      </x:c>
      <x:c r="I269" s="7" t="n">
        <x:v>320</x:v>
      </x:c>
    </x:row>
    <x:row r="270" ht="23" customHeight="1">
      <x:c r="A270" s="7" t="str">
        <x:v>INV00265</x:v>
      </x:c>
      <x:c r="B270" s="15" t="d">
        <x:v>2026-03-23T00:00:00.000Z</x:v>
      </x:c>
      <x:c r="C270" s="14" t="d">
        <x:v>2026-03-01T00:00:00.000Z</x:v>
      </x:c>
      <x:c r="D270" s="34" t="str">
        <x:v>0002</x:v>
      </x:c>
      <x:c r="E270" s="7" t="str">
        <x:v>East</x:v>
      </x:c>
      <x:c r="F270" s="7" t="n">
        <x:v>3</x:v>
      </x:c>
      <x:c r="G270" s="7" t="n">
        <x:v>180</x:v>
      </x:c>
      <x:c r="H270" s="9" t="n">
        <x:v>0.02</x:v>
      </x:c>
      <x:c r="I270" s="7" t="n">
        <x:v>529.2</x:v>
      </x:c>
    </x:row>
    <x:row r="271" ht="23" customHeight="1">
      <x:c r="A271" s="7" t="str">
        <x:v>INV00266</x:v>
      </x:c>
      <x:c r="B271" s="15" t="d">
        <x:v>2026-03-24T00:00:00.000Z</x:v>
      </x:c>
      <x:c r="C271" s="14" t="d">
        <x:v>2026-03-01T00:00:00.000Z</x:v>
      </x:c>
      <x:c r="D271" s="34" t="str">
        <x:v>0003</x:v>
      </x:c>
      <x:c r="E271" s="7" t="str">
        <x:v>East</x:v>
      </x:c>
      <x:c r="F271" s="7" t="n">
        <x:v>2</x:v>
      </x:c>
      <x:c r="G271" s="7" t="n">
        <x:v>200</x:v>
      </x:c>
      <x:c r="H271" s="9" t="n">
        <x:v>0.05</x:v>
      </x:c>
      <x:c r="I271" s="7" t="n">
        <x:v>380</x:v>
      </x:c>
    </x:row>
    <x:row r="272" ht="23" customHeight="1">
      <x:c r="A272" s="7" t="str">
        <x:v>INV00267</x:v>
      </x:c>
      <x:c r="B272" s="15" t="d">
        <x:v>2026-03-25T00:00:00.000Z</x:v>
      </x:c>
      <x:c r="C272" s="14" t="d">
        <x:v>2026-03-01T00:00:00.000Z</x:v>
      </x:c>
      <x:c r="D272" s="34" t="str">
        <x:v>0004</x:v>
      </x:c>
      <x:c r="E272" s="7" t="str">
        <x:v>East</x:v>
      </x:c>
      <x:c r="F272" s="7" t="n">
        <x:v>1</x:v>
      </x:c>
      <x:c r="G272" s="7" t="n">
        <x:v>220</x:v>
      </x:c>
      <x:c r="H272" s="9" t="n">
        <x:v>0</x:v>
      </x:c>
      <x:c r="I272" s="7" t="n">
        <x:v>220</x:v>
      </x:c>
    </x:row>
    <x:row r="273" ht="23" customHeight="1">
      <x:c r="A273" s="7" t="str">
        <x:v>INV00268</x:v>
      </x:c>
      <x:c r="B273" s="15" t="d">
        <x:v>2026-03-26T00:00:00.000Z</x:v>
      </x:c>
      <x:c r="C273" s="14" t="d">
        <x:v>2026-03-01T00:00:00.000Z</x:v>
      </x:c>
      <x:c r="D273" s="34" t="str">
        <x:v>0005</x:v>
      </x:c>
      <x:c r="E273" s="7" t="str">
        <x:v>East</x:v>
      </x:c>
      <x:c r="F273" s="7" t="n">
        <x:v>1</x:v>
      </x:c>
      <x:c r="G273" s="7" t="n">
        <x:v>240</x:v>
      </x:c>
      <x:c r="H273" s="9" t="n">
        <x:v>0.02</x:v>
      </x:c>
      <x:c r="I273" s="7" t="n">
        <x:v>235.2</x:v>
      </x:c>
    </x:row>
    <x:row r="274" ht="23" customHeight="1">
      <x:c r="A274" s="7" t="str">
        <x:v>INV00269</x:v>
      </x:c>
      <x:c r="B274" s="15" t="d">
        <x:v>2026-03-27T00:00:00.000Z</x:v>
      </x:c>
      <x:c r="C274" s="14" t="d">
        <x:v>2026-03-01T00:00:00.000Z</x:v>
      </x:c>
      <x:c r="D274" s="34" t="str">
        <x:v>0006</x:v>
      </x:c>
      <x:c r="E274" s="7" t="str">
        <x:v>East</x:v>
      </x:c>
      <x:c r="F274" s="7" t="n">
        <x:v>1</x:v>
      </x:c>
      <x:c r="G274" s="7" t="n">
        <x:v>260</x:v>
      </x:c>
      <x:c r="H274" s="9" t="n">
        <x:v>0.05</x:v>
      </x:c>
      <x:c r="I274" s="7" t="n">
        <x:v>247</x:v>
      </x:c>
    </x:row>
    <x:row r="275" ht="23" customHeight="1">
      <x:c r="A275" s="7" t="str">
        <x:v>INV00270</x:v>
      </x:c>
      <x:c r="B275" s="15" t="d">
        <x:v>2026-03-01T00:00:00.000Z</x:v>
      </x:c>
      <x:c r="C275" s="14" t="d">
        <x:v>2026-03-01T00:00:00.000Z</x:v>
      </x:c>
      <x:c r="D275" s="34" t="str">
        <x:v>0007</x:v>
      </x:c>
      <x:c r="E275" s="7" t="str">
        <x:v>East</x:v>
      </x:c>
      <x:c r="F275" s="7" t="n">
        <x:v>3</x:v>
      </x:c>
      <x:c r="G275" s="7" t="n">
        <x:v>280</x:v>
      </x:c>
      <x:c r="H275" s="9" t="n">
        <x:v>0</x:v>
      </x:c>
      <x:c r="I275" s="7" t="n">
        <x:v>840</x:v>
      </x:c>
    </x:row>
    <x:row r="276" ht="23" customHeight="1">
      <x:c r="A276" s="7" t="str">
        <x:v>INV00271</x:v>
      </x:c>
      <x:c r="B276" s="15" t="d">
        <x:v>2026-03-02T00:00:00.000Z</x:v>
      </x:c>
      <x:c r="C276" s="14" t="d">
        <x:v>2026-03-01T00:00:00.000Z</x:v>
      </x:c>
      <x:c r="D276" s="34" t="str">
        <x:v>0008</x:v>
      </x:c>
      <x:c r="E276" s="7" t="str">
        <x:v>East</x:v>
      </x:c>
      <x:c r="F276" s="7" t="n">
        <x:v>7</x:v>
      </x:c>
      <x:c r="G276" s="7" t="n">
        <x:v>300</x:v>
      </x:c>
      <x:c r="H276" s="9" t="n">
        <x:v>0.02</x:v>
      </x:c>
      <x:c r="I276" s="7" t="n">
        <x:v>2058</x:v>
      </x:c>
    </x:row>
    <x:row r="277" ht="23" customHeight="1">
      <x:c r="A277" s="7" t="str">
        <x:v>INV00272</x:v>
      </x:c>
      <x:c r="B277" s="15" t="d">
        <x:v>2026-03-03T00:00:00.000Z</x:v>
      </x:c>
      <x:c r="C277" s="14" t="d">
        <x:v>2026-03-01T00:00:00.000Z</x:v>
      </x:c>
      <x:c r="D277" s="34" t="str">
        <x:v>0001</x:v>
      </x:c>
      <x:c r="E277" s="7" t="str">
        <x:v>West</x:v>
      </x:c>
      <x:c r="F277" s="7" t="n">
        <x:v>1</x:v>
      </x:c>
      <x:c r="G277" s="7" t="n">
        <x:v>160</x:v>
      </x:c>
      <x:c r="H277" s="9" t="n">
        <x:v>0.05</x:v>
      </x:c>
      <x:c r="I277" s="7" t="n">
        <x:v>152</x:v>
      </x:c>
    </x:row>
    <x:row r="278" ht="23" customHeight="1">
      <x:c r="A278" s="7" t="str">
        <x:v>INV00273</x:v>
      </x:c>
      <x:c r="B278" s="15" t="d">
        <x:v>2026-03-04T00:00:00.000Z</x:v>
      </x:c>
      <x:c r="C278" s="14" t="d">
        <x:v>2026-03-01T00:00:00.000Z</x:v>
      </x:c>
      <x:c r="D278" s="34" t="str">
        <x:v>0002</x:v>
      </x:c>
      <x:c r="E278" s="7" t="str">
        <x:v>West</x:v>
      </x:c>
      <x:c r="F278" s="7" t="n">
        <x:v>6</x:v>
      </x:c>
      <x:c r="G278" s="7" t="n">
        <x:v>180</x:v>
      </x:c>
      <x:c r="H278" s="9" t="n">
        <x:v>0</x:v>
      </x:c>
      <x:c r="I278" s="7" t="n">
        <x:v>1080</x:v>
      </x:c>
    </x:row>
    <x:row r="279" ht="23" customHeight="1">
      <x:c r="A279" s="7" t="str">
        <x:v>INV00274</x:v>
      </x:c>
      <x:c r="B279" s="15" t="d">
        <x:v>2026-03-05T00:00:00.000Z</x:v>
      </x:c>
      <x:c r="C279" s="14" t="d">
        <x:v>2026-03-01T00:00:00.000Z</x:v>
      </x:c>
      <x:c r="D279" s="34" t="str">
        <x:v>0003</x:v>
      </x:c>
      <x:c r="E279" s="7" t="str">
        <x:v>West</x:v>
      </x:c>
      <x:c r="F279" s="7" t="n">
        <x:v>7</x:v>
      </x:c>
      <x:c r="G279" s="7" t="n">
        <x:v>200</x:v>
      </x:c>
      <x:c r="H279" s="9" t="n">
        <x:v>0.02</x:v>
      </x:c>
      <x:c r="I279" s="7" t="n">
        <x:v>1372</x:v>
      </x:c>
    </x:row>
    <x:row r="280" ht="23" customHeight="1">
      <x:c r="A280" s="7" t="str">
        <x:v>INV00275</x:v>
      </x:c>
      <x:c r="B280" s="15" t="d">
        <x:v>2026-03-06T00:00:00.000Z</x:v>
      </x:c>
      <x:c r="C280" s="14" t="d">
        <x:v>2026-03-01T00:00:00.000Z</x:v>
      </x:c>
      <x:c r="D280" s="34" t="str">
        <x:v>0004</x:v>
      </x:c>
      <x:c r="E280" s="7" t="str">
        <x:v>West</x:v>
      </x:c>
      <x:c r="F280" s="7" t="n">
        <x:v>7</x:v>
      </x:c>
      <x:c r="G280" s="7" t="n">
        <x:v>220</x:v>
      </x:c>
      <x:c r="H280" s="9" t="n">
        <x:v>0.05</x:v>
      </x:c>
      <x:c r="I280" s="7" t="n">
        <x:v>1463</x:v>
      </x:c>
    </x:row>
    <x:row r="281" ht="23" customHeight="1">
      <x:c r="A281" s="7" t="str">
        <x:v>INV00276</x:v>
      </x:c>
      <x:c r="B281" s="15" t="d">
        <x:v>2026-03-07T00:00:00.000Z</x:v>
      </x:c>
      <x:c r="C281" s="14" t="d">
        <x:v>2026-03-01T00:00:00.000Z</x:v>
      </x:c>
      <x:c r="D281" s="34" t="str">
        <x:v>0005</x:v>
      </x:c>
      <x:c r="E281" s="7" t="str">
        <x:v>West</x:v>
      </x:c>
      <x:c r="F281" s="7" t="n">
        <x:v>6</x:v>
      </x:c>
      <x:c r="G281" s="7" t="n">
        <x:v>240</x:v>
      </x:c>
      <x:c r="H281" s="9" t="n">
        <x:v>0</x:v>
      </x:c>
      <x:c r="I281" s="7" t="n">
        <x:v>1440</x:v>
      </x:c>
    </x:row>
    <x:row r="282" ht="23" customHeight="1">
      <x:c r="A282" s="7" t="str">
        <x:v>INV00277</x:v>
      </x:c>
      <x:c r="B282" s="15" t="d">
        <x:v>2026-03-08T00:00:00.000Z</x:v>
      </x:c>
      <x:c r="C282" s="14" t="d">
        <x:v>2026-03-01T00:00:00.000Z</x:v>
      </x:c>
      <x:c r="D282" s="34" t="str">
        <x:v>0006</x:v>
      </x:c>
      <x:c r="E282" s="7" t="str">
        <x:v>West</x:v>
      </x:c>
      <x:c r="F282" s="7" t="n">
        <x:v>5</x:v>
      </x:c>
      <x:c r="G282" s="7" t="n">
        <x:v>260</x:v>
      </x:c>
      <x:c r="H282" s="9" t="n">
        <x:v>0.02</x:v>
      </x:c>
      <x:c r="I282" s="7" t="n">
        <x:v>1274</x:v>
      </x:c>
    </x:row>
    <x:row r="283" ht="23" customHeight="1">
      <x:c r="A283" s="7" t="str">
        <x:v>INV00278</x:v>
      </x:c>
      <x:c r="B283" s="15" t="d">
        <x:v>2026-03-09T00:00:00.000Z</x:v>
      </x:c>
      <x:c r="C283" s="14" t="d">
        <x:v>2026-03-01T00:00:00.000Z</x:v>
      </x:c>
      <x:c r="D283" s="34" t="str">
        <x:v>0007</x:v>
      </x:c>
      <x:c r="E283" s="7" t="str">
        <x:v>West</x:v>
      </x:c>
      <x:c r="F283" s="7" t="n">
        <x:v>5</x:v>
      </x:c>
      <x:c r="G283" s="7" t="n">
        <x:v>280</x:v>
      </x:c>
      <x:c r="H283" s="9" t="n">
        <x:v>0.05</x:v>
      </x:c>
      <x:c r="I283" s="7" t="n">
        <x:v>1330</x:v>
      </x:c>
    </x:row>
    <x:row r="284" ht="23" customHeight="1">
      <x:c r="A284" s="7" t="str">
        <x:v>INV00279</x:v>
      </x:c>
      <x:c r="B284" s="15" t="d">
        <x:v>2026-03-10T00:00:00.000Z</x:v>
      </x:c>
      <x:c r="C284" s="14" t="d">
        <x:v>2026-03-01T00:00:00.000Z</x:v>
      </x:c>
      <x:c r="D284" s="34" t="str">
        <x:v>0008</x:v>
      </x:c>
      <x:c r="E284" s="7" t="str">
        <x:v>West</x:v>
      </x:c>
      <x:c r="F284" s="7" t="n">
        <x:v>3</x:v>
      </x:c>
      <x:c r="G284" s="7" t="n">
        <x:v>300</x:v>
      </x:c>
      <x:c r="H284" s="9" t="n">
        <x:v>0</x:v>
      </x:c>
      <x:c r="I284" s="7" t="n">
        <x:v>900</x:v>
      </x:c>
    </x:row>
    <x:row r="285" ht="23" customHeight="1">
      <x:c r="A285" s="7" t="str">
        <x:v>INV00280</x:v>
      </x:c>
      <x:c r="B285" s="15" t="d">
        <x:v>2026-03-11T00:00:00.000Z</x:v>
      </x:c>
      <x:c r="C285" s="14" t="d">
        <x:v>2026-03-01T00:00:00.000Z</x:v>
      </x:c>
      <x:c r="D285" s="34" t="str">
        <x:v>0001</x:v>
      </x:c>
      <x:c r="E285" s="7" t="str">
        <x:v>North</x:v>
      </x:c>
      <x:c r="F285" s="7" t="n">
        <x:v>5</x:v>
      </x:c>
      <x:c r="G285" s="7" t="n">
        <x:v>160</x:v>
      </x:c>
      <x:c r="H285" s="9" t="n">
        <x:v>0.02</x:v>
      </x:c>
      <x:c r="I285" s="7" t="n">
        <x:v>784</x:v>
      </x:c>
    </x:row>
    <x:row r="286" ht="23" customHeight="1">
      <x:c r="A286" s="7" t="str">
        <x:v>INV00281</x:v>
      </x:c>
      <x:c r="B286" s="15" t="d">
        <x:v>2026-03-12T00:00:00.000Z</x:v>
      </x:c>
      <x:c r="C286" s="14" t="d">
        <x:v>2026-03-01T00:00:00.000Z</x:v>
      </x:c>
      <x:c r="D286" s="34" t="str">
        <x:v>0002</x:v>
      </x:c>
      <x:c r="E286" s="7" t="str">
        <x:v>North</x:v>
      </x:c>
      <x:c r="F286" s="7" t="n">
        <x:v>6</x:v>
      </x:c>
      <x:c r="G286" s="7" t="n">
        <x:v>180</x:v>
      </x:c>
      <x:c r="H286" s="9" t="n">
        <x:v>0.05</x:v>
      </x:c>
      <x:c r="I286" s="7" t="n">
        <x:v>1026</x:v>
      </x:c>
    </x:row>
    <x:row r="287" ht="23" customHeight="1">
      <x:c r="A287" s="7" t="str">
        <x:v>INV00282</x:v>
      </x:c>
      <x:c r="B287" s="15" t="d">
        <x:v>2026-03-13T00:00:00.000Z</x:v>
      </x:c>
      <x:c r="C287" s="14" t="d">
        <x:v>2026-03-01T00:00:00.000Z</x:v>
      </x:c>
      <x:c r="D287" s="34" t="str">
        <x:v>0003</x:v>
      </x:c>
      <x:c r="E287" s="7" t="str">
        <x:v>North</x:v>
      </x:c>
      <x:c r="F287" s="7" t="n">
        <x:v>2</x:v>
      </x:c>
      <x:c r="G287" s="7" t="n">
        <x:v>200</x:v>
      </x:c>
      <x:c r="H287" s="9" t="n">
        <x:v>0</x:v>
      </x:c>
      <x:c r="I287" s="7" t="n">
        <x:v>400</x:v>
      </x:c>
    </x:row>
    <x:row r="288" ht="23" customHeight="1">
      <x:c r="A288" s="7" t="str">
        <x:v>INV00283</x:v>
      </x:c>
      <x:c r="B288" s="15" t="d">
        <x:v>2026-03-14T00:00:00.000Z</x:v>
      </x:c>
      <x:c r="C288" s="14" t="d">
        <x:v>2026-03-01T00:00:00.000Z</x:v>
      </x:c>
      <x:c r="D288" s="34" t="str">
        <x:v>0004</x:v>
      </x:c>
      <x:c r="E288" s="7" t="str">
        <x:v>North</x:v>
      </x:c>
      <x:c r="F288" s="7" t="n">
        <x:v>4</x:v>
      </x:c>
      <x:c r="G288" s="7" t="n">
        <x:v>220</x:v>
      </x:c>
      <x:c r="H288" s="9" t="n">
        <x:v>0.02</x:v>
      </x:c>
      <x:c r="I288" s="7" t="n">
        <x:v>862.4</x:v>
      </x:c>
    </x:row>
    <x:row r="289" ht="23" customHeight="1">
      <x:c r="A289" s="7" t="str">
        <x:v>INV00284</x:v>
      </x:c>
      <x:c r="B289" s="15" t="d">
        <x:v>2026-03-15T00:00:00.000Z</x:v>
      </x:c>
      <x:c r="C289" s="14" t="d">
        <x:v>2026-03-01T00:00:00.000Z</x:v>
      </x:c>
      <x:c r="D289" s="34" t="str">
        <x:v>0005</x:v>
      </x:c>
      <x:c r="E289" s="7" t="str">
        <x:v>North</x:v>
      </x:c>
      <x:c r="F289" s="7" t="n">
        <x:v>4</x:v>
      </x:c>
      <x:c r="G289" s="7" t="n">
        <x:v>240</x:v>
      </x:c>
      <x:c r="H289" s="9" t="n">
        <x:v>0.05</x:v>
      </x:c>
      <x:c r="I289" s="7" t="n">
        <x:v>912</x:v>
      </x:c>
    </x:row>
    <x:row r="290" ht="23" customHeight="1">
      <x:c r="A290" s="7" t="str">
        <x:v>INV00285</x:v>
      </x:c>
      <x:c r="B290" s="15" t="d">
        <x:v>2026-03-16T00:00:00.000Z</x:v>
      </x:c>
      <x:c r="C290" s="14" t="d">
        <x:v>2026-03-01T00:00:00.000Z</x:v>
      </x:c>
      <x:c r="D290" s="34" t="str">
        <x:v>0006</x:v>
      </x:c>
      <x:c r="E290" s="7" t="str">
        <x:v>North</x:v>
      </x:c>
      <x:c r="F290" s="7" t="n">
        <x:v>2</x:v>
      </x:c>
      <x:c r="G290" s="7" t="n">
        <x:v>260</x:v>
      </x:c>
      <x:c r="H290" s="9" t="n">
        <x:v>0</x:v>
      </x:c>
      <x:c r="I290" s="7" t="n">
        <x:v>520</x:v>
      </x:c>
    </x:row>
    <x:row r="291" ht="23" customHeight="1">
      <x:c r="A291" s="7" t="str">
        <x:v>INV00286</x:v>
      </x:c>
      <x:c r="B291" s="15" t="d">
        <x:v>2026-03-17T00:00:00.000Z</x:v>
      </x:c>
      <x:c r="C291" s="14" t="d">
        <x:v>2026-03-01T00:00:00.000Z</x:v>
      </x:c>
      <x:c r="D291" s="34" t="str">
        <x:v>0007</x:v>
      </x:c>
      <x:c r="E291" s="7" t="str">
        <x:v>North</x:v>
      </x:c>
      <x:c r="F291" s="7" t="n">
        <x:v>2</x:v>
      </x:c>
      <x:c r="G291" s="7" t="n">
        <x:v>280</x:v>
      </x:c>
      <x:c r="H291" s="9" t="n">
        <x:v>0.02</x:v>
      </x:c>
      <x:c r="I291" s="7" t="n">
        <x:v>548.8</x:v>
      </x:c>
    </x:row>
    <x:row r="292" ht="23" customHeight="1">
      <x:c r="A292" s="7" t="str">
        <x:v>INV00287</x:v>
      </x:c>
      <x:c r="B292" s="15" t="d">
        <x:v>2026-03-18T00:00:00.000Z</x:v>
      </x:c>
      <x:c r="C292" s="14" t="d">
        <x:v>2026-03-01T00:00:00.000Z</x:v>
      </x:c>
      <x:c r="D292" s="34" t="str">
        <x:v>0008</x:v>
      </x:c>
      <x:c r="E292" s="7" t="str">
        <x:v>North</x:v>
      </x:c>
      <x:c r="F292" s="7" t="n">
        <x:v>-6</x:v>
      </x:c>
      <x:c r="G292" s="7" t="n">
        <x:v>300</x:v>
      </x:c>
      <x:c r="H292" s="9" t="n">
        <x:v>0.05</x:v>
      </x:c>
      <x:c r="I292" s="7" t="n">
        <x:v>-1710</x:v>
      </x:c>
    </x:row>
    <x:row r="293" ht="23" customHeight="1">
      <x:c r="A293" s="7" t="str">
        <x:v>INV00288</x:v>
      </x:c>
      <x:c r="B293" s="15" t="d">
        <x:v>2026-04-19T00:00:00.000Z</x:v>
      </x:c>
      <x:c r="C293" s="14" t="d">
        <x:v>2026-04-01T00:00:00.000Z</x:v>
      </x:c>
      <x:c r="D293" s="34" t="str">
        <x:v>0001</x:v>
      </x:c>
      <x:c r="E293" s="7" t="str">
        <x:v>Central</x:v>
      </x:c>
      <x:c r="F293" s="7" t="n">
        <x:v>7</x:v>
      </x:c>
      <x:c r="G293" s="7" t="n">
        <x:v>160</x:v>
      </x:c>
      <x:c r="H293" s="9" t="n">
        <x:v>0</x:v>
      </x:c>
      <x:c r="I293" s="7" t="n">
        <x:v>1120</x:v>
      </x:c>
    </x:row>
    <x:row r="294" ht="23" customHeight="1">
      <x:c r="A294" s="7" t="str">
        <x:v>INV00289</x:v>
      </x:c>
      <x:c r="B294" s="15" t="d">
        <x:v>2026-04-20T00:00:00.000Z</x:v>
      </x:c>
      <x:c r="C294" s="14" t="d">
        <x:v>2026-04-01T00:00:00.000Z</x:v>
      </x:c>
      <x:c r="D294" s="34" t="str">
        <x:v>0002</x:v>
      </x:c>
      <x:c r="E294" s="7" t="str">
        <x:v>Central</x:v>
      </x:c>
      <x:c r="F294" s="7" t="n">
        <x:v>4</x:v>
      </x:c>
      <x:c r="G294" s="7" t="n">
        <x:v>180</x:v>
      </x:c>
      <x:c r="H294" s="9" t="n">
        <x:v>0.02</x:v>
      </x:c>
      <x:c r="I294" s="7" t="n">
        <x:v>705.6</x:v>
      </x:c>
    </x:row>
    <x:row r="295" ht="23" customHeight="1">
      <x:c r="A295" s="7" t="str">
        <x:v>INV00290</x:v>
      </x:c>
      <x:c r="B295" s="15" t="d">
        <x:v>2026-04-21T00:00:00.000Z</x:v>
      </x:c>
      <x:c r="C295" s="14" t="d">
        <x:v>2026-04-01T00:00:00.000Z</x:v>
      </x:c>
      <x:c r="D295" s="34" t="str">
        <x:v>0003</x:v>
      </x:c>
      <x:c r="E295" s="7" t="str">
        <x:v>Central</x:v>
      </x:c>
      <x:c r="F295" s="7" t="n">
        <x:v>4</x:v>
      </x:c>
      <x:c r="G295" s="7" t="n">
        <x:v>200</x:v>
      </x:c>
      <x:c r="H295" s="9" t="n">
        <x:v>0.05</x:v>
      </x:c>
      <x:c r="I295" s="7" t="n">
        <x:v>760</x:v>
      </x:c>
    </x:row>
    <x:row r="296" ht="23" customHeight="1">
      <x:c r="A296" s="7" t="str">
        <x:v>INV00291</x:v>
      </x:c>
      <x:c r="B296" s="15" t="d">
        <x:v>2026-04-22T00:00:00.000Z</x:v>
      </x:c>
      <x:c r="C296" s="14" t="d">
        <x:v>2026-04-01T00:00:00.000Z</x:v>
      </x:c>
      <x:c r="D296" s="34" t="str">
        <x:v>0004</x:v>
      </x:c>
      <x:c r="E296" s="7" t="str">
        <x:v>Central</x:v>
      </x:c>
      <x:c r="F296" s="7" t="n">
        <x:v>4</x:v>
      </x:c>
      <x:c r="G296" s="7" t="n">
        <x:v>220</x:v>
      </x:c>
      <x:c r="H296" s="9" t="n">
        <x:v>0</x:v>
      </x:c>
      <x:c r="I296" s="7" t="n">
        <x:v>880</x:v>
      </x:c>
    </x:row>
    <x:row r="297" ht="23" customHeight="1">
      <x:c r="A297" s="7" t="str">
        <x:v>INV00292</x:v>
      </x:c>
      <x:c r="B297" s="15" t="d">
        <x:v>2026-04-23T00:00:00.000Z</x:v>
      </x:c>
      <x:c r="C297" s="14" t="d">
        <x:v>2026-04-01T00:00:00.000Z</x:v>
      </x:c>
      <x:c r="D297" s="34" t="str">
        <x:v>0005</x:v>
      </x:c>
      <x:c r="E297" s="7" t="str">
        <x:v>Central</x:v>
      </x:c>
      <x:c r="F297" s="7" t="n">
        <x:v>3</x:v>
      </x:c>
      <x:c r="G297" s="7" t="n">
        <x:v>240</x:v>
      </x:c>
      <x:c r="H297" s="9" t="n">
        <x:v>0.02</x:v>
      </x:c>
      <x:c r="I297" s="7" t="n">
        <x:v>705.6</x:v>
      </x:c>
    </x:row>
    <x:row r="298" ht="23" customHeight="1">
      <x:c r="A298" s="7" t="str">
        <x:v>INV00293</x:v>
      </x:c>
      <x:c r="B298" s="15" t="d">
        <x:v>2026-04-24T00:00:00.000Z</x:v>
      </x:c>
      <x:c r="C298" s="14" t="d">
        <x:v>2026-04-01T00:00:00.000Z</x:v>
      </x:c>
      <x:c r="D298" s="34" t="str">
        <x:v>0006</x:v>
      </x:c>
      <x:c r="E298" s="7" t="str">
        <x:v>Central</x:v>
      </x:c>
      <x:c r="F298" s="7" t="n">
        <x:v>3</x:v>
      </x:c>
      <x:c r="G298" s="7" t="n">
        <x:v>260</x:v>
      </x:c>
      <x:c r="H298" s="9" t="n">
        <x:v>0.05</x:v>
      </x:c>
      <x:c r="I298" s="7" t="n">
        <x:v>741</x:v>
      </x:c>
    </x:row>
    <x:row r="299" ht="23" customHeight="1">
      <x:c r="A299" s="7" t="str">
        <x:v>INV00294</x:v>
      </x:c>
      <x:c r="B299" s="15" t="d">
        <x:v>2026-04-25T00:00:00.000Z</x:v>
      </x:c>
      <x:c r="C299" s="14" t="d">
        <x:v>2026-04-01T00:00:00.000Z</x:v>
      </x:c>
      <x:c r="D299" s="34" t="str">
        <x:v>0007</x:v>
      </x:c>
      <x:c r="E299" s="7" t="str">
        <x:v>Central</x:v>
      </x:c>
      <x:c r="F299" s="7" t="n">
        <x:v>3</x:v>
      </x:c>
      <x:c r="G299" s="7" t="n">
        <x:v>280</x:v>
      </x:c>
      <x:c r="H299" s="9" t="n">
        <x:v>0</x:v>
      </x:c>
      <x:c r="I299" s="7" t="n">
        <x:v>840</x:v>
      </x:c>
    </x:row>
    <x:row r="300" ht="23" customHeight="1">
      <x:c r="A300" s="7" t="str">
        <x:v>INV00295</x:v>
      </x:c>
      <x:c r="B300" s="15" t="d">
        <x:v>2026-04-26T00:00:00.000Z</x:v>
      </x:c>
      <x:c r="C300" s="14" t="d">
        <x:v>2026-04-01T00:00:00.000Z</x:v>
      </x:c>
      <x:c r="D300" s="34" t="str">
        <x:v>0008</x:v>
      </x:c>
      <x:c r="E300" s="7" t="str">
        <x:v>Central</x:v>
      </x:c>
      <x:c r="F300" s="7" t="n">
        <x:v>5</x:v>
      </x:c>
      <x:c r="G300" s="7" t="n">
        <x:v>300</x:v>
      </x:c>
      <x:c r="H300" s="9" t="n">
        <x:v>0.02</x:v>
      </x:c>
      <x:c r="I300" s="7" t="n">
        <x:v>1470</x:v>
      </x:c>
    </x:row>
    <x:row r="301" ht="23" customHeight="1">
      <x:c r="A301" s="7" t="str">
        <x:v>INV00296</x:v>
      </x:c>
      <x:c r="B301" s="15" t="d">
        <x:v>2026-04-27T00:00:00.000Z</x:v>
      </x:c>
      <x:c r="C301" s="14" t="d">
        <x:v>2026-04-01T00:00:00.000Z</x:v>
      </x:c>
      <x:c r="D301" s="34" t="str">
        <x:v>0001</x:v>
      </x:c>
      <x:c r="E301" s="7" t="str">
        <x:v>East</x:v>
      </x:c>
      <x:c r="F301" s="7" t="n">
        <x:v>1</x:v>
      </x:c>
      <x:c r="G301" s="7" t="n">
        <x:v>160</x:v>
      </x:c>
      <x:c r="H301" s="9" t="n">
        <x:v>0.05</x:v>
      </x:c>
      <x:c r="I301" s="7" t="n">
        <x:v>152</x:v>
      </x:c>
    </x:row>
    <x:row r="302" ht="23" customHeight="1">
      <x:c r="A302" s="7" t="str">
        <x:v>INV00297</x:v>
      </x:c>
      <x:c r="B302" s="15" t="d">
        <x:v>2026-04-01T00:00:00.000Z</x:v>
      </x:c>
      <x:c r="C302" s="14" t="d">
        <x:v>2026-04-01T00:00:00.000Z</x:v>
      </x:c>
      <x:c r="D302" s="34" t="str">
        <x:v>0002</x:v>
      </x:c>
      <x:c r="E302" s="7" t="str">
        <x:v>East</x:v>
      </x:c>
      <x:c r="F302" s="7" t="n">
        <x:v>1</x:v>
      </x:c>
      <x:c r="G302" s="7" t="n">
        <x:v>180</x:v>
      </x:c>
      <x:c r="H302" s="9" t="n">
        <x:v>0</x:v>
      </x:c>
      <x:c r="I302" s="7" t="n">
        <x:v>180</x:v>
      </x:c>
    </x:row>
    <x:row r="303" ht="23" customHeight="1">
      <x:c r="A303" s="7" t="str">
        <x:v>INV00298</x:v>
      </x:c>
      <x:c r="B303" s="15" t="d">
        <x:v>2026-04-02T00:00:00.000Z</x:v>
      </x:c>
      <x:c r="C303" s="14" t="d">
        <x:v>2026-04-01T00:00:00.000Z</x:v>
      </x:c>
      <x:c r="D303" s="34" t="str">
        <x:v>0003</x:v>
      </x:c>
      <x:c r="E303" s="7" t="str">
        <x:v>East</x:v>
      </x:c>
      <x:c r="F303" s="7" t="n">
        <x:v>5</x:v>
      </x:c>
      <x:c r="G303" s="7" t="n">
        <x:v>200</x:v>
      </x:c>
      <x:c r="H303" s="9" t="n">
        <x:v>0.02</x:v>
      </x:c>
      <x:c r="I303" s="7" t="n">
        <x:v>980</x:v>
      </x:c>
    </x:row>
    <x:row r="304" ht="23" customHeight="1">
      <x:c r="A304" s="7" t="str">
        <x:v>INV00299</x:v>
      </x:c>
      <x:c r="B304" s="15" t="d">
        <x:v>2026-04-03T00:00:00.000Z</x:v>
      </x:c>
      <x:c r="C304" s="14" t="d">
        <x:v>2026-04-01T00:00:00.000Z</x:v>
      </x:c>
      <x:c r="D304" s="34" t="str">
        <x:v>0004</x:v>
      </x:c>
      <x:c r="E304" s="7" t="str">
        <x:v>East</x:v>
      </x:c>
      <x:c r="F304" s="7" t="n">
        <x:v>3</x:v>
      </x:c>
      <x:c r="G304" s="7" t="n">
        <x:v>220</x:v>
      </x:c>
      <x:c r="H304" s="9" t="n">
        <x:v>0.05</x:v>
      </x:c>
      <x:c r="I304" s="7" t="n">
        <x:v>627</x:v>
      </x:c>
    </x:row>
    <x:row r="305" ht="23" customHeight="1">
      <x:c r="A305" s="7" t="str">
        <x:v>INV00300</x:v>
      </x:c>
      <x:c r="B305" s="15" t="d">
        <x:v>2026-04-04T00:00:00.000Z</x:v>
      </x:c>
      <x:c r="C305" s="14" t="d">
        <x:v>2026-04-01T00:00:00.000Z</x:v>
      </x:c>
      <x:c r="D305" s="34" t="str">
        <x:v>0005</x:v>
      </x:c>
      <x:c r="E305" s="7" t="str">
        <x:v>East</x:v>
      </x:c>
      <x:c r="F305" s="7" t="n">
        <x:v>5</x:v>
      </x:c>
      <x:c r="G305" s="7" t="n">
        <x:v>240</x:v>
      </x:c>
      <x:c r="H305" s="9" t="n">
        <x:v>0</x:v>
      </x:c>
      <x:c r="I305" s="7" t="n">
        <x:v>1200</x:v>
      </x:c>
    </x:row>
    <x:row r="306" ht="23" customHeight="1">
      <x:c r="A306" s="7" t="str">
        <x:v>INV00301</x:v>
      </x:c>
      <x:c r="B306" s="15" t="d">
        <x:v>2026-04-05T00:00:00.000Z</x:v>
      </x:c>
      <x:c r="C306" s="14" t="d">
        <x:v>2026-04-01T00:00:00.000Z</x:v>
      </x:c>
      <x:c r="D306" s="34" t="str">
        <x:v>0006</x:v>
      </x:c>
      <x:c r="E306" s="7" t="str">
        <x:v>East</x:v>
      </x:c>
      <x:c r="F306" s="7" t="n">
        <x:v>5</x:v>
      </x:c>
      <x:c r="G306" s="7" t="n">
        <x:v>260</x:v>
      </x:c>
      <x:c r="H306" s="9" t="n">
        <x:v>0.02</x:v>
      </x:c>
      <x:c r="I306" s="7" t="n">
        <x:v>1274</x:v>
      </x:c>
    </x:row>
    <x:row r="307" ht="23" customHeight="1">
      <x:c r="A307" s="7" t="str">
        <x:v>INV00302</x:v>
      </x:c>
      <x:c r="B307" s="15" t="d">
        <x:v>2026-04-06T00:00:00.000Z</x:v>
      </x:c>
      <x:c r="C307" s="14" t="d">
        <x:v>2026-04-01T00:00:00.000Z</x:v>
      </x:c>
      <x:c r="D307" s="34" t="str">
        <x:v>0007</x:v>
      </x:c>
      <x:c r="E307" s="7" t="str">
        <x:v>East</x:v>
      </x:c>
      <x:c r="F307" s="7" t="n">
        <x:v>7</x:v>
      </x:c>
      <x:c r="G307" s="7" t="n">
        <x:v>280</x:v>
      </x:c>
      <x:c r="H307" s="9" t="n">
        <x:v>0.05</x:v>
      </x:c>
      <x:c r="I307" s="7" t="n">
        <x:v>1862</x:v>
      </x:c>
    </x:row>
    <x:row r="308" ht="23" customHeight="1">
      <x:c r="A308" s="7" t="str">
        <x:v>INV00303</x:v>
      </x:c>
      <x:c r="B308" s="15" t="d">
        <x:v>2026-04-07T00:00:00.000Z</x:v>
      </x:c>
      <x:c r="C308" s="14" t="d">
        <x:v>2026-04-01T00:00:00.000Z</x:v>
      </x:c>
      <x:c r="D308" s="34" t="str">
        <x:v>0008</x:v>
      </x:c>
      <x:c r="E308" s="7" t="str">
        <x:v>East</x:v>
      </x:c>
      <x:c r="F308" s="7" t="n">
        <x:v>7</x:v>
      </x:c>
      <x:c r="G308" s="7" t="n">
        <x:v>300</x:v>
      </x:c>
      <x:c r="H308" s="9" t="n">
        <x:v>0</x:v>
      </x:c>
      <x:c r="I308" s="7" t="n">
        <x:v>2100</x:v>
      </x:c>
    </x:row>
    <x:row r="309" ht="23" customHeight="1">
      <x:c r="A309" s="7" t="str">
        <x:v>INV00304</x:v>
      </x:c>
      <x:c r="B309" s="15" t="d">
        <x:v>2026-04-08T00:00:00.000Z</x:v>
      </x:c>
      <x:c r="C309" s="14" t="d">
        <x:v>2026-04-01T00:00:00.000Z</x:v>
      </x:c>
      <x:c r="D309" s="34" t="str">
        <x:v>0001</x:v>
      </x:c>
      <x:c r="E309" s="7" t="str">
        <x:v>West</x:v>
      </x:c>
      <x:c r="F309" s="7" t="n">
        <x:v>3</x:v>
      </x:c>
      <x:c r="G309" s="7" t="n">
        <x:v>160</x:v>
      </x:c>
      <x:c r="H309" s="9" t="n">
        <x:v>0.02</x:v>
      </x:c>
      <x:c r="I309" s="7" t="n">
        <x:v>470.4</x:v>
      </x:c>
    </x:row>
    <x:row r="310" ht="23" customHeight="1">
      <x:c r="A310" s="7" t="str">
        <x:v>INV00305</x:v>
      </x:c>
      <x:c r="B310" s="15" t="d">
        <x:v>2026-04-09T00:00:00.000Z</x:v>
      </x:c>
      <x:c r="C310" s="14" t="d">
        <x:v>2026-04-01T00:00:00.000Z</x:v>
      </x:c>
      <x:c r="D310" s="34" t="str">
        <x:v>0002</x:v>
      </x:c>
      <x:c r="E310" s="7" t="str">
        <x:v>West</x:v>
      </x:c>
      <x:c r="F310" s="7" t="n">
        <x:v>6</x:v>
      </x:c>
      <x:c r="G310" s="7" t="n">
        <x:v>180</x:v>
      </x:c>
      <x:c r="H310" s="9" t="n">
        <x:v>0.05</x:v>
      </x:c>
      <x:c r="I310" s="7" t="n">
        <x:v>1026</x:v>
      </x:c>
    </x:row>
    <x:row r="311" ht="23" customHeight="1">
      <x:c r="A311" s="7" t="str">
        <x:v>INV00306</x:v>
      </x:c>
      <x:c r="B311" s="15" t="d">
        <x:v>2026-04-10T00:00:00.000Z</x:v>
      </x:c>
      <x:c r="C311" s="14" t="d">
        <x:v>2026-04-01T00:00:00.000Z</x:v>
      </x:c>
      <x:c r="D311" s="34" t="str">
        <x:v>0003</x:v>
      </x:c>
      <x:c r="E311" s="7" t="str">
        <x:v>West</x:v>
      </x:c>
      <x:c r="F311" s="7" t="n">
        <x:v>5</x:v>
      </x:c>
      <x:c r="G311" s="7" t="n">
        <x:v>200</x:v>
      </x:c>
      <x:c r="H311" s="9" t="n">
        <x:v>0</x:v>
      </x:c>
      <x:c r="I311" s="7" t="n">
        <x:v>1000</x:v>
      </x:c>
    </x:row>
    <x:row r="312" ht="23" customHeight="1">
      <x:c r="A312" s="7" t="str">
        <x:v>INV00307</x:v>
      </x:c>
      <x:c r="B312" s="15" t="d">
        <x:v>2026-04-11T00:00:00.000Z</x:v>
      </x:c>
      <x:c r="C312" s="14" t="d">
        <x:v>2026-04-01T00:00:00.000Z</x:v>
      </x:c>
      <x:c r="D312" s="34" t="str">
        <x:v>0004</x:v>
      </x:c>
      <x:c r="E312" s="7" t="str">
        <x:v>West</x:v>
      </x:c>
      <x:c r="F312" s="7" t="n">
        <x:v>2</x:v>
      </x:c>
      <x:c r="G312" s="7" t="n">
        <x:v>220</x:v>
      </x:c>
      <x:c r="H312" s="9" t="n">
        <x:v>0.02</x:v>
      </x:c>
      <x:c r="I312" s="7" t="n">
        <x:v>431.2</x:v>
      </x:c>
    </x:row>
    <x:row r="313" ht="23" customHeight="1">
      <x:c r="A313" s="7" t="str">
        <x:v>INV00308</x:v>
      </x:c>
      <x:c r="B313" s="15" t="d">
        <x:v>2026-04-12T00:00:00.000Z</x:v>
      </x:c>
      <x:c r="C313" s="14" t="d">
        <x:v>2026-04-01T00:00:00.000Z</x:v>
      </x:c>
      <x:c r="D313" s="34" t="str">
        <x:v>0005</x:v>
      </x:c>
      <x:c r="E313" s="7" t="str">
        <x:v>West</x:v>
      </x:c>
      <x:c r="F313" s="7" t="n">
        <x:v>2</x:v>
      </x:c>
      <x:c r="G313" s="7" t="n">
        <x:v>240</x:v>
      </x:c>
      <x:c r="H313" s="9" t="n">
        <x:v>0.05</x:v>
      </x:c>
      <x:c r="I313" s="7" t="n">
        <x:v>456</x:v>
      </x:c>
    </x:row>
    <x:row r="314" ht="23" customHeight="1">
      <x:c r="A314" s="7" t="str">
        <x:v>INV00309</x:v>
      </x:c>
      <x:c r="B314" s="15" t="d">
        <x:v>2026-04-13T00:00:00.000Z</x:v>
      </x:c>
      <x:c r="C314" s="14" t="d">
        <x:v>2026-04-01T00:00:00.000Z</x:v>
      </x:c>
      <x:c r="D314" s="34" t="str">
        <x:v>0006</x:v>
      </x:c>
      <x:c r="E314" s="7" t="str">
        <x:v>West</x:v>
      </x:c>
      <x:c r="F314" s="7" t="n">
        <x:v>3</x:v>
      </x:c>
      <x:c r="G314" s="7" t="n">
        <x:v>260</x:v>
      </x:c>
      <x:c r="H314" s="9" t="n">
        <x:v>0</x:v>
      </x:c>
      <x:c r="I314" s="7" t="n">
        <x:v>780</x:v>
      </x:c>
    </x:row>
    <x:row r="315" ht="23" customHeight="1">
      <x:c r="A315" s="7" t="str">
        <x:v>INV00310</x:v>
      </x:c>
      <x:c r="B315" s="15" t="d">
        <x:v>2026-04-14T00:00:00.000Z</x:v>
      </x:c>
      <x:c r="C315" s="14" t="d">
        <x:v>2026-04-01T00:00:00.000Z</x:v>
      </x:c>
      <x:c r="D315" s="34" t="str">
        <x:v>0007</x:v>
      </x:c>
      <x:c r="E315" s="7" t="str">
        <x:v>West</x:v>
      </x:c>
      <x:c r="F315" s="7" t="n">
        <x:v>7</x:v>
      </x:c>
      <x:c r="G315" s="7" t="n">
        <x:v>280</x:v>
      </x:c>
      <x:c r="H315" s="9" t="n">
        <x:v>0.02</x:v>
      </x:c>
      <x:c r="I315" s="7" t="n">
        <x:v>1920.8</x:v>
      </x:c>
    </x:row>
    <x:row r="316" ht="23" customHeight="1">
      <x:c r="A316" s="7" t="str">
        <x:v>INV00311</x:v>
      </x:c>
      <x:c r="B316" s="15" t="d">
        <x:v>2026-04-15T00:00:00.000Z</x:v>
      </x:c>
      <x:c r="C316" s="14" t="d">
        <x:v>2026-04-01T00:00:00.000Z</x:v>
      </x:c>
      <x:c r="D316" s="34" t="str">
        <x:v>0008</x:v>
      </x:c>
      <x:c r="E316" s="7" t="str">
        <x:v>West</x:v>
      </x:c>
      <x:c r="F316" s="7" t="n">
        <x:v>4</x:v>
      </x:c>
      <x:c r="G316" s="7" t="n">
        <x:v>300</x:v>
      </x:c>
      <x:c r="H316" s="9" t="n">
        <x:v>0.05</x:v>
      </x:c>
      <x:c r="I316" s="7" t="n">
        <x:v>1140</x:v>
      </x:c>
    </x:row>
    <x:row r="317" ht="23" customHeight="1">
      <x:c r="A317" s="7" t="str">
        <x:v>INV00312</x:v>
      </x:c>
      <x:c r="B317" s="15" t="d">
        <x:v>2026-04-16T00:00:00.000Z</x:v>
      </x:c>
      <x:c r="C317" s="14" t="d">
        <x:v>2026-04-01T00:00:00.000Z</x:v>
      </x:c>
      <x:c r="D317" s="34" t="str">
        <x:v>0001</x:v>
      </x:c>
      <x:c r="E317" s="7" t="str">
        <x:v>North</x:v>
      </x:c>
      <x:c r="F317" s="7" t="n">
        <x:v>1</x:v>
      </x:c>
      <x:c r="G317" s="7" t="n">
        <x:v>160</x:v>
      </x:c>
      <x:c r="H317" s="9" t="n">
        <x:v>0</x:v>
      </x:c>
      <x:c r="I317" s="7" t="n">
        <x:v>160</x:v>
      </x:c>
    </x:row>
    <x:row r="318" ht="23" customHeight="1">
      <x:c r="A318" s="7" t="str">
        <x:v>INV00313</x:v>
      </x:c>
      <x:c r="B318" s="15" t="d">
        <x:v>2026-04-17T00:00:00.000Z</x:v>
      </x:c>
      <x:c r="C318" s="14" t="d">
        <x:v>2026-04-01T00:00:00.000Z</x:v>
      </x:c>
      <x:c r="D318" s="34" t="str">
        <x:v>0002</x:v>
      </x:c>
      <x:c r="E318" s="7" t="str">
        <x:v>North</x:v>
      </x:c>
      <x:c r="F318" s="7" t="n">
        <x:v>5</x:v>
      </x:c>
      <x:c r="G318" s="7" t="n">
        <x:v>180</x:v>
      </x:c>
      <x:c r="H318" s="9" t="n">
        <x:v>0.02</x:v>
      </x:c>
      <x:c r="I318" s="7" t="n">
        <x:v>882</x:v>
      </x:c>
    </x:row>
    <x:row r="319" ht="23" customHeight="1">
      <x:c r="A319" s="7" t="str">
        <x:v>INV00314</x:v>
      </x:c>
      <x:c r="B319" s="15" t="d">
        <x:v>2026-04-18T00:00:00.000Z</x:v>
      </x:c>
      <x:c r="C319" s="14" t="d">
        <x:v>2026-04-01T00:00:00.000Z</x:v>
      </x:c>
      <x:c r="D319" s="34" t="str">
        <x:v>0003</x:v>
      </x:c>
      <x:c r="E319" s="7" t="str">
        <x:v>North</x:v>
      </x:c>
      <x:c r="F319" s="7" t="n">
        <x:v>7</x:v>
      </x:c>
      <x:c r="G319" s="7" t="n">
        <x:v>200</x:v>
      </x:c>
      <x:c r="H319" s="9" t="n">
        <x:v>0.05</x:v>
      </x:c>
      <x:c r="I319" s="7" t="n">
        <x:v>1330</x:v>
      </x:c>
    </x:row>
    <x:row r="320" ht="23" customHeight="1">
      <x:c r="A320" s="7" t="str">
        <x:v>INV00315</x:v>
      </x:c>
      <x:c r="B320" s="15" t="d">
        <x:v>2026-04-19T00:00:00.000Z</x:v>
      </x:c>
      <x:c r="C320" s="14" t="d">
        <x:v>2026-04-01T00:00:00.000Z</x:v>
      </x:c>
      <x:c r="D320" s="34" t="str">
        <x:v>0004</x:v>
      </x:c>
      <x:c r="E320" s="7" t="str">
        <x:v>North</x:v>
      </x:c>
      <x:c r="F320" s="7" t="n">
        <x:v>6</x:v>
      </x:c>
      <x:c r="G320" s="7" t="n">
        <x:v>220</x:v>
      </x:c>
      <x:c r="H320" s="9" t="n">
        <x:v>0</x:v>
      </x:c>
      <x:c r="I320" s="7" t="n">
        <x:v>1320</x:v>
      </x:c>
    </x:row>
    <x:row r="321" ht="23" customHeight="1">
      <x:c r="A321" s="7" t="str">
        <x:v>INV00316</x:v>
      </x:c>
      <x:c r="B321" s="15" t="d">
        <x:v>2026-04-20T00:00:00.000Z</x:v>
      </x:c>
      <x:c r="C321" s="14" t="d">
        <x:v>2026-04-01T00:00:00.000Z</x:v>
      </x:c>
      <x:c r="D321" s="34" t="str">
        <x:v>0005</x:v>
      </x:c>
      <x:c r="E321" s="7" t="str">
        <x:v>North</x:v>
      </x:c>
      <x:c r="F321" s="7" t="n">
        <x:v>6</x:v>
      </x:c>
      <x:c r="G321" s="7" t="n">
        <x:v>240</x:v>
      </x:c>
      <x:c r="H321" s="9" t="n">
        <x:v>0.02</x:v>
      </x:c>
      <x:c r="I321" s="7" t="n">
        <x:v>1411.2</x:v>
      </x:c>
    </x:row>
    <x:row r="322" ht="23" customHeight="1">
      <x:c r="A322" s="7" t="str">
        <x:v>INV00317</x:v>
      </x:c>
      <x:c r="B322" s="15" t="d">
        <x:v>2026-04-21T00:00:00.000Z</x:v>
      </x:c>
      <x:c r="C322" s="14" t="d">
        <x:v>2026-04-01T00:00:00.000Z</x:v>
      </x:c>
      <x:c r="D322" s="34" t="str">
        <x:v>0006</x:v>
      </x:c>
      <x:c r="E322" s="7" t="str">
        <x:v>North</x:v>
      </x:c>
      <x:c r="F322" s="7" t="n">
        <x:v>1</x:v>
      </x:c>
      <x:c r="G322" s="7" t="n">
        <x:v>260</x:v>
      </x:c>
      <x:c r="H322" s="9" t="n">
        <x:v>0.05</x:v>
      </x:c>
      <x:c r="I322" s="7" t="n">
        <x:v>247</x:v>
      </x:c>
    </x:row>
    <x:row r="323" ht="23" customHeight="1">
      <x:c r="A323" s="7" t="str">
        <x:v>INV00318</x:v>
      </x:c>
      <x:c r="B323" s="15" t="d">
        <x:v>2026-04-22T00:00:00.000Z</x:v>
      </x:c>
      <x:c r="C323" s="14" t="d">
        <x:v>2026-04-01T00:00:00.000Z</x:v>
      </x:c>
      <x:c r="D323" s="34" t="str">
        <x:v>0007</x:v>
      </x:c>
      <x:c r="E323" s="7" t="str">
        <x:v>North</x:v>
      </x:c>
      <x:c r="F323" s="7" t="n">
        <x:v>3</x:v>
      </x:c>
      <x:c r="G323" s="7" t="n">
        <x:v>280</x:v>
      </x:c>
      <x:c r="H323" s="9" t="n">
        <x:v>0</x:v>
      </x:c>
      <x:c r="I323" s="7" t="n">
        <x:v>840</x:v>
      </x:c>
    </x:row>
    <x:row r="324" ht="23" customHeight="1">
      <x:c r="A324" s="7" t="str">
        <x:v>INV00319</x:v>
      </x:c>
      <x:c r="B324" s="15" t="d">
        <x:v>2026-04-23T00:00:00.000Z</x:v>
      </x:c>
      <x:c r="C324" s="14" t="d">
        <x:v>2026-04-01T00:00:00.000Z</x:v>
      </x:c>
      <x:c r="D324" s="34" t="str">
        <x:v>0008</x:v>
      </x:c>
      <x:c r="E324" s="7" t="str">
        <x:v>North</x:v>
      </x:c>
      <x:c r="F324" s="7" t="n">
        <x:v>1</x:v>
      </x:c>
      <x:c r="G324" s="7" t="n">
        <x:v>300</x:v>
      </x:c>
      <x:c r="H324" s="9" t="n">
        <x:v>0.02</x:v>
      </x:c>
      <x:c r="I324" s="7" t="n">
        <x:v>294</x:v>
      </x:c>
    </x:row>
    <x:row r="325" ht="23" customHeight="1">
      <x:c r="A325" s="7" t="str">
        <x:v>INV00320</x:v>
      </x:c>
      <x:c r="B325" s="15" t="d">
        <x:v>2026-05-24T00:00:00.000Z</x:v>
      </x:c>
      <x:c r="C325" s="14" t="d">
        <x:v>2026-05-01T00:00:00.000Z</x:v>
      </x:c>
      <x:c r="D325" s="34" t="str">
        <x:v>0001</x:v>
      </x:c>
      <x:c r="E325" s="7" t="str">
        <x:v>Central</x:v>
      </x:c>
      <x:c r="F325" s="7" t="n">
        <x:v>3</x:v>
      </x:c>
      <x:c r="G325" s="7" t="n">
        <x:v>160</x:v>
      </x:c>
      <x:c r="H325" s="9" t="n">
        <x:v>0.05</x:v>
      </x:c>
      <x:c r="I325" s="7" t="n">
        <x:v>456</x:v>
      </x:c>
    </x:row>
    <x:row r="326" ht="23" customHeight="1">
      <x:c r="A326" s="7" t="str">
        <x:v>INV00321</x:v>
      </x:c>
      <x:c r="B326" s="15" t="d">
        <x:v>2026-05-25T00:00:00.000Z</x:v>
      </x:c>
      <x:c r="C326" s="14" t="d">
        <x:v>2026-05-01T00:00:00.000Z</x:v>
      </x:c>
      <x:c r="D326" s="34" t="str">
        <x:v>0002</x:v>
      </x:c>
      <x:c r="E326" s="7" t="str">
        <x:v>Central</x:v>
      </x:c>
      <x:c r="F326" s="7" t="n">
        <x:v>7</x:v>
      </x:c>
      <x:c r="G326" s="7" t="n">
        <x:v>180</x:v>
      </x:c>
      <x:c r="H326" s="9" t="n">
        <x:v>0</x:v>
      </x:c>
      <x:c r="I326" s="7" t="n">
        <x:v>1260</x:v>
      </x:c>
    </x:row>
    <x:row r="327" ht="23" customHeight="1">
      <x:c r="A327" s="7" t="str">
        <x:v>INV00322</x:v>
      </x:c>
      <x:c r="B327" s="15" t="d">
        <x:v>2026-05-26T00:00:00.000Z</x:v>
      </x:c>
      <x:c r="C327" s="14" t="d">
        <x:v>2026-05-01T00:00:00.000Z</x:v>
      </x:c>
      <x:c r="D327" s="34" t="str">
        <x:v>0003</x:v>
      </x:c>
      <x:c r="E327" s="7" t="str">
        <x:v>Central</x:v>
      </x:c>
      <x:c r="F327" s="7" t="n">
        <x:v>6</x:v>
      </x:c>
      <x:c r="G327" s="7" t="n">
        <x:v>200</x:v>
      </x:c>
      <x:c r="H327" s="9" t="n">
        <x:v>0.02</x:v>
      </x:c>
      <x:c r="I327" s="7" t="n">
        <x:v>1176</x:v>
      </x:c>
    </x:row>
    <x:row r="328" ht="23" customHeight="1">
      <x:c r="A328" s="7" t="str">
        <x:v>INV00323</x:v>
      </x:c>
      <x:c r="B328" s="15" t="d">
        <x:v>2026-05-27T00:00:00.000Z</x:v>
      </x:c>
      <x:c r="C328" s="14" t="d">
        <x:v>2026-05-01T00:00:00.000Z</x:v>
      </x:c>
      <x:c r="D328" s="34" t="str">
        <x:v>0004</x:v>
      </x:c>
      <x:c r="E328" s="7" t="str">
        <x:v>Central</x:v>
      </x:c>
      <x:c r="F328" s="7" t="n">
        <x:v>1</x:v>
      </x:c>
      <x:c r="G328" s="7" t="n">
        <x:v>220</x:v>
      </x:c>
      <x:c r="H328" s="9" t="n">
        <x:v>0.05</x:v>
      </x:c>
      <x:c r="I328" s="7" t="n">
        <x:v>209</x:v>
      </x:c>
    </x:row>
    <x:row r="329" ht="23" customHeight="1">
      <x:c r="A329" s="7" t="str">
        <x:v>INV00324</x:v>
      </x:c>
      <x:c r="B329" s="15" t="d">
        <x:v>2026-05-01T00:00:00.000Z</x:v>
      </x:c>
      <x:c r="C329" s="14" t="d">
        <x:v>2026-05-01T00:00:00.000Z</x:v>
      </x:c>
      <x:c r="D329" s="34" t="str">
        <x:v>0005</x:v>
      </x:c>
      <x:c r="E329" s="7" t="str">
        <x:v>Central</x:v>
      </x:c>
      <x:c r="F329" s="7" t="n">
        <x:v>1</x:v>
      </x:c>
      <x:c r="G329" s="7" t="n">
        <x:v>240</x:v>
      </x:c>
      <x:c r="H329" s="9" t="n">
        <x:v>0</x:v>
      </x:c>
      <x:c r="I329" s="7" t="n">
        <x:v>240</x:v>
      </x:c>
    </x:row>
    <x:row r="330" ht="23" customHeight="1">
      <x:c r="A330" s="7" t="str">
        <x:v>INV00325</x:v>
      </x:c>
      <x:c r="B330" s="15" t="d">
        <x:v>2026-05-02T00:00:00.000Z</x:v>
      </x:c>
      <x:c r="C330" s="14" t="d">
        <x:v>2026-05-01T00:00:00.000Z</x:v>
      </x:c>
      <x:c r="D330" s="34" t="str">
        <x:v>0006</x:v>
      </x:c>
      <x:c r="E330" s="7" t="str">
        <x:v>Central</x:v>
      </x:c>
      <x:c r="F330" s="7" t="n">
        <x:v>2</x:v>
      </x:c>
      <x:c r="G330" s="7" t="n">
        <x:v>260</x:v>
      </x:c>
      <x:c r="H330" s="9" t="n">
        <x:v>0.02</x:v>
      </x:c>
      <x:c r="I330" s="7" t="n">
        <x:v>509.6</x:v>
      </x:c>
    </x:row>
    <x:row r="331" ht="23" customHeight="1">
      <x:c r="A331" s="7" t="str">
        <x:v>INV00326</x:v>
      </x:c>
      <x:c r="B331" s="15" t="d">
        <x:v>2026-05-03T00:00:00.000Z</x:v>
      </x:c>
      <x:c r="C331" s="14" t="d">
        <x:v>2026-05-01T00:00:00.000Z</x:v>
      </x:c>
      <x:c r="D331" s="34" t="str">
        <x:v>0007</x:v>
      </x:c>
      <x:c r="E331" s="7" t="str">
        <x:v>Central</x:v>
      </x:c>
      <x:c r="F331" s="7" t="n">
        <x:v>4</x:v>
      </x:c>
      <x:c r="G331" s="7" t="n">
        <x:v>280</x:v>
      </x:c>
      <x:c r="H331" s="9" t="n">
        <x:v>0.05</x:v>
      </x:c>
      <x:c r="I331" s="7" t="n">
        <x:v>1064</x:v>
      </x:c>
    </x:row>
    <x:row r="332" ht="23" customHeight="1">
      <x:c r="A332" s="7" t="str">
        <x:v>INV00327</x:v>
      </x:c>
      <x:c r="B332" s="15" t="d">
        <x:v>2026-05-04T00:00:00.000Z</x:v>
      </x:c>
      <x:c r="C332" s="14" t="d">
        <x:v>2026-05-01T00:00:00.000Z</x:v>
      </x:c>
      <x:c r="D332" s="34" t="str">
        <x:v>0008</x:v>
      </x:c>
      <x:c r="E332" s="7" t="str">
        <x:v>Central</x:v>
      </x:c>
      <x:c r="F332" s="7" t="n">
        <x:v>4</x:v>
      </x:c>
      <x:c r="G332" s="7" t="n">
        <x:v>300</x:v>
      </x:c>
      <x:c r="H332" s="9" t="n">
        <x:v>0</x:v>
      </x:c>
      <x:c r="I332" s="7" t="n">
        <x:v>1200</x:v>
      </x:c>
    </x:row>
    <x:row r="333" ht="23" customHeight="1">
      <x:c r="A333" s="7" t="str">
        <x:v>INV00328</x:v>
      </x:c>
      <x:c r="B333" s="15" t="d">
        <x:v>2026-05-05T00:00:00.000Z</x:v>
      </x:c>
      <x:c r="C333" s="14" t="d">
        <x:v>2026-05-01T00:00:00.000Z</x:v>
      </x:c>
      <x:c r="D333" s="34" t="str">
        <x:v>0001</x:v>
      </x:c>
      <x:c r="E333" s="7" t="str">
        <x:v>East</x:v>
      </x:c>
      <x:c r="F333" s="7" t="n">
        <x:v>-1</x:v>
      </x:c>
      <x:c r="G333" s="7" t="n">
        <x:v>160</x:v>
      </x:c>
      <x:c r="H333" s="9" t="n">
        <x:v>0.02</x:v>
      </x:c>
      <x:c r="I333" s="7" t="n">
        <x:v>-156.8</x:v>
      </x:c>
    </x:row>
    <x:row r="334" ht="23" customHeight="1">
      <x:c r="A334" s="7" t="str">
        <x:v>INV00329</x:v>
      </x:c>
      <x:c r="B334" s="15" t="d">
        <x:v>2026-05-06T00:00:00.000Z</x:v>
      </x:c>
      <x:c r="C334" s="14" t="d">
        <x:v>2026-05-01T00:00:00.000Z</x:v>
      </x:c>
      <x:c r="D334" s="34" t="str">
        <x:v>0002</x:v>
      </x:c>
      <x:c r="E334" s="7" t="str">
        <x:v>East</x:v>
      </x:c>
      <x:c r="F334" s="7" t="n">
        <x:v>2</x:v>
      </x:c>
      <x:c r="G334" s="7" t="n">
        <x:v>180</x:v>
      </x:c>
      <x:c r="H334" s="9" t="n">
        <x:v>0.05</x:v>
      </x:c>
      <x:c r="I334" s="7" t="n">
        <x:v>342</x:v>
      </x:c>
    </x:row>
    <x:row r="335" ht="23" customHeight="1">
      <x:c r="A335" s="7" t="str">
        <x:v>INV00330</x:v>
      </x:c>
      <x:c r="B335" s="15" t="d">
        <x:v>2026-05-07T00:00:00.000Z</x:v>
      </x:c>
      <x:c r="C335" s="14" t="d">
        <x:v>2026-05-01T00:00:00.000Z</x:v>
      </x:c>
      <x:c r="D335" s="34" t="str">
        <x:v>0003</x:v>
      </x:c>
      <x:c r="E335" s="7" t="str">
        <x:v>East</x:v>
      </x:c>
      <x:c r="F335" s="7" t="n">
        <x:v>6</x:v>
      </x:c>
      <x:c r="G335" s="7" t="n">
        <x:v>200</x:v>
      </x:c>
      <x:c r="H335" s="9" t="n">
        <x:v>0</x:v>
      </x:c>
      <x:c r="I335" s="7" t="n">
        <x:v>1200</x:v>
      </x:c>
    </x:row>
    <x:row r="336" ht="23" customHeight="1">
      <x:c r="A336" s="7" t="str">
        <x:v>INV00331</x:v>
      </x:c>
      <x:c r="B336" s="15" t="d">
        <x:v>2026-05-08T00:00:00.000Z</x:v>
      </x:c>
      <x:c r="C336" s="14" t="d">
        <x:v>2026-05-01T00:00:00.000Z</x:v>
      </x:c>
      <x:c r="D336" s="34" t="str">
        <x:v>0004</x:v>
      </x:c>
      <x:c r="E336" s="7" t="str">
        <x:v>East</x:v>
      </x:c>
      <x:c r="F336" s="7" t="n">
        <x:v>3</x:v>
      </x:c>
      <x:c r="G336" s="7" t="n">
        <x:v>220</x:v>
      </x:c>
      <x:c r="H336" s="9" t="n">
        <x:v>0.02</x:v>
      </x:c>
      <x:c r="I336" s="7" t="n">
        <x:v>646.8</x:v>
      </x:c>
    </x:row>
    <x:row r="337" ht="23" customHeight="1">
      <x:c r="A337" s="7" t="str">
        <x:v>INV00332</x:v>
      </x:c>
      <x:c r="B337" s="15" t="d">
        <x:v>2026-05-09T00:00:00.000Z</x:v>
      </x:c>
      <x:c r="C337" s="14" t="d">
        <x:v>2026-05-01T00:00:00.000Z</x:v>
      </x:c>
      <x:c r="D337" s="34" t="str">
        <x:v>0005</x:v>
      </x:c>
      <x:c r="E337" s="7" t="str">
        <x:v>East</x:v>
      </x:c>
      <x:c r="F337" s="7" t="n">
        <x:v>1</x:v>
      </x:c>
      <x:c r="G337" s="7" t="n">
        <x:v>240</x:v>
      </x:c>
      <x:c r="H337" s="9" t="n">
        <x:v>0.05</x:v>
      </x:c>
      <x:c r="I337" s="7" t="n">
        <x:v>228</x:v>
      </x:c>
    </x:row>
    <x:row r="338" ht="23" customHeight="1">
      <x:c r="A338" s="7" t="str">
        <x:v>INV00333</x:v>
      </x:c>
      <x:c r="B338" s="15" t="d">
        <x:v>2026-05-10T00:00:00.000Z</x:v>
      </x:c>
      <x:c r="C338" s="14" t="d">
        <x:v>2026-05-01T00:00:00.000Z</x:v>
      </x:c>
      <x:c r="D338" s="34" t="str">
        <x:v>0006</x:v>
      </x:c>
      <x:c r="E338" s="7" t="str">
        <x:v>East</x:v>
      </x:c>
      <x:c r="F338" s="7" t="n">
        <x:v>1</x:v>
      </x:c>
      <x:c r="G338" s="7" t="n">
        <x:v>260</x:v>
      </x:c>
      <x:c r="H338" s="9" t="n">
        <x:v>0</x:v>
      </x:c>
      <x:c r="I338" s="7" t="n">
        <x:v>260</x:v>
      </x:c>
    </x:row>
    <x:row r="339" ht="23" customHeight="1">
      <x:c r="A339" s="7" t="str">
        <x:v>INV00334</x:v>
      </x:c>
      <x:c r="B339" s="15" t="d">
        <x:v>2026-05-11T00:00:00.000Z</x:v>
      </x:c>
      <x:c r="C339" s="14" t="d">
        <x:v>2026-05-01T00:00:00.000Z</x:v>
      </x:c>
      <x:c r="D339" s="34" t="str">
        <x:v>0007</x:v>
      </x:c>
      <x:c r="E339" s="7" t="str">
        <x:v>East</x:v>
      </x:c>
      <x:c r="F339" s="7" t="n">
        <x:v>3</x:v>
      </x:c>
      <x:c r="G339" s="7" t="n">
        <x:v>280</x:v>
      </x:c>
      <x:c r="H339" s="9" t="n">
        <x:v>0.02</x:v>
      </x:c>
      <x:c r="I339" s="7" t="n">
        <x:v>823.2</x:v>
      </x:c>
    </x:row>
    <x:row r="340" ht="23" customHeight="1">
      <x:c r="A340" s="7" t="str">
        <x:v>INV00335</x:v>
      </x:c>
      <x:c r="B340" s="15" t="d">
        <x:v>2026-05-12T00:00:00.000Z</x:v>
      </x:c>
      <x:c r="C340" s="14" t="d">
        <x:v>2026-05-01T00:00:00.000Z</x:v>
      </x:c>
      <x:c r="D340" s="34" t="str">
        <x:v>0008</x:v>
      </x:c>
      <x:c r="E340" s="7" t="str">
        <x:v>East</x:v>
      </x:c>
      <x:c r="F340" s="7" t="n">
        <x:v>3</x:v>
      </x:c>
      <x:c r="G340" s="7" t="n">
        <x:v>300</x:v>
      </x:c>
      <x:c r="H340" s="9" t="n">
        <x:v>0.05</x:v>
      </x:c>
      <x:c r="I340" s="7" t="n">
        <x:v>855</x:v>
      </x:c>
    </x:row>
    <x:row r="341" ht="23" customHeight="1">
      <x:c r="A341" s="7" t="str">
        <x:v>INV00336</x:v>
      </x:c>
      <x:c r="B341" s="15" t="d">
        <x:v>2026-05-13T00:00:00.000Z</x:v>
      </x:c>
      <x:c r="C341" s="14" t="d">
        <x:v>2026-05-01T00:00:00.000Z</x:v>
      </x:c>
      <x:c r="D341" s="34" t="str">
        <x:v>0001</x:v>
      </x:c>
      <x:c r="E341" s="7" t="str">
        <x:v>West</x:v>
      </x:c>
      <x:c r="F341" s="7" t="n">
        <x:v>2</x:v>
      </x:c>
      <x:c r="G341" s="7" t="n">
        <x:v>160</x:v>
      </x:c>
      <x:c r="H341" s="9" t="n">
        <x:v>0</x:v>
      </x:c>
      <x:c r="I341" s="7" t="n">
        <x:v>320</x:v>
      </x:c>
    </x:row>
    <x:row r="342" ht="23" customHeight="1">
      <x:c r="A342" s="7" t="str">
        <x:v>INV00337</x:v>
      </x:c>
      <x:c r="B342" s="15" t="d">
        <x:v>2026-05-14T00:00:00.000Z</x:v>
      </x:c>
      <x:c r="C342" s="14" t="d">
        <x:v>2026-05-01T00:00:00.000Z</x:v>
      </x:c>
      <x:c r="D342" s="34" t="str">
        <x:v>0002</x:v>
      </x:c>
      <x:c r="E342" s="7" t="str">
        <x:v>West</x:v>
      </x:c>
      <x:c r="F342" s="7" t="n">
        <x:v>1</x:v>
      </x:c>
      <x:c r="G342" s="7" t="n">
        <x:v>180</x:v>
      </x:c>
      <x:c r="H342" s="9" t="n">
        <x:v>0.02</x:v>
      </x:c>
      <x:c r="I342" s="7" t="n">
        <x:v>176.4</x:v>
      </x:c>
    </x:row>
    <x:row r="343" ht="23" customHeight="1">
      <x:c r="A343" s="7" t="str">
        <x:v>INV00338</x:v>
      </x:c>
      <x:c r="B343" s="15" t="d">
        <x:v>2026-05-15T00:00:00.000Z</x:v>
      </x:c>
      <x:c r="C343" s="14" t="d">
        <x:v>2026-05-01T00:00:00.000Z</x:v>
      </x:c>
      <x:c r="D343" s="34" t="str">
        <x:v>0003</x:v>
      </x:c>
      <x:c r="E343" s="7" t="str">
        <x:v>West</x:v>
      </x:c>
      <x:c r="F343" s="7" t="n">
        <x:v>1</x:v>
      </x:c>
      <x:c r="G343" s="7" t="n">
        <x:v>200</x:v>
      </x:c>
      <x:c r="H343" s="9" t="n">
        <x:v>0.05</x:v>
      </x:c>
      <x:c r="I343" s="7" t="n">
        <x:v>190</x:v>
      </x:c>
    </x:row>
    <x:row r="344" ht="23" customHeight="1">
      <x:c r="A344" s="7" t="str">
        <x:v>INV00339</x:v>
      </x:c>
      <x:c r="B344" s="15" t="d">
        <x:v>2026-05-16T00:00:00.000Z</x:v>
      </x:c>
      <x:c r="C344" s="14" t="d">
        <x:v>2026-05-01T00:00:00.000Z</x:v>
      </x:c>
      <x:c r="D344" s="34" t="str">
        <x:v>0004</x:v>
      </x:c>
      <x:c r="E344" s="7" t="str">
        <x:v>West</x:v>
      </x:c>
      <x:c r="F344" s="7" t="n">
        <x:v>5</x:v>
      </x:c>
      <x:c r="G344" s="7" t="n">
        <x:v>220</x:v>
      </x:c>
      <x:c r="H344" s="9" t="n">
        <x:v>0</x:v>
      </x:c>
      <x:c r="I344" s="7" t="n">
        <x:v>1100</x:v>
      </x:c>
    </x:row>
    <x:row r="345" ht="23" customHeight="1">
      <x:c r="A345" s="7" t="str">
        <x:v>INV00340</x:v>
      </x:c>
      <x:c r="B345" s="15" t="d">
        <x:v>2026-05-17T00:00:00.000Z</x:v>
      </x:c>
      <x:c r="C345" s="14" t="d">
        <x:v>2026-05-01T00:00:00.000Z</x:v>
      </x:c>
      <x:c r="D345" s="34" t="str">
        <x:v>0005</x:v>
      </x:c>
      <x:c r="E345" s="7" t="str">
        <x:v>West</x:v>
      </x:c>
      <x:c r="F345" s="7" t="n">
        <x:v>3</x:v>
      </x:c>
      <x:c r="G345" s="7" t="n">
        <x:v>240</x:v>
      </x:c>
      <x:c r="H345" s="9" t="n">
        <x:v>0.02</x:v>
      </x:c>
      <x:c r="I345" s="7" t="n">
        <x:v>705.6</x:v>
      </x:c>
    </x:row>
    <x:row r="346" ht="23" customHeight="1">
      <x:c r="A346" s="7" t="str">
        <x:v>INV00341</x:v>
      </x:c>
      <x:c r="B346" s="15" t="d">
        <x:v>2026-05-18T00:00:00.000Z</x:v>
      </x:c>
      <x:c r="C346" s="14" t="d">
        <x:v>2026-05-01T00:00:00.000Z</x:v>
      </x:c>
      <x:c r="D346" s="34" t="str">
        <x:v>0006</x:v>
      </x:c>
      <x:c r="E346" s="7" t="str">
        <x:v>West</x:v>
      </x:c>
      <x:c r="F346" s="7" t="n">
        <x:v>6</x:v>
      </x:c>
      <x:c r="G346" s="7" t="n">
        <x:v>260</x:v>
      </x:c>
      <x:c r="H346" s="9" t="n">
        <x:v>0.05</x:v>
      </x:c>
      <x:c r="I346" s="7" t="n">
        <x:v>1482</x:v>
      </x:c>
    </x:row>
    <x:row r="347" ht="23" customHeight="1">
      <x:c r="A347" s="7" t="str">
        <x:v>INV00342</x:v>
      </x:c>
      <x:c r="B347" s="15" t="d">
        <x:v>2026-05-19T00:00:00.000Z</x:v>
      </x:c>
      <x:c r="C347" s="14" t="d">
        <x:v>2026-05-01T00:00:00.000Z</x:v>
      </x:c>
      <x:c r="D347" s="34" t="str">
        <x:v>0007</x:v>
      </x:c>
      <x:c r="E347" s="7" t="str">
        <x:v>West</x:v>
      </x:c>
      <x:c r="F347" s="7" t="n">
        <x:v>2</x:v>
      </x:c>
      <x:c r="G347" s="7" t="n">
        <x:v>280</x:v>
      </x:c>
      <x:c r="H347" s="9" t="n">
        <x:v>0</x:v>
      </x:c>
      <x:c r="I347" s="7" t="n">
        <x:v>560</x:v>
      </x:c>
    </x:row>
    <x:row r="348" ht="23" customHeight="1">
      <x:c r="A348" s="7" t="str">
        <x:v>INV00343</x:v>
      </x:c>
      <x:c r="B348" s="15" t="d">
        <x:v>2026-05-20T00:00:00.000Z</x:v>
      </x:c>
      <x:c r="C348" s="14" t="d">
        <x:v>2026-05-01T00:00:00.000Z</x:v>
      </x:c>
      <x:c r="D348" s="34" t="str">
        <x:v>0008</x:v>
      </x:c>
      <x:c r="E348" s="7" t="str">
        <x:v>West</x:v>
      </x:c>
      <x:c r="F348" s="7" t="n">
        <x:v>6</x:v>
      </x:c>
      <x:c r="G348" s="7" t="n">
        <x:v>300</x:v>
      </x:c>
      <x:c r="H348" s="9" t="n">
        <x:v>0.02</x:v>
      </x:c>
      <x:c r="I348" s="7" t="n">
        <x:v>1764</x:v>
      </x:c>
    </x:row>
    <x:row r="349" ht="23" customHeight="1">
      <x:c r="A349" s="7" t="str">
        <x:v>INV00344</x:v>
      </x:c>
      <x:c r="B349" s="15" t="d">
        <x:v>2026-05-21T00:00:00.000Z</x:v>
      </x:c>
      <x:c r="C349" s="14" t="d">
        <x:v>2026-05-01T00:00:00.000Z</x:v>
      </x:c>
      <x:c r="D349" s="34" t="str">
        <x:v>0001</x:v>
      </x:c>
      <x:c r="E349" s="7" t="str">
        <x:v>North</x:v>
      </x:c>
      <x:c r="F349" s="7" t="n">
        <x:v>2</x:v>
      </x:c>
      <x:c r="G349" s="7" t="n">
        <x:v>160</x:v>
      </x:c>
      <x:c r="H349" s="9" t="n">
        <x:v>0.05</x:v>
      </x:c>
      <x:c r="I349" s="7" t="n">
        <x:v>304</x:v>
      </x:c>
    </x:row>
    <x:row r="350" ht="23" customHeight="1">
      <x:c r="A350" s="7" t="str">
        <x:v>INV00345</x:v>
      </x:c>
      <x:c r="B350" s="15" t="d">
        <x:v>2026-05-22T00:00:00.000Z</x:v>
      </x:c>
      <x:c r="C350" s="14" t="d">
        <x:v>2026-05-01T00:00:00.000Z</x:v>
      </x:c>
      <x:c r="D350" s="34" t="str">
        <x:v>0002</x:v>
      </x:c>
      <x:c r="E350" s="7" t="str">
        <x:v>North</x:v>
      </x:c>
      <x:c r="F350" s="7" t="n">
        <x:v>5</x:v>
      </x:c>
      <x:c r="G350" s="7" t="n">
        <x:v>180</x:v>
      </x:c>
      <x:c r="H350" s="9" t="n">
        <x:v>0</x:v>
      </x:c>
      <x:c r="I350" s="7" t="n">
        <x:v>900</x:v>
      </x:c>
    </x:row>
    <x:row r="351" ht="23" customHeight="1">
      <x:c r="A351" s="7" t="str">
        <x:v>INV00346</x:v>
      </x:c>
      <x:c r="B351" s="15" t="d">
        <x:v>2026-05-23T00:00:00.000Z</x:v>
      </x:c>
      <x:c r="C351" s="14" t="d">
        <x:v>2026-05-01T00:00:00.000Z</x:v>
      </x:c>
      <x:c r="D351" s="34" t="str">
        <x:v>0003</x:v>
      </x:c>
      <x:c r="E351" s="7" t="str">
        <x:v>North</x:v>
      </x:c>
      <x:c r="F351" s="7" t="n">
        <x:v>7</x:v>
      </x:c>
      <x:c r="G351" s="7" t="n">
        <x:v>200</x:v>
      </x:c>
      <x:c r="H351" s="9" t="n">
        <x:v>0.02</x:v>
      </x:c>
      <x:c r="I351" s="7" t="n">
        <x:v>1372</x:v>
      </x:c>
    </x:row>
    <x:row r="352" ht="23" customHeight="1">
      <x:c r="A352" s="7" t="str">
        <x:v>INV00347</x:v>
      </x:c>
      <x:c r="B352" s="15" t="d">
        <x:v>2026-05-24T00:00:00.000Z</x:v>
      </x:c>
      <x:c r="C352" s="14" t="d">
        <x:v>2026-05-01T00:00:00.000Z</x:v>
      </x:c>
      <x:c r="D352" s="34" t="str">
        <x:v>0004</x:v>
      </x:c>
      <x:c r="E352" s="7" t="str">
        <x:v>North</x:v>
      </x:c>
      <x:c r="F352" s="7" t="n">
        <x:v>3</x:v>
      </x:c>
      <x:c r="G352" s="7" t="n">
        <x:v>220</x:v>
      </x:c>
      <x:c r="H352" s="9" t="n">
        <x:v>0.05</x:v>
      </x:c>
      <x:c r="I352" s="7" t="n">
        <x:v>627</x:v>
      </x:c>
    </x:row>
    <x:row r="353" ht="23" customHeight="1">
      <x:c r="A353" s="7" t="str">
        <x:v>INV00348</x:v>
      </x:c>
      <x:c r="B353" s="15" t="d">
        <x:v>2026-05-25T00:00:00.000Z</x:v>
      </x:c>
      <x:c r="C353" s="14" t="d">
        <x:v>2026-05-01T00:00:00.000Z</x:v>
      </x:c>
      <x:c r="D353" s="34" t="str">
        <x:v>0005</x:v>
      </x:c>
      <x:c r="E353" s="7" t="str">
        <x:v>North</x:v>
      </x:c>
      <x:c r="F353" s="7" t="n">
        <x:v>5</x:v>
      </x:c>
      <x:c r="G353" s="7" t="n">
        <x:v>240</x:v>
      </x:c>
      <x:c r="H353" s="9" t="n">
        <x:v>0</x:v>
      </x:c>
      <x:c r="I353" s="7" t="n">
        <x:v>1200</x:v>
      </x:c>
    </x:row>
    <x:row r="354" ht="23" customHeight="1">
      <x:c r="A354" s="7" t="str">
        <x:v>INV00349</x:v>
      </x:c>
      <x:c r="B354" s="15" t="d">
        <x:v>2026-05-26T00:00:00.000Z</x:v>
      </x:c>
      <x:c r="C354" s="14" t="d">
        <x:v>2026-05-01T00:00:00.000Z</x:v>
      </x:c>
      <x:c r="D354" s="34" t="str">
        <x:v>0006</x:v>
      </x:c>
      <x:c r="E354" s="7" t="str">
        <x:v>North</x:v>
      </x:c>
      <x:c r="F354" s="7" t="n">
        <x:v>7</x:v>
      </x:c>
      <x:c r="G354" s="7" t="n">
        <x:v>260</x:v>
      </x:c>
      <x:c r="H354" s="9" t="n">
        <x:v>0.02</x:v>
      </x:c>
      <x:c r="I354" s="7" t="n">
        <x:v>1783.6</x:v>
      </x:c>
    </x:row>
    <x:row r="355" ht="23" customHeight="1">
      <x:c r="A355" s="7" t="str">
        <x:v>INV00350</x:v>
      </x:c>
      <x:c r="B355" s="15" t="d">
        <x:v>2026-05-27T00:00:00.000Z</x:v>
      </x:c>
      <x:c r="C355" s="14" t="d">
        <x:v>2026-05-01T00:00:00.000Z</x:v>
      </x:c>
      <x:c r="D355" s="34" t="str">
        <x:v>0007</x:v>
      </x:c>
      <x:c r="E355" s="7" t="str">
        <x:v>North</x:v>
      </x:c>
      <x:c r="F355" s="7" t="n">
        <x:v>1</x:v>
      </x:c>
      <x:c r="G355" s="7" t="n">
        <x:v>280</x:v>
      </x:c>
      <x:c r="H355" s="9" t="n">
        <x:v>0.05</x:v>
      </x:c>
      <x:c r="I355" s="7" t="n">
        <x:v>266</x:v>
      </x:c>
    </x:row>
    <x:row r="356" ht="23" customHeight="1">
      <x:c r="A356" s="7" t="str">
        <x:v>INV00351</x:v>
      </x:c>
      <x:c r="B356" s="15" t="d">
        <x:v>2026-05-01T00:00:00.000Z</x:v>
      </x:c>
      <x:c r="C356" s="14" t="d">
        <x:v>2026-05-01T00:00:00.000Z</x:v>
      </x:c>
      <x:c r="D356" s="34" t="str">
        <x:v>0008</x:v>
      </x:c>
      <x:c r="E356" s="7" t="str">
        <x:v>North</x:v>
      </x:c>
      <x:c r="F356" s="7" t="n">
        <x:v>1</x:v>
      </x:c>
      <x:c r="G356" s="7" t="n">
        <x:v>300</x:v>
      </x:c>
      <x:c r="H356" s="9" t="n">
        <x:v>0</x:v>
      </x:c>
      <x:c r="I356" s="7" t="n">
        <x:v>300</x:v>
      </x:c>
    </x:row>
    <x:row r="357" ht="23" customHeight="1">
      <x:c r="A357" s="7" t="str">
        <x:v>INV00352</x:v>
      </x:c>
      <x:c r="B357" s="15" t="d">
        <x:v>2026-06-02T00:00:00.000Z</x:v>
      </x:c>
      <x:c r="C357" s="14" t="d">
        <x:v>2026-06-01T00:00:00.000Z</x:v>
      </x:c>
      <x:c r="D357" s="34" t="str">
        <x:v>0001</x:v>
      </x:c>
      <x:c r="E357" s="7" t="str">
        <x:v>Central</x:v>
      </x:c>
      <x:c r="F357" s="7" t="n">
        <x:v>5</x:v>
      </x:c>
      <x:c r="G357" s="7" t="n">
        <x:v>160</x:v>
      </x:c>
      <x:c r="H357" s="9" t="n">
        <x:v>0.02</x:v>
      </x:c>
      <x:c r="I357" s="7" t="n">
        <x:v>784</x:v>
      </x:c>
    </x:row>
    <x:row r="358" ht="23" customHeight="1">
      <x:c r="A358" s="7" t="str">
        <x:v>INV00353</x:v>
      </x:c>
      <x:c r="B358" s="15" t="d">
        <x:v>2026-06-03T00:00:00.000Z</x:v>
      </x:c>
      <x:c r="C358" s="14" t="d">
        <x:v>2026-06-01T00:00:00.000Z</x:v>
      </x:c>
      <x:c r="D358" s="34" t="str">
        <x:v>0002</x:v>
      </x:c>
      <x:c r="E358" s="7" t="str">
        <x:v>Central</x:v>
      </x:c>
      <x:c r="F358" s="7" t="n">
        <x:v>4</x:v>
      </x:c>
      <x:c r="G358" s="7" t="n">
        <x:v>180</x:v>
      </x:c>
      <x:c r="H358" s="9" t="n">
        <x:v>0.05</x:v>
      </x:c>
      <x:c r="I358" s="7" t="n">
        <x:v>684</x:v>
      </x:c>
    </x:row>
    <x:row r="359" ht="23" customHeight="1">
      <x:c r="A359" s="7" t="str">
        <x:v>INV00354</x:v>
      </x:c>
      <x:c r="B359" s="15" t="d">
        <x:v>2026-06-04T00:00:00.000Z</x:v>
      </x:c>
      <x:c r="C359" s="14" t="d">
        <x:v>2026-06-01T00:00:00.000Z</x:v>
      </x:c>
      <x:c r="D359" s="34" t="str">
        <x:v>0003</x:v>
      </x:c>
      <x:c r="E359" s="7" t="str">
        <x:v>Central</x:v>
      </x:c>
      <x:c r="F359" s="7" t="n">
        <x:v>6</x:v>
      </x:c>
      <x:c r="G359" s="7" t="n">
        <x:v>200</x:v>
      </x:c>
      <x:c r="H359" s="9" t="n">
        <x:v>0</x:v>
      </x:c>
      <x:c r="I359" s="7" t="n">
        <x:v>1200</x:v>
      </x:c>
    </x:row>
    <x:row r="360" ht="23" customHeight="1">
      <x:c r="A360" s="7" t="str">
        <x:v>INV00355</x:v>
      </x:c>
      <x:c r="B360" s="15" t="d">
        <x:v>2026-06-05T00:00:00.000Z</x:v>
      </x:c>
      <x:c r="C360" s="14" t="d">
        <x:v>2026-06-01T00:00:00.000Z</x:v>
      </x:c>
      <x:c r="D360" s="34" t="str">
        <x:v>0004</x:v>
      </x:c>
      <x:c r="E360" s="7" t="str">
        <x:v>Central</x:v>
      </x:c>
      <x:c r="F360" s="7" t="n">
        <x:v>6</x:v>
      </x:c>
      <x:c r="G360" s="7" t="n">
        <x:v>220</x:v>
      </x:c>
      <x:c r="H360" s="9" t="n">
        <x:v>0.02</x:v>
      </x:c>
      <x:c r="I360" s="7" t="n">
        <x:v>1293.6</x:v>
      </x:c>
    </x:row>
    <x:row r="361" ht="23" customHeight="1">
      <x:c r="A361" s="7" t="str">
        <x:v>INV00356</x:v>
      </x:c>
      <x:c r="B361" s="15" t="d">
        <x:v>2026-06-06T00:00:00.000Z</x:v>
      </x:c>
      <x:c r="C361" s="14" t="d">
        <x:v>2026-06-01T00:00:00.000Z</x:v>
      </x:c>
      <x:c r="D361" s="34" t="str">
        <x:v>0005</x:v>
      </x:c>
      <x:c r="E361" s="7" t="str">
        <x:v>Central</x:v>
      </x:c>
      <x:c r="F361" s="7" t="n">
        <x:v>1</x:v>
      </x:c>
      <x:c r="G361" s="7" t="n">
        <x:v>240</x:v>
      </x:c>
      <x:c r="H361" s="9" t="n">
        <x:v>0.05</x:v>
      </x:c>
      <x:c r="I361" s="7" t="n">
        <x:v>228</x:v>
      </x:c>
    </x:row>
    <x:row r="362" ht="23" customHeight="1">
      <x:c r="A362" s="7" t="str">
        <x:v>INV00357</x:v>
      </x:c>
      <x:c r="B362" s="15" t="d">
        <x:v>2026-06-07T00:00:00.000Z</x:v>
      </x:c>
      <x:c r="C362" s="14" t="d">
        <x:v>2026-06-01T00:00:00.000Z</x:v>
      </x:c>
      <x:c r="D362" s="34" t="str">
        <x:v>0006</x:v>
      </x:c>
      <x:c r="E362" s="7" t="str">
        <x:v>Central</x:v>
      </x:c>
      <x:c r="F362" s="7" t="n">
        <x:v>7</x:v>
      </x:c>
      <x:c r="G362" s="7" t="n">
        <x:v>260</x:v>
      </x:c>
      <x:c r="H362" s="9" t="n">
        <x:v>0</x:v>
      </x:c>
      <x:c r="I362" s="7" t="n">
        <x:v>1820</x:v>
      </x:c>
    </x:row>
    <x:row r="363" ht="23" customHeight="1">
      <x:c r="A363" s="7" t="str">
        <x:v>INV00358</x:v>
      </x:c>
      <x:c r="B363" s="15" t="d">
        <x:v>2026-06-08T00:00:00.000Z</x:v>
      </x:c>
      <x:c r="C363" s="14" t="d">
        <x:v>2026-06-01T00:00:00.000Z</x:v>
      </x:c>
      <x:c r="D363" s="34" t="str">
        <x:v>0007</x:v>
      </x:c>
      <x:c r="E363" s="7" t="str">
        <x:v>Central</x:v>
      </x:c>
      <x:c r="F363" s="7" t="n">
        <x:v>6</x:v>
      </x:c>
      <x:c r="G363" s="7" t="n">
        <x:v>280</x:v>
      </x:c>
      <x:c r="H363" s="9" t="n">
        <x:v>0.02</x:v>
      </x:c>
      <x:c r="I363" s="7" t="n">
        <x:v>1646.4</x:v>
      </x:c>
    </x:row>
    <x:row r="364" ht="23" customHeight="1">
      <x:c r="A364" s="7" t="str">
        <x:v>INV00359</x:v>
      </x:c>
      <x:c r="B364" s="15" t="d">
        <x:v>2026-06-09T00:00:00.000Z</x:v>
      </x:c>
      <x:c r="C364" s="14" t="d">
        <x:v>2026-06-01T00:00:00.000Z</x:v>
      </x:c>
      <x:c r="D364" s="34" t="str">
        <x:v>0008</x:v>
      </x:c>
      <x:c r="E364" s="7" t="str">
        <x:v>Central</x:v>
      </x:c>
      <x:c r="F364" s="7" t="n">
        <x:v>6</x:v>
      </x:c>
      <x:c r="G364" s="7" t="n">
        <x:v>300</x:v>
      </x:c>
      <x:c r="H364" s="9" t="n">
        <x:v>0.05</x:v>
      </x:c>
      <x:c r="I364" s="7" t="n">
        <x:v>1710</x:v>
      </x:c>
    </x:row>
    <x:row r="365" ht="23" customHeight="1">
      <x:c r="A365" s="7" t="str">
        <x:v>INV00360</x:v>
      </x:c>
      <x:c r="B365" s="15" t="d">
        <x:v>2026-06-10T00:00:00.000Z</x:v>
      </x:c>
      <x:c r="C365" s="14" t="d">
        <x:v>2026-06-01T00:00:00.000Z</x:v>
      </x:c>
      <x:c r="D365" s="34" t="str">
        <x:v>0001</x:v>
      </x:c>
      <x:c r="E365" s="7" t="str">
        <x:v>East</x:v>
      </x:c>
      <x:c r="F365" s="7" t="n">
        <x:v>3</x:v>
      </x:c>
      <x:c r="G365" s="7" t="n">
        <x:v>160</x:v>
      </x:c>
      <x:c r="H365" s="9" t="n">
        <x:v>0</x:v>
      </x:c>
      <x:c r="I365" s="7" t="n">
        <x:v>480</x:v>
      </x:c>
    </x:row>
    <x:row r="366" ht="23" customHeight="1">
      <x:c r="A366" s="7" t="str">
        <x:v>INV00361</x:v>
      </x:c>
      <x:c r="B366" s="15" t="d">
        <x:v>2026-06-11T00:00:00.000Z</x:v>
      </x:c>
      <x:c r="C366" s="14" t="d">
        <x:v>2026-06-01T00:00:00.000Z</x:v>
      </x:c>
      <x:c r="D366" s="34" t="str">
        <x:v>0002</x:v>
      </x:c>
      <x:c r="E366" s="7" t="str">
        <x:v>East</x:v>
      </x:c>
      <x:c r="F366" s="7" t="n">
        <x:v>7</x:v>
      </x:c>
      <x:c r="G366" s="7" t="n">
        <x:v>180</x:v>
      </x:c>
      <x:c r="H366" s="9" t="n">
        <x:v>0.02</x:v>
      </x:c>
      <x:c r="I366" s="7" t="n">
        <x:v>1234.8</x:v>
      </x:c>
    </x:row>
    <x:row r="367" ht="23" customHeight="1">
      <x:c r="A367" s="7" t="str">
        <x:v>INV00362</x:v>
      </x:c>
      <x:c r="B367" s="15" t="d">
        <x:v>2026-06-12T00:00:00.000Z</x:v>
      </x:c>
      <x:c r="C367" s="14" t="d">
        <x:v>2026-06-01T00:00:00.000Z</x:v>
      </x:c>
      <x:c r="D367" s="34" t="str">
        <x:v>0003</x:v>
      </x:c>
      <x:c r="E367" s="7" t="str">
        <x:v>East</x:v>
      </x:c>
      <x:c r="F367" s="7" t="n">
        <x:v>4</x:v>
      </x:c>
      <x:c r="G367" s="7" t="n">
        <x:v>200</x:v>
      </x:c>
      <x:c r="H367" s="9" t="n">
        <x:v>0.05</x:v>
      </x:c>
      <x:c r="I367" s="7" t="n">
        <x:v>760</x:v>
      </x:c>
    </x:row>
    <x:row r="368" ht="23" customHeight="1">
      <x:c r="A368" s="7" t="str">
        <x:v>INV00363</x:v>
      </x:c>
      <x:c r="B368" s="15" t="d">
        <x:v>2026-06-13T00:00:00.000Z</x:v>
      </x:c>
      <x:c r="C368" s="14" t="d">
        <x:v>2026-06-01T00:00:00.000Z</x:v>
      </x:c>
      <x:c r="D368" s="34" t="str">
        <x:v>0004</x:v>
      </x:c>
      <x:c r="E368" s="7" t="str">
        <x:v>East</x:v>
      </x:c>
      <x:c r="F368" s="7" t="n">
        <x:v>3</x:v>
      </x:c>
      <x:c r="G368" s="7" t="n">
        <x:v>220</x:v>
      </x:c>
      <x:c r="H368" s="9" t="n">
        <x:v>0</x:v>
      </x:c>
      <x:c r="I368" s="7" t="n">
        <x:v>660</x:v>
      </x:c>
    </x:row>
    <x:row r="369" ht="23" customHeight="1">
      <x:c r="A369" s="7" t="str">
        <x:v>INV00364</x:v>
      </x:c>
      <x:c r="B369" s="15" t="d">
        <x:v>2026-06-14T00:00:00.000Z</x:v>
      </x:c>
      <x:c r="C369" s="14" t="d">
        <x:v>2026-06-01T00:00:00.000Z</x:v>
      </x:c>
      <x:c r="D369" s="34" t="str">
        <x:v>0005</x:v>
      </x:c>
      <x:c r="E369" s="7" t="str">
        <x:v>East</x:v>
      </x:c>
      <x:c r="F369" s="7" t="n">
        <x:v>5</x:v>
      </x:c>
      <x:c r="G369" s="7" t="n">
        <x:v>240</x:v>
      </x:c>
      <x:c r="H369" s="9" t="n">
        <x:v>0.02</x:v>
      </x:c>
      <x:c r="I369" s="7" t="n">
        <x:v>1176</x:v>
      </x:c>
    </x:row>
    <x:row r="370" ht="23" customHeight="1">
      <x:c r="A370" s="7" t="str">
        <x:v>INV00365</x:v>
      </x:c>
      <x:c r="B370" s="15" t="d">
        <x:v>2026-06-15T00:00:00.000Z</x:v>
      </x:c>
      <x:c r="C370" s="14" t="d">
        <x:v>2026-06-01T00:00:00.000Z</x:v>
      </x:c>
      <x:c r="D370" s="34" t="str">
        <x:v>0006</x:v>
      </x:c>
      <x:c r="E370" s="7" t="str">
        <x:v>East</x:v>
      </x:c>
      <x:c r="F370" s="7" t="n">
        <x:v>1</x:v>
      </x:c>
      <x:c r="G370" s="7" t="n">
        <x:v>260</x:v>
      </x:c>
      <x:c r="H370" s="9" t="n">
        <x:v>0.05</x:v>
      </x:c>
      <x:c r="I370" s="7" t="n">
        <x:v>247</x:v>
      </x:c>
    </x:row>
    <x:row r="371" ht="23" customHeight="1">
      <x:c r="A371" s="7" t="str">
        <x:v>INV00366</x:v>
      </x:c>
      <x:c r="B371" s="15" t="d">
        <x:v>2026-06-16T00:00:00.000Z</x:v>
      </x:c>
      <x:c r="C371" s="14" t="d">
        <x:v>2026-06-01T00:00:00.000Z</x:v>
      </x:c>
      <x:c r="D371" s="34" t="str">
        <x:v>0007</x:v>
      </x:c>
      <x:c r="E371" s="7" t="str">
        <x:v>East</x:v>
      </x:c>
      <x:c r="F371" s="7" t="n">
        <x:v>1</x:v>
      </x:c>
      <x:c r="G371" s="7" t="n">
        <x:v>280</x:v>
      </x:c>
      <x:c r="H371" s="9" t="n">
        <x:v>0</x:v>
      </x:c>
      <x:c r="I371" s="7" t="n">
        <x:v>280</x:v>
      </x:c>
    </x:row>
    <x:row r="372" ht="23" customHeight="1">
      <x:c r="A372" s="7" t="str">
        <x:v>INV00367</x:v>
      </x:c>
      <x:c r="B372" s="15" t="d">
        <x:v>2026-06-17T00:00:00.000Z</x:v>
      </x:c>
      <x:c r="C372" s="14" t="d">
        <x:v>2026-06-01T00:00:00.000Z</x:v>
      </x:c>
      <x:c r="D372" s="34" t="str">
        <x:v>0008</x:v>
      </x:c>
      <x:c r="E372" s="7" t="str">
        <x:v>East</x:v>
      </x:c>
      <x:c r="F372" s="7" t="n">
        <x:v>2</x:v>
      </x:c>
      <x:c r="G372" s="7" t="n">
        <x:v>300</x:v>
      </x:c>
      <x:c r="H372" s="9" t="n">
        <x:v>0.02</x:v>
      </x:c>
      <x:c r="I372" s="7" t="n">
        <x:v>588</x:v>
      </x:c>
    </x:row>
    <x:row r="373" ht="23" customHeight="1">
      <x:c r="A373" s="7" t="str">
        <x:v>INV00368</x:v>
      </x:c>
      <x:c r="B373" s="15" t="d">
        <x:v>2026-06-18T00:00:00.000Z</x:v>
      </x:c>
      <x:c r="C373" s="14" t="d">
        <x:v>2026-06-01T00:00:00.000Z</x:v>
      </x:c>
      <x:c r="D373" s="34" t="str">
        <x:v>0001</x:v>
      </x:c>
      <x:c r="E373" s="7" t="str">
        <x:v>West</x:v>
      </x:c>
      <x:c r="F373" s="7" t="n">
        <x:v>4</x:v>
      </x:c>
      <x:c r="G373" s="7" t="n">
        <x:v>160</x:v>
      </x:c>
      <x:c r="H373" s="9" t="n">
        <x:v>0.05</x:v>
      </x:c>
      <x:c r="I373" s="7" t="n">
        <x:v>608</x:v>
      </x:c>
    </x:row>
    <x:row r="374" ht="23" customHeight="1">
      <x:c r="A374" s="7" t="str">
        <x:v>INV00369</x:v>
      </x:c>
      <x:c r="B374" s="15" t="d">
        <x:v>2026-06-19T00:00:00.000Z</x:v>
      </x:c>
      <x:c r="C374" s="14" t="d">
        <x:v>2026-06-01T00:00:00.000Z</x:v>
      </x:c>
      <x:c r="D374" s="34" t="str">
        <x:v>0002</x:v>
      </x:c>
      <x:c r="E374" s="7" t="str">
        <x:v>West</x:v>
      </x:c>
      <x:c r="F374" s="7" t="n">
        <x:v>-6</x:v>
      </x:c>
      <x:c r="G374" s="7" t="n">
        <x:v>180</x:v>
      </x:c>
      <x:c r="H374" s="9" t="n">
        <x:v>0</x:v>
      </x:c>
      <x:c r="I374" s="7" t="n">
        <x:v>-1080</x:v>
      </x:c>
    </x:row>
    <x:row r="375" ht="23" customHeight="1">
      <x:c r="A375" s="7" t="str">
        <x:v>INV00370</x:v>
      </x:c>
      <x:c r="B375" s="15" t="d">
        <x:v>2026-06-20T00:00:00.000Z</x:v>
      </x:c>
      <x:c r="C375" s="14" t="d">
        <x:v>2026-06-01T00:00:00.000Z</x:v>
      </x:c>
      <x:c r="D375" s="34" t="str">
        <x:v>0003</x:v>
      </x:c>
      <x:c r="E375" s="7" t="str">
        <x:v>West</x:v>
      </x:c>
      <x:c r="F375" s="7" t="n">
        <x:v>6</x:v>
      </x:c>
      <x:c r="G375" s="7" t="n">
        <x:v>200</x:v>
      </x:c>
      <x:c r="H375" s="9" t="n">
        <x:v>0.02</x:v>
      </x:c>
      <x:c r="I375" s="7" t="n">
        <x:v>1176</x:v>
      </x:c>
    </x:row>
    <x:row r="376" ht="23" customHeight="1">
      <x:c r="A376" s="7" t="str">
        <x:v>INV00371</x:v>
      </x:c>
      <x:c r="B376" s="15" t="d">
        <x:v>2026-06-21T00:00:00.000Z</x:v>
      </x:c>
      <x:c r="C376" s="14" t="d">
        <x:v>2026-06-01T00:00:00.000Z</x:v>
      </x:c>
      <x:c r="D376" s="34" t="str">
        <x:v>0004</x:v>
      </x:c>
      <x:c r="E376" s="7" t="str">
        <x:v>West</x:v>
      </x:c>
      <x:c r="F376" s="7" t="n">
        <x:v>6</x:v>
      </x:c>
      <x:c r="G376" s="7" t="n">
        <x:v>220</x:v>
      </x:c>
      <x:c r="H376" s="9" t="n">
        <x:v>0.05</x:v>
      </x:c>
      <x:c r="I376" s="7" t="n">
        <x:v>1254</x:v>
      </x:c>
    </x:row>
    <x:row r="377" ht="23" customHeight="1">
      <x:c r="A377" s="7" t="str">
        <x:v>INV00372</x:v>
      </x:c>
      <x:c r="B377" s="15" t="d">
        <x:v>2026-06-22T00:00:00.000Z</x:v>
      </x:c>
      <x:c r="C377" s="14" t="d">
        <x:v>2026-06-01T00:00:00.000Z</x:v>
      </x:c>
      <x:c r="D377" s="34" t="str">
        <x:v>0005</x:v>
      </x:c>
      <x:c r="E377" s="7" t="str">
        <x:v>West</x:v>
      </x:c>
      <x:c r="F377" s="7" t="n">
        <x:v>7</x:v>
      </x:c>
      <x:c r="G377" s="7" t="n">
        <x:v>240</x:v>
      </x:c>
      <x:c r="H377" s="9" t="n">
        <x:v>0</x:v>
      </x:c>
      <x:c r="I377" s="7" t="n">
        <x:v>1680</x:v>
      </x:c>
    </x:row>
    <x:row r="378" ht="23" customHeight="1">
      <x:c r="A378" s="7" t="str">
        <x:v>INV00373</x:v>
      </x:c>
      <x:c r="B378" s="15" t="d">
        <x:v>2026-06-23T00:00:00.000Z</x:v>
      </x:c>
      <x:c r="C378" s="14" t="d">
        <x:v>2026-06-01T00:00:00.000Z</x:v>
      </x:c>
      <x:c r="D378" s="34" t="str">
        <x:v>0006</x:v>
      </x:c>
      <x:c r="E378" s="7" t="str">
        <x:v>West</x:v>
      </x:c>
      <x:c r="F378" s="7" t="n">
        <x:v>7</x:v>
      </x:c>
      <x:c r="G378" s="7" t="n">
        <x:v>260</x:v>
      </x:c>
      <x:c r="H378" s="9" t="n">
        <x:v>0.02</x:v>
      </x:c>
      <x:c r="I378" s="7" t="n">
        <x:v>1783.6</x:v>
      </x:c>
    </x:row>
    <x:row r="379" ht="23" customHeight="1">
      <x:c r="A379" s="7" t="str">
        <x:v>INV00374</x:v>
      </x:c>
      <x:c r="B379" s="15" t="d">
        <x:v>2026-06-24T00:00:00.000Z</x:v>
      </x:c>
      <x:c r="C379" s="14" t="d">
        <x:v>2026-06-01T00:00:00.000Z</x:v>
      </x:c>
      <x:c r="D379" s="34" t="str">
        <x:v>0007</x:v>
      </x:c>
      <x:c r="E379" s="7" t="str">
        <x:v>West</x:v>
      </x:c>
      <x:c r="F379" s="7" t="n">
        <x:v>2</x:v>
      </x:c>
      <x:c r="G379" s="7" t="n">
        <x:v>280</x:v>
      </x:c>
      <x:c r="H379" s="9" t="n">
        <x:v>0.05</x:v>
      </x:c>
      <x:c r="I379" s="7" t="n">
        <x:v>532</x:v>
      </x:c>
    </x:row>
    <x:row r="380" ht="23" customHeight="1">
      <x:c r="A380" s="7" t="str">
        <x:v>INV00375</x:v>
      </x:c>
      <x:c r="B380" s="15" t="d">
        <x:v>2026-06-25T00:00:00.000Z</x:v>
      </x:c>
      <x:c r="C380" s="14" t="d">
        <x:v>2026-06-01T00:00:00.000Z</x:v>
      </x:c>
      <x:c r="D380" s="34" t="str">
        <x:v>0008</x:v>
      </x:c>
      <x:c r="E380" s="7" t="str">
        <x:v>West</x:v>
      </x:c>
      <x:c r="F380" s="7" t="n">
        <x:v>3</x:v>
      </x:c>
      <x:c r="G380" s="7" t="n">
        <x:v>300</x:v>
      </x:c>
      <x:c r="H380" s="9" t="n">
        <x:v>0</x:v>
      </x:c>
      <x:c r="I380" s="7" t="n">
        <x:v>900</x:v>
      </x:c>
    </x:row>
    <x:row r="381" ht="23" customHeight="1">
      <x:c r="A381" s="7" t="str">
        <x:v>INV00376</x:v>
      </x:c>
      <x:c r="B381" s="15" t="d">
        <x:v>2026-06-26T00:00:00.000Z</x:v>
      </x:c>
      <x:c r="C381" s="14" t="d">
        <x:v>2026-06-01T00:00:00.000Z</x:v>
      </x:c>
      <x:c r="D381" s="34" t="str">
        <x:v>0001</x:v>
      </x:c>
      <x:c r="E381" s="7" t="str">
        <x:v>North</x:v>
      </x:c>
      <x:c r="F381" s="7" t="n">
        <x:v>1</x:v>
      </x:c>
      <x:c r="G381" s="7" t="n">
        <x:v>160</x:v>
      </x:c>
      <x:c r="H381" s="9" t="n">
        <x:v>0.02</x:v>
      </x:c>
      <x:c r="I381" s="7" t="n">
        <x:v>156.8</x:v>
      </x:c>
    </x:row>
    <x:row r="382" ht="23" customHeight="1">
      <x:c r="A382" s="7" t="str">
        <x:v>INV00377</x:v>
      </x:c>
      <x:c r="B382" s="15" t="d">
        <x:v>2026-06-27T00:00:00.000Z</x:v>
      </x:c>
      <x:c r="C382" s="14" t="d">
        <x:v>2026-06-01T00:00:00.000Z</x:v>
      </x:c>
      <x:c r="D382" s="34" t="str">
        <x:v>0002</x:v>
      </x:c>
      <x:c r="E382" s="7" t="str">
        <x:v>North</x:v>
      </x:c>
      <x:c r="F382" s="7" t="n">
        <x:v>4</x:v>
      </x:c>
      <x:c r="G382" s="7" t="n">
        <x:v>180</x:v>
      </x:c>
      <x:c r="H382" s="9" t="n">
        <x:v>0.05</x:v>
      </x:c>
      <x:c r="I382" s="7" t="n">
        <x:v>684</x:v>
      </x:c>
    </x:row>
    <x:row r="383" ht="23" customHeight="1">
      <x:c r="A383" s="7" t="str">
        <x:v>INV00378</x:v>
      </x:c>
      <x:c r="B383" s="15" t="d">
        <x:v>2026-06-01T00:00:00.000Z</x:v>
      </x:c>
      <x:c r="C383" s="14" t="d">
        <x:v>2026-06-01T00:00:00.000Z</x:v>
      </x:c>
      <x:c r="D383" s="34" t="str">
        <x:v>0003</x:v>
      </x:c>
      <x:c r="E383" s="7" t="str">
        <x:v>North</x:v>
      </x:c>
      <x:c r="F383" s="7" t="n">
        <x:v>6</x:v>
      </x:c>
      <x:c r="G383" s="7" t="n">
        <x:v>200</x:v>
      </x:c>
      <x:c r="H383" s="9" t="n">
        <x:v>0</x:v>
      </x:c>
      <x:c r="I383" s="7" t="n">
        <x:v>1200</x:v>
      </x:c>
    </x:row>
    <x:row r="384" ht="23" customHeight="1">
      <x:c r="A384" s="7" t="str">
        <x:v>INV00379</x:v>
      </x:c>
      <x:c r="B384" s="15" t="d">
        <x:v>2026-06-02T00:00:00.000Z</x:v>
      </x:c>
      <x:c r="C384" s="14" t="d">
        <x:v>2026-06-01T00:00:00.000Z</x:v>
      </x:c>
      <x:c r="D384" s="34" t="str">
        <x:v>0004</x:v>
      </x:c>
      <x:c r="E384" s="7" t="str">
        <x:v>North</x:v>
      </x:c>
      <x:c r="F384" s="7" t="n">
        <x:v>7</x:v>
      </x:c>
      <x:c r="G384" s="7" t="n">
        <x:v>220</x:v>
      </x:c>
      <x:c r="H384" s="9" t="n">
        <x:v>0.02</x:v>
      </x:c>
      <x:c r="I384" s="7" t="n">
        <x:v>1509.2</x:v>
      </x:c>
    </x:row>
    <x:row r="385" ht="23" customHeight="1">
      <x:c r="A385" s="7" t="str">
        <x:v>INV00380</x:v>
      </x:c>
      <x:c r="B385" s="15" t="d">
        <x:v>2026-06-03T00:00:00.000Z</x:v>
      </x:c>
      <x:c r="C385" s="14" t="d">
        <x:v>2026-06-01T00:00:00.000Z</x:v>
      </x:c>
      <x:c r="D385" s="34" t="str">
        <x:v>0005</x:v>
      </x:c>
      <x:c r="E385" s="7" t="str">
        <x:v>North</x:v>
      </x:c>
      <x:c r="F385" s="7" t="n">
        <x:v>6</x:v>
      </x:c>
      <x:c r="G385" s="7" t="n">
        <x:v>240</x:v>
      </x:c>
      <x:c r="H385" s="9" t="n">
        <x:v>0.05</x:v>
      </x:c>
      <x:c r="I385" s="7" t="n">
        <x:v>1368</x:v>
      </x:c>
    </x:row>
    <x:row r="386" ht="23" customHeight="1">
      <x:c r="A386" s="7" t="str">
        <x:v>INV00381</x:v>
      </x:c>
      <x:c r="B386" s="15" t="d">
        <x:v>2026-06-04T00:00:00.000Z</x:v>
      </x:c>
      <x:c r="C386" s="14" t="d">
        <x:v>2026-06-01T00:00:00.000Z</x:v>
      </x:c>
      <x:c r="D386" s="34" t="str">
        <x:v>0006</x:v>
      </x:c>
      <x:c r="E386" s="7" t="str">
        <x:v>North</x:v>
      </x:c>
      <x:c r="F386" s="7" t="n">
        <x:v>3</x:v>
      </x:c>
      <x:c r="G386" s="7" t="n">
        <x:v>260</x:v>
      </x:c>
      <x:c r="H386" s="9" t="n">
        <x:v>0</x:v>
      </x:c>
      <x:c r="I386" s="7" t="n">
        <x:v>780</x:v>
      </x:c>
    </x:row>
    <x:row r="387" ht="23" customHeight="1">
      <x:c r="A387" s="7" t="str">
        <x:v>INV00382</x:v>
      </x:c>
      <x:c r="B387" s="15" t="d">
        <x:v>2026-06-05T00:00:00.000Z</x:v>
      </x:c>
      <x:c r="C387" s="14" t="d">
        <x:v>2026-06-01T00:00:00.000Z</x:v>
      </x:c>
      <x:c r="D387" s="34" t="str">
        <x:v>0007</x:v>
      </x:c>
      <x:c r="E387" s="7" t="str">
        <x:v>North</x:v>
      </x:c>
      <x:c r="F387" s="7" t="n">
        <x:v>2</x:v>
      </x:c>
      <x:c r="G387" s="7" t="n">
        <x:v>280</x:v>
      </x:c>
      <x:c r="H387" s="9" t="n">
        <x:v>0.02</x:v>
      </x:c>
      <x:c r="I387" s="7" t="n">
        <x:v>548.8</x:v>
      </x:c>
    </x:row>
    <x:row r="388" ht="23" customHeight="1">
      <x:c r="A388" s="7" t="str">
        <x:v>INV00383</x:v>
      </x:c>
      <x:c r="B388" s="15" t="d">
        <x:v>2026-06-06T00:00:00.000Z</x:v>
      </x:c>
      <x:c r="C388" s="14" t="d">
        <x:v>2026-06-01T00:00:00.000Z</x:v>
      </x:c>
      <x:c r="D388" s="34" t="str">
        <x:v>0008</x:v>
      </x:c>
      <x:c r="E388" s="7" t="str">
        <x:v>North</x:v>
      </x:c>
      <x:c r="F388" s="7" t="n">
        <x:v>4</x:v>
      </x:c>
      <x:c r="G388" s="7" t="n">
        <x:v>300</x:v>
      </x:c>
      <x:c r="H388" s="9" t="n">
        <x:v>0.05</x:v>
      </x:c>
      <x:c r="I388" s="7" t="n">
        <x:v>1140</x:v>
      </x:c>
    </x:row>
    <x:row r="389" ht="23" customHeight="1">
      <x:c r="A389" s="7" t="str">
        <x:v>INV00384</x:v>
      </x:c>
      <x:c r="B389" s="15" t="d">
        <x:v>2026-01-07T00:00:00.000Z</x:v>
      </x:c>
      <x:c r="C389" s="14" t="d">
        <x:v>2026-01-01T00:00:00.000Z</x:v>
      </x:c>
      <x:c r="D389" s="34" t="str">
        <x:v>0001</x:v>
      </x:c>
      <x:c r="E389" s="7" t="str">
        <x:v>Central</x:v>
      </x:c>
      <x:c r="F389" s="7" t="n">
        <x:v>1</x:v>
      </x:c>
      <x:c r="G389" s="7" t="n">
        <x:v>160</x:v>
      </x:c>
      <x:c r="H389" s="9" t="n">
        <x:v>0</x:v>
      </x:c>
      <x:c r="I389" s="7" t="n">
        <x:v>160</x:v>
      </x:c>
    </x:row>
    <x:row r="390" ht="23" customHeight="1">
      <x:c r="A390" s="7" t="str">
        <x:v>INV00385</x:v>
      </x:c>
      <x:c r="B390" s="15" t="d">
        <x:v>2026-01-08T00:00:00.000Z</x:v>
      </x:c>
      <x:c r="C390" s="14" t="d">
        <x:v>2026-01-01T00:00:00.000Z</x:v>
      </x:c>
      <x:c r="D390" s="34" t="str">
        <x:v>0002</x:v>
      </x:c>
      <x:c r="E390" s="7" t="str">
        <x:v>Central</x:v>
      </x:c>
      <x:c r="F390" s="7" t="n">
        <x:v>4</x:v>
      </x:c>
      <x:c r="G390" s="7" t="n">
        <x:v>180</x:v>
      </x:c>
      <x:c r="H390" s="9" t="n">
        <x:v>0.02</x:v>
      </x:c>
      <x:c r="I390" s="7" t="n">
        <x:v>705.6</x:v>
      </x:c>
    </x:row>
    <x:row r="391" ht="23" customHeight="1">
      <x:c r="A391" s="7" t="str">
        <x:v>INV00386</x:v>
      </x:c>
      <x:c r="B391" s="15" t="d">
        <x:v>2026-01-09T00:00:00.000Z</x:v>
      </x:c>
      <x:c r="C391" s="14" t="d">
        <x:v>2026-01-01T00:00:00.000Z</x:v>
      </x:c>
      <x:c r="D391" s="34" t="str">
        <x:v>0003</x:v>
      </x:c>
      <x:c r="E391" s="7" t="str">
        <x:v>Central</x:v>
      </x:c>
      <x:c r="F391" s="7" t="n">
        <x:v>2</x:v>
      </x:c>
      <x:c r="G391" s="7" t="n">
        <x:v>200</x:v>
      </x:c>
      <x:c r="H391" s="9" t="n">
        <x:v>0.05</x:v>
      </x:c>
      <x:c r="I391" s="7" t="n">
        <x:v>380</x:v>
      </x:c>
    </x:row>
    <x:row r="392" ht="23" customHeight="1">
      <x:c r="A392" s="7" t="str">
        <x:v>INV00387</x:v>
      </x:c>
      <x:c r="B392" s="15" t="d">
        <x:v>2026-01-10T00:00:00.000Z</x:v>
      </x:c>
      <x:c r="C392" s="14" t="d">
        <x:v>2026-01-01T00:00:00.000Z</x:v>
      </x:c>
      <x:c r="D392" s="34" t="str">
        <x:v>0004</x:v>
      </x:c>
      <x:c r="E392" s="7" t="str">
        <x:v>Central</x:v>
      </x:c>
      <x:c r="F392" s="7" t="n">
        <x:v>1</x:v>
      </x:c>
      <x:c r="G392" s="7" t="n">
        <x:v>220</x:v>
      </x:c>
      <x:c r="H392" s="9" t="n">
        <x:v>0</x:v>
      </x:c>
      <x:c r="I392" s="7" t="n">
        <x:v>220</x:v>
      </x:c>
    </x:row>
    <x:row r="393" ht="23" customHeight="1">
      <x:c r="A393" s="7" t="str">
        <x:v>INV00388</x:v>
      </x:c>
      <x:c r="B393" s="15" t="d">
        <x:v>2026-01-11T00:00:00.000Z</x:v>
      </x:c>
      <x:c r="C393" s="14" t="d">
        <x:v>2026-01-01T00:00:00.000Z</x:v>
      </x:c>
      <x:c r="D393" s="34" t="str">
        <x:v>0005</x:v>
      </x:c>
      <x:c r="E393" s="7" t="str">
        <x:v>Central</x:v>
      </x:c>
      <x:c r="F393" s="7" t="n">
        <x:v>4</x:v>
      </x:c>
      <x:c r="G393" s="7" t="n">
        <x:v>240</x:v>
      </x:c>
      <x:c r="H393" s="9" t="n">
        <x:v>0.02</x:v>
      </x:c>
      <x:c r="I393" s="7" t="n">
        <x:v>940.8</x:v>
      </x:c>
    </x:row>
    <x:row r="394" ht="23" customHeight="1">
      <x:c r="A394" s="7" t="str">
        <x:v>INV00389</x:v>
      </x:c>
      <x:c r="B394" s="15" t="d">
        <x:v>2026-01-12T00:00:00.000Z</x:v>
      </x:c>
      <x:c r="C394" s="14" t="d">
        <x:v>2026-01-01T00:00:00.000Z</x:v>
      </x:c>
      <x:c r="D394" s="34" t="str">
        <x:v>0006</x:v>
      </x:c>
      <x:c r="E394" s="7" t="str">
        <x:v>Central</x:v>
      </x:c>
      <x:c r="F394" s="7" t="n">
        <x:v>7</x:v>
      </x:c>
      <x:c r="G394" s="7" t="n">
        <x:v>260</x:v>
      </x:c>
      <x:c r="H394" s="9" t="n">
        <x:v>0.05</x:v>
      </x:c>
      <x:c r="I394" s="7" t="n">
        <x:v>1729</x:v>
      </x:c>
    </x:row>
    <x:row r="395" ht="23" customHeight="1">
      <x:c r="A395" s="7" t="str">
        <x:v>INV00390</x:v>
      </x:c>
      <x:c r="B395" s="15" t="d">
        <x:v>2026-01-13T00:00:00.000Z</x:v>
      </x:c>
      <x:c r="C395" s="14" t="d">
        <x:v>2026-01-01T00:00:00.000Z</x:v>
      </x:c>
      <x:c r="D395" s="34" t="str">
        <x:v>0007</x:v>
      </x:c>
      <x:c r="E395" s="7" t="str">
        <x:v>Central</x:v>
      </x:c>
      <x:c r="F395" s="7" t="n">
        <x:v>6</x:v>
      </x:c>
      <x:c r="G395" s="7" t="n">
        <x:v>280</x:v>
      </x:c>
      <x:c r="H395" s="9" t="n">
        <x:v>0</x:v>
      </x:c>
      <x:c r="I395" s="7" t="n">
        <x:v>1680</x:v>
      </x:c>
    </x:row>
    <x:row r="396" ht="23" customHeight="1">
      <x:c r="A396" s="7" t="str">
        <x:v>INV00391</x:v>
      </x:c>
      <x:c r="B396" s="15" t="d">
        <x:v>2026-01-14T00:00:00.000Z</x:v>
      </x:c>
      <x:c r="C396" s="14" t="d">
        <x:v>2026-01-01T00:00:00.000Z</x:v>
      </x:c>
      <x:c r="D396" s="34" t="str">
        <x:v>0008</x:v>
      </x:c>
      <x:c r="E396" s="7" t="str">
        <x:v>Central</x:v>
      </x:c>
      <x:c r="F396" s="7" t="n">
        <x:v>1</x:v>
      </x:c>
      <x:c r="G396" s="7" t="n">
        <x:v>300</x:v>
      </x:c>
      <x:c r="H396" s="9" t="n">
        <x:v>0.02</x:v>
      </x:c>
      <x:c r="I396" s="7" t="n">
        <x:v>294</x:v>
      </x:c>
    </x:row>
    <x:row r="397" ht="23" customHeight="1">
      <x:c r="A397" s="7" t="str">
        <x:v>INV00392</x:v>
      </x:c>
      <x:c r="B397" s="15" t="d">
        <x:v>2026-01-15T00:00:00.000Z</x:v>
      </x:c>
      <x:c r="C397" s="14" t="d">
        <x:v>2026-01-01T00:00:00.000Z</x:v>
      </x:c>
      <x:c r="D397" s="34" t="str">
        <x:v>0001</x:v>
      </x:c>
      <x:c r="E397" s="7" t="str">
        <x:v>East</x:v>
      </x:c>
      <x:c r="F397" s="7" t="n">
        <x:v>5</x:v>
      </x:c>
      <x:c r="G397" s="7" t="n">
        <x:v>160</x:v>
      </x:c>
      <x:c r="H397" s="9" t="n">
        <x:v>0.05</x:v>
      </x:c>
      <x:c r="I397" s="7" t="n">
        <x:v>760</x:v>
      </x:c>
    </x:row>
    <x:row r="398" ht="23" customHeight="1">
      <x:c r="A398" s="7" t="str">
        <x:v>INV00393</x:v>
      </x:c>
      <x:c r="B398" s="15" t="d">
        <x:v>2026-01-16T00:00:00.000Z</x:v>
      </x:c>
      <x:c r="C398" s="14" t="d">
        <x:v>2026-01-01T00:00:00.000Z</x:v>
      </x:c>
      <x:c r="D398" s="34" t="str">
        <x:v>0002</x:v>
      </x:c>
      <x:c r="E398" s="7" t="str">
        <x:v>East</x:v>
      </x:c>
      <x:c r="F398" s="7" t="n">
        <x:v>2</x:v>
      </x:c>
      <x:c r="G398" s="7" t="n">
        <x:v>180</x:v>
      </x:c>
      <x:c r="H398" s="9" t="n">
        <x:v>0</x:v>
      </x:c>
      <x:c r="I398" s="7" t="n">
        <x:v>360</x:v>
      </x:c>
    </x:row>
    <x:row r="399" ht="23" customHeight="1">
      <x:c r="A399" s="7" t="str">
        <x:v>INV00394</x:v>
      </x:c>
      <x:c r="B399" s="15" t="d">
        <x:v>2026-01-17T00:00:00.000Z</x:v>
      </x:c>
      <x:c r="C399" s="14" t="d">
        <x:v>2026-01-01T00:00:00.000Z</x:v>
      </x:c>
      <x:c r="D399" s="34" t="str">
        <x:v>0003</x:v>
      </x:c>
      <x:c r="E399" s="7" t="str">
        <x:v>East</x:v>
      </x:c>
      <x:c r="F399" s="7" t="n">
        <x:v>7</x:v>
      </x:c>
      <x:c r="G399" s="7" t="n">
        <x:v>200</x:v>
      </x:c>
      <x:c r="H399" s="9" t="n">
        <x:v>0.02</x:v>
      </x:c>
      <x:c r="I399" s="7" t="n">
        <x:v>1372</x:v>
      </x:c>
    </x:row>
    <x:row r="400" ht="23" customHeight="1">
      <x:c r="A400" s="7" t="str">
        <x:v>INV00395</x:v>
      </x:c>
      <x:c r="B400" s="15" t="d">
        <x:v>2026-01-18T00:00:00.000Z</x:v>
      </x:c>
      <x:c r="C400" s="14" t="d">
        <x:v>2026-01-01T00:00:00.000Z</x:v>
      </x:c>
      <x:c r="D400" s="34" t="str">
        <x:v>0004</x:v>
      </x:c>
      <x:c r="E400" s="7" t="str">
        <x:v>East</x:v>
      </x:c>
      <x:c r="F400" s="7" t="n">
        <x:v>4</x:v>
      </x:c>
      <x:c r="G400" s="7" t="n">
        <x:v>220</x:v>
      </x:c>
      <x:c r="H400" s="9" t="n">
        <x:v>0.05</x:v>
      </x:c>
      <x:c r="I400" s="7" t="n">
        <x:v>836</x:v>
      </x:c>
    </x:row>
    <x:row r="401" ht="23" customHeight="1">
      <x:c r="A401" s="7" t="str">
        <x:v>INV00396</x:v>
      </x:c>
      <x:c r="B401" s="15" t="d">
        <x:v>2026-01-19T00:00:00.000Z</x:v>
      </x:c>
      <x:c r="C401" s="14" t="d">
        <x:v>2026-01-01T00:00:00.000Z</x:v>
      </x:c>
      <x:c r="D401" s="34" t="str">
        <x:v>0005</x:v>
      </x:c>
      <x:c r="E401" s="7" t="str">
        <x:v>East</x:v>
      </x:c>
      <x:c r="F401" s="7" t="n">
        <x:v>5</x:v>
      </x:c>
      <x:c r="G401" s="7" t="n">
        <x:v>240</x:v>
      </x:c>
      <x:c r="H401" s="9" t="n">
        <x:v>0</x:v>
      </x:c>
      <x:c r="I401" s="7" t="n">
        <x:v>1200</x:v>
      </x:c>
    </x:row>
    <x:row r="402" ht="23" customHeight="1">
      <x:c r="A402" s="7" t="str">
        <x:v>INV00397</x:v>
      </x:c>
      <x:c r="B402" s="15" t="d">
        <x:v>2026-01-20T00:00:00.000Z</x:v>
      </x:c>
      <x:c r="C402" s="14" t="d">
        <x:v>2026-01-01T00:00:00.000Z</x:v>
      </x:c>
      <x:c r="D402" s="34" t="str">
        <x:v>0006</x:v>
      </x:c>
      <x:c r="E402" s="7" t="str">
        <x:v>East</x:v>
      </x:c>
      <x:c r="F402" s="7" t="n">
        <x:v>7</x:v>
      </x:c>
      <x:c r="G402" s="7" t="n">
        <x:v>260</x:v>
      </x:c>
      <x:c r="H402" s="9" t="n">
        <x:v>0.02</x:v>
      </x:c>
      <x:c r="I402" s="7" t="n">
        <x:v>1783.6</x:v>
      </x:c>
    </x:row>
    <x:row r="403" ht="23" customHeight="1">
      <x:c r="A403" s="7" t="str">
        <x:v>INV00398</x:v>
      </x:c>
      <x:c r="B403" s="15" t="d">
        <x:v>2026-01-21T00:00:00.000Z</x:v>
      </x:c>
      <x:c r="C403" s="14" t="d">
        <x:v>2026-01-01T00:00:00.000Z</x:v>
      </x:c>
      <x:c r="D403" s="34" t="str">
        <x:v>0007</x:v>
      </x:c>
      <x:c r="E403" s="7" t="str">
        <x:v>East</x:v>
      </x:c>
      <x:c r="F403" s="7" t="n">
        <x:v>4</x:v>
      </x:c>
      <x:c r="G403" s="7" t="n">
        <x:v>280</x:v>
      </x:c>
      <x:c r="H403" s="9" t="n">
        <x:v>0.05</x:v>
      </x:c>
      <x:c r="I403" s="7" t="n">
        <x:v>1064</x:v>
      </x:c>
    </x:row>
    <x:row r="404" ht="23" customHeight="1">
      <x:c r="A404" s="7" t="str">
        <x:v>INV00399</x:v>
      </x:c>
      <x:c r="B404" s="15" t="d">
        <x:v>2026-01-22T00:00:00.000Z</x:v>
      </x:c>
      <x:c r="C404" s="14" t="d">
        <x:v>2026-01-01T00:00:00.000Z</x:v>
      </x:c>
      <x:c r="D404" s="34" t="str">
        <x:v>0008</x:v>
      </x:c>
      <x:c r="E404" s="7" t="str">
        <x:v>East</x:v>
      </x:c>
      <x:c r="F404" s="7" t="n">
        <x:v>7</x:v>
      </x:c>
      <x:c r="G404" s="7" t="n">
        <x:v>300</x:v>
      </x:c>
      <x:c r="H404" s="9" t="n">
        <x:v>0</x:v>
      </x:c>
      <x:c r="I404" s="7" t="n">
        <x:v>2100</x:v>
      </x:c>
    </x:row>
    <x:row r="405" ht="23" customHeight="1">
      <x:c r="A405" s="7" t="str">
        <x:v>INV00400</x:v>
      </x:c>
      <x:c r="B405" s="15" t="d">
        <x:v>2026-01-23T00:00:00.000Z</x:v>
      </x:c>
      <x:c r="C405" s="14" t="d">
        <x:v>2026-01-01T00:00:00.000Z</x:v>
      </x:c>
      <x:c r="D405" s="34" t="str">
        <x:v>0001</x:v>
      </x:c>
      <x:c r="E405" s="7" t="str">
        <x:v>West</x:v>
      </x:c>
      <x:c r="F405" s="7" t="n">
        <x:v>3</x:v>
      </x:c>
      <x:c r="G405" s="7" t="n">
        <x:v>160</x:v>
      </x:c>
      <x:c r="H405" s="9" t="n">
        <x:v>0.02</x:v>
      </x:c>
      <x:c r="I405" s="7" t="n">
        <x:v>470.4</x:v>
      </x:c>
    </x:row>
    <x:row r="406" ht="23" customHeight="1">
      <x:c r="A406" s="7" t="str">
        <x:v>INV00401</x:v>
      </x:c>
      <x:c r="B406" s="15" t="d">
        <x:v>2026-01-24T00:00:00.000Z</x:v>
      </x:c>
      <x:c r="C406" s="14" t="d">
        <x:v>2026-01-01T00:00:00.000Z</x:v>
      </x:c>
      <x:c r="D406" s="34" t="str">
        <x:v>0002</x:v>
      </x:c>
      <x:c r="E406" s="7" t="str">
        <x:v>West</x:v>
      </x:c>
      <x:c r="F406" s="7" t="n">
        <x:v>2</x:v>
      </x:c>
      <x:c r="G406" s="7" t="n">
        <x:v>180</x:v>
      </x:c>
      <x:c r="H406" s="9" t="n">
        <x:v>0.05</x:v>
      </x:c>
      <x:c r="I406" s="7" t="n">
        <x:v>342</x:v>
      </x:c>
    </x:row>
    <x:row r="407" ht="23" customHeight="1">
      <x:c r="A407" s="7" t="str">
        <x:v>INV00402</x:v>
      </x:c>
      <x:c r="B407" s="15" t="d">
        <x:v>2026-01-25T00:00:00.000Z</x:v>
      </x:c>
      <x:c r="C407" s="14" t="d">
        <x:v>2026-01-01T00:00:00.000Z</x:v>
      </x:c>
      <x:c r="D407" s="34" t="str">
        <x:v>0003</x:v>
      </x:c>
      <x:c r="E407" s="7" t="str">
        <x:v>West</x:v>
      </x:c>
      <x:c r="F407" s="7" t="n">
        <x:v>2</x:v>
      </x:c>
      <x:c r="G407" s="7" t="n">
        <x:v>200</x:v>
      </x:c>
      <x:c r="H407" s="9" t="n">
        <x:v>0</x:v>
      </x:c>
      <x:c r="I407" s="7" t="n">
        <x:v>400</x:v>
      </x:c>
    </x:row>
    <x:row r="408" ht="23" customHeight="1">
      <x:c r="A408" s="7" t="str">
        <x:v>INV00403</x:v>
      </x:c>
      <x:c r="B408" s="15" t="d">
        <x:v>2026-01-26T00:00:00.000Z</x:v>
      </x:c>
      <x:c r="C408" s="14" t="d">
        <x:v>2026-01-01T00:00:00.000Z</x:v>
      </x:c>
      <x:c r="D408" s="34" t="str">
        <x:v>0004</x:v>
      </x:c>
      <x:c r="E408" s="7" t="str">
        <x:v>West</x:v>
      </x:c>
      <x:c r="F408" s="7" t="n">
        <x:v>1</x:v>
      </x:c>
      <x:c r="G408" s="7" t="n">
        <x:v>220</x:v>
      </x:c>
      <x:c r="H408" s="9" t="n">
        <x:v>0.02</x:v>
      </x:c>
      <x:c r="I408" s="7" t="n">
        <x:v>215.6</x:v>
      </x:c>
    </x:row>
    <x:row r="409" ht="23" customHeight="1">
      <x:c r="A409" s="7" t="str">
        <x:v>INV00404</x:v>
      </x:c>
      <x:c r="B409" s="15" t="d">
        <x:v>2026-01-27T00:00:00.000Z</x:v>
      </x:c>
      <x:c r="C409" s="14" t="d">
        <x:v>2026-01-01T00:00:00.000Z</x:v>
      </x:c>
      <x:c r="D409" s="34" t="str">
        <x:v>0005</x:v>
      </x:c>
      <x:c r="E409" s="7" t="str">
        <x:v>West</x:v>
      </x:c>
      <x:c r="F409" s="7" t="n">
        <x:v>4</x:v>
      </x:c>
      <x:c r="G409" s="7" t="n">
        <x:v>240</x:v>
      </x:c>
      <x:c r="H409" s="9" t="n">
        <x:v>0.05</x:v>
      </x:c>
      <x:c r="I409" s="7" t="n">
        <x:v>912</x:v>
      </x:c>
    </x:row>
    <x:row r="410" ht="23" customHeight="1">
      <x:c r="A410" s="7" t="str">
        <x:v>INV00405</x:v>
      </x:c>
      <x:c r="B410" s="15" t="d">
        <x:v>2026-01-01T00:00:00.000Z</x:v>
      </x:c>
      <x:c r="C410" s="14" t="d">
        <x:v>2026-01-01T00:00:00.000Z</x:v>
      </x:c>
      <x:c r="D410" s="34" t="str">
        <x:v>0006</x:v>
      </x:c>
      <x:c r="E410" s="7" t="str">
        <x:v>West</x:v>
      </x:c>
      <x:c r="F410" s="7" t="n">
        <x:v>2</x:v>
      </x:c>
      <x:c r="G410" s="7" t="n">
        <x:v>260</x:v>
      </x:c>
      <x:c r="H410" s="9" t="n">
        <x:v>0</x:v>
      </x:c>
      <x:c r="I410" s="7" t="n">
        <x:v>520</x:v>
      </x:c>
    </x:row>
    <x:row r="411" ht="23" customHeight="1">
      <x:c r="A411" s="7" t="str">
        <x:v>INV00406</x:v>
      </x:c>
      <x:c r="B411" s="15" t="d">
        <x:v>2026-01-02T00:00:00.000Z</x:v>
      </x:c>
      <x:c r="C411" s="14" t="d">
        <x:v>2026-01-01T00:00:00.000Z</x:v>
      </x:c>
      <x:c r="D411" s="34" t="str">
        <x:v>0007</x:v>
      </x:c>
      <x:c r="E411" s="7" t="str">
        <x:v>West</x:v>
      </x:c>
      <x:c r="F411" s="7" t="n">
        <x:v>6</x:v>
      </x:c>
      <x:c r="G411" s="7" t="n">
        <x:v>280</x:v>
      </x:c>
      <x:c r="H411" s="9" t="n">
        <x:v>0.02</x:v>
      </x:c>
      <x:c r="I411" s="7" t="n">
        <x:v>1646.4</x:v>
      </x:c>
    </x:row>
    <x:row r="412" ht="23" customHeight="1">
      <x:c r="A412" s="7" t="str">
        <x:v>INV00407</x:v>
      </x:c>
      <x:c r="B412" s="15" t="d">
        <x:v>2026-01-03T00:00:00.000Z</x:v>
      </x:c>
      <x:c r="C412" s="14" t="d">
        <x:v>2026-01-01T00:00:00.000Z</x:v>
      </x:c>
      <x:c r="D412" s="34" t="str">
        <x:v>0008</x:v>
      </x:c>
      <x:c r="E412" s="7" t="str">
        <x:v>West</x:v>
      </x:c>
      <x:c r="F412" s="7" t="n">
        <x:v>1</x:v>
      </x:c>
      <x:c r="G412" s="7" t="n">
        <x:v>300</x:v>
      </x:c>
      <x:c r="H412" s="9" t="n">
        <x:v>0.05</x:v>
      </x:c>
      <x:c r="I412" s="7" t="n">
        <x:v>285</x:v>
      </x:c>
    </x:row>
    <x:row r="413" ht="23" customHeight="1">
      <x:c r="A413" s="7" t="str">
        <x:v>INV00408</x:v>
      </x:c>
      <x:c r="B413" s="15" t="d">
        <x:v>2026-01-04T00:00:00.000Z</x:v>
      </x:c>
      <x:c r="C413" s="14" t="d">
        <x:v>2026-01-01T00:00:00.000Z</x:v>
      </x:c>
      <x:c r="D413" s="34" t="str">
        <x:v>0001</x:v>
      </x:c>
      <x:c r="E413" s="7" t="str">
        <x:v>North</x:v>
      </x:c>
      <x:c r="F413" s="7" t="n">
        <x:v>1</x:v>
      </x:c>
      <x:c r="G413" s="7" t="n">
        <x:v>160</x:v>
      </x:c>
      <x:c r="H413" s="9" t="n">
        <x:v>0</x:v>
      </x:c>
      <x:c r="I413" s="7" t="n">
        <x:v>160</x:v>
      </x:c>
    </x:row>
    <x:row r="414" ht="23" customHeight="1">
      <x:c r="A414" s="7" t="str">
        <x:v>INV00409</x:v>
      </x:c>
      <x:c r="B414" s="15" t="d">
        <x:v>2026-01-05T00:00:00.000Z</x:v>
      </x:c>
      <x:c r="C414" s="14" t="d">
        <x:v>2026-01-01T00:00:00.000Z</x:v>
      </x:c>
      <x:c r="D414" s="34" t="str">
        <x:v>0002</x:v>
      </x:c>
      <x:c r="E414" s="7" t="str">
        <x:v>North</x:v>
      </x:c>
      <x:c r="F414" s="7" t="n">
        <x:v>4</x:v>
      </x:c>
      <x:c r="G414" s="7" t="n">
        <x:v>180</x:v>
      </x:c>
      <x:c r="H414" s="9" t="n">
        <x:v>0.02</x:v>
      </x:c>
      <x:c r="I414" s="7" t="n">
        <x:v>705.6</x:v>
      </x:c>
    </x:row>
    <x:row r="415" ht="23" customHeight="1">
      <x:c r="A415" s="7" t="str">
        <x:v>INV00410</x:v>
      </x:c>
      <x:c r="B415" s="15" t="d">
        <x:v>2026-01-06T00:00:00.000Z</x:v>
      </x:c>
      <x:c r="C415" s="14" t="d">
        <x:v>2026-01-01T00:00:00.000Z</x:v>
      </x:c>
      <x:c r="D415" s="34" t="str">
        <x:v>0003</x:v>
      </x:c>
      <x:c r="E415" s="7" t="str">
        <x:v>North</x:v>
      </x:c>
      <x:c r="F415" s="7" t="n">
        <x:v>-2</x:v>
      </x:c>
      <x:c r="G415" s="7" t="n">
        <x:v>200</x:v>
      </x:c>
      <x:c r="H415" s="9" t="n">
        <x:v>0.05</x:v>
      </x:c>
      <x:c r="I415" s="7" t="n">
        <x:v>-380</x:v>
      </x:c>
    </x:row>
    <x:row r="416" ht="23" customHeight="1">
      <x:c r="A416" s="7" t="str">
        <x:v>INV00411</x:v>
      </x:c>
      <x:c r="B416" s="15" t="d">
        <x:v>2026-01-07T00:00:00.000Z</x:v>
      </x:c>
      <x:c r="C416" s="14" t="d">
        <x:v>2026-01-01T00:00:00.000Z</x:v>
      </x:c>
      <x:c r="D416" s="34" t="str">
        <x:v>0004</x:v>
      </x:c>
      <x:c r="E416" s="7" t="str">
        <x:v>North</x:v>
      </x:c>
      <x:c r="F416" s="7" t="n">
        <x:v>7</x:v>
      </x:c>
      <x:c r="G416" s="7" t="n">
        <x:v>220</x:v>
      </x:c>
      <x:c r="H416" s="9" t="n">
        <x:v>0</x:v>
      </x:c>
      <x:c r="I416" s="7" t="n">
        <x:v>1540</x:v>
      </x:c>
    </x:row>
    <x:row r="417" ht="23" customHeight="1">
      <x:c r="A417" s="7" t="str">
        <x:v>INV00412</x:v>
      </x:c>
      <x:c r="B417" s="15" t="d">
        <x:v>2026-01-08T00:00:00.000Z</x:v>
      </x:c>
      <x:c r="C417" s="14" t="d">
        <x:v>2026-01-01T00:00:00.000Z</x:v>
      </x:c>
      <x:c r="D417" s="34" t="str">
        <x:v>0005</x:v>
      </x:c>
      <x:c r="E417" s="7" t="str">
        <x:v>North</x:v>
      </x:c>
      <x:c r="F417" s="7" t="n">
        <x:v>3</x:v>
      </x:c>
      <x:c r="G417" s="7" t="n">
        <x:v>240</x:v>
      </x:c>
      <x:c r="H417" s="9" t="n">
        <x:v>0.02</x:v>
      </x:c>
      <x:c r="I417" s="7" t="n">
        <x:v>705.6</x:v>
      </x:c>
    </x:row>
    <x:row r="418" ht="23" customHeight="1">
      <x:c r="A418" s="7" t="str">
        <x:v>INV00413</x:v>
      </x:c>
      <x:c r="B418" s="15" t="d">
        <x:v>2026-01-09T00:00:00.000Z</x:v>
      </x:c>
      <x:c r="C418" s="14" t="d">
        <x:v>2026-01-01T00:00:00.000Z</x:v>
      </x:c>
      <x:c r="D418" s="34" t="str">
        <x:v>0006</x:v>
      </x:c>
      <x:c r="E418" s="7" t="str">
        <x:v>North</x:v>
      </x:c>
      <x:c r="F418" s="7" t="n">
        <x:v>5</x:v>
      </x:c>
      <x:c r="G418" s="7" t="n">
        <x:v>260</x:v>
      </x:c>
      <x:c r="H418" s="9" t="n">
        <x:v>0.05</x:v>
      </x:c>
      <x:c r="I418" s="7" t="n">
        <x:v>1235</x:v>
      </x:c>
    </x:row>
    <x:row r="419" ht="23" customHeight="1">
      <x:c r="A419" s="7" t="str">
        <x:v>INV00414</x:v>
      </x:c>
      <x:c r="B419" s="15" t="d">
        <x:v>2026-01-10T00:00:00.000Z</x:v>
      </x:c>
      <x:c r="C419" s="14" t="d">
        <x:v>2026-01-01T00:00:00.000Z</x:v>
      </x:c>
      <x:c r="D419" s="34" t="str">
        <x:v>0007</x:v>
      </x:c>
      <x:c r="E419" s="7" t="str">
        <x:v>North</x:v>
      </x:c>
      <x:c r="F419" s="7" t="n">
        <x:v>3</x:v>
      </x:c>
      <x:c r="G419" s="7" t="n">
        <x:v>280</x:v>
      </x:c>
      <x:c r="H419" s="9" t="n">
        <x:v>0</x:v>
      </x:c>
      <x:c r="I419" s="7" t="n">
        <x:v>840</x:v>
      </x:c>
    </x:row>
    <x:row r="420" ht="23" customHeight="1">
      <x:c r="A420" s="7" t="str">
        <x:v>INV00415</x:v>
      </x:c>
      <x:c r="B420" s="15" t="d">
        <x:v>2026-01-11T00:00:00.000Z</x:v>
      </x:c>
      <x:c r="C420" s="14" t="d">
        <x:v>2026-01-01T00:00:00.000Z</x:v>
      </x:c>
      <x:c r="D420" s="34" t="str">
        <x:v>0008</x:v>
      </x:c>
      <x:c r="E420" s="7" t="str">
        <x:v>North</x:v>
      </x:c>
      <x:c r="F420" s="7" t="n">
        <x:v>7</x:v>
      </x:c>
      <x:c r="G420" s="7" t="n">
        <x:v>300</x:v>
      </x:c>
      <x:c r="H420" s="9" t="n">
        <x:v>0.02</x:v>
      </x:c>
      <x:c r="I420" s="7" t="n">
        <x:v>2058</x:v>
      </x:c>
    </x:row>
    <x:row r="421" ht="23" customHeight="1">
      <x:c r="A421" s="7" t="str">
        <x:v>INV00416</x:v>
      </x:c>
      <x:c r="B421" s="15" t="d">
        <x:v>2026-02-12T00:00:00.000Z</x:v>
      </x:c>
      <x:c r="C421" s="14" t="d">
        <x:v>2026-02-01T00:00:00.000Z</x:v>
      </x:c>
      <x:c r="D421" s="34" t="str">
        <x:v>0001</x:v>
      </x:c>
      <x:c r="E421" s="7" t="str">
        <x:v>Central</x:v>
      </x:c>
      <x:c r="F421" s="7" t="n">
        <x:v>5</x:v>
      </x:c>
      <x:c r="G421" s="7" t="n">
        <x:v>160</x:v>
      </x:c>
      <x:c r="H421" s="9" t="n">
        <x:v>0.05</x:v>
      </x:c>
      <x:c r="I421" s="7" t="n">
        <x:v>760</x:v>
      </x:c>
    </x:row>
    <x:row r="422" ht="23" customHeight="1">
      <x:c r="A422" s="7" t="str">
        <x:v>INV00417</x:v>
      </x:c>
      <x:c r="B422" s="15" t="d">
        <x:v>2026-02-13T00:00:00.000Z</x:v>
      </x:c>
      <x:c r="C422" s="14" t="d">
        <x:v>2026-02-01T00:00:00.000Z</x:v>
      </x:c>
      <x:c r="D422" s="34" t="str">
        <x:v>0002</x:v>
      </x:c>
      <x:c r="E422" s="7" t="str">
        <x:v>Central</x:v>
      </x:c>
      <x:c r="F422" s="7" t="n">
        <x:v>4</x:v>
      </x:c>
      <x:c r="G422" s="7" t="n">
        <x:v>180</x:v>
      </x:c>
      <x:c r="H422" s="9" t="n">
        <x:v>0</x:v>
      </x:c>
      <x:c r="I422" s="7" t="n">
        <x:v>720</x:v>
      </x:c>
    </x:row>
    <x:row r="423" ht="23" customHeight="1">
      <x:c r="A423" s="7" t="str">
        <x:v>INV00418</x:v>
      </x:c>
      <x:c r="B423" s="15" t="d">
        <x:v>2026-02-14T00:00:00.000Z</x:v>
      </x:c>
      <x:c r="C423" s="14" t="d">
        <x:v>2026-02-01T00:00:00.000Z</x:v>
      </x:c>
      <x:c r="D423" s="34" t="str">
        <x:v>0003</x:v>
      </x:c>
      <x:c r="E423" s="7" t="str">
        <x:v>Central</x:v>
      </x:c>
      <x:c r="F423" s="7" t="n">
        <x:v>5</x:v>
      </x:c>
      <x:c r="G423" s="7" t="n">
        <x:v>200</x:v>
      </x:c>
      <x:c r="H423" s="9" t="n">
        <x:v>0.02</x:v>
      </x:c>
      <x:c r="I423" s="7" t="n">
        <x:v>980</x:v>
      </x:c>
    </x:row>
    <x:row r="424" ht="23" customHeight="1">
      <x:c r="A424" s="7" t="str">
        <x:v>INV00419</x:v>
      </x:c>
      <x:c r="B424" s="15" t="d">
        <x:v>2026-02-15T00:00:00.000Z</x:v>
      </x:c>
      <x:c r="C424" s="14" t="d">
        <x:v>2026-02-01T00:00:00.000Z</x:v>
      </x:c>
      <x:c r="D424" s="34" t="str">
        <x:v>0004</x:v>
      </x:c>
      <x:c r="E424" s="7" t="str">
        <x:v>Central</x:v>
      </x:c>
      <x:c r="F424" s="7" t="n">
        <x:v>3</x:v>
      </x:c>
      <x:c r="G424" s="7" t="n">
        <x:v>220</x:v>
      </x:c>
      <x:c r="H424" s="9" t="n">
        <x:v>0.05</x:v>
      </x:c>
      <x:c r="I424" s="7" t="n">
        <x:v>627</x:v>
      </x:c>
    </x:row>
    <x:row r="425" ht="23" customHeight="1">
      <x:c r="A425" s="7" t="str">
        <x:v>INV00420</x:v>
      </x:c>
      <x:c r="B425" s="15" t="d">
        <x:v>2026-02-16T00:00:00.000Z</x:v>
      </x:c>
      <x:c r="C425" s="14" t="d">
        <x:v>2026-02-01T00:00:00.000Z</x:v>
      </x:c>
      <x:c r="D425" s="34" t="str">
        <x:v>0005</x:v>
      </x:c>
      <x:c r="E425" s="7" t="str">
        <x:v>Central</x:v>
      </x:c>
      <x:c r="F425" s="7" t="n">
        <x:v>4</x:v>
      </x:c>
      <x:c r="G425" s="7" t="n">
        <x:v>240</x:v>
      </x:c>
      <x:c r="H425" s="9" t="n">
        <x:v>0</x:v>
      </x:c>
      <x:c r="I425" s="7" t="n">
        <x:v>960</x:v>
      </x:c>
    </x:row>
    <x:row r="426" ht="23" customHeight="1">
      <x:c r="A426" s="7" t="str">
        <x:v>INV00421</x:v>
      </x:c>
      <x:c r="B426" s="15" t="d">
        <x:v>2026-02-17T00:00:00.000Z</x:v>
      </x:c>
      <x:c r="C426" s="14" t="d">
        <x:v>2026-02-01T00:00:00.000Z</x:v>
      </x:c>
      <x:c r="D426" s="34" t="str">
        <x:v>0006</x:v>
      </x:c>
      <x:c r="E426" s="7" t="str">
        <x:v>Central</x:v>
      </x:c>
      <x:c r="F426" s="7" t="n">
        <x:v>6</x:v>
      </x:c>
      <x:c r="G426" s="7" t="n">
        <x:v>260</x:v>
      </x:c>
      <x:c r="H426" s="9" t="n">
        <x:v>0.02</x:v>
      </x:c>
      <x:c r="I426" s="7" t="n">
        <x:v>1528.8</x:v>
      </x:c>
    </x:row>
    <x:row r="427" ht="23" customHeight="1">
      <x:c r="A427" s="7" t="str">
        <x:v>INV00422</x:v>
      </x:c>
      <x:c r="B427" s="15" t="d">
        <x:v>2026-02-18T00:00:00.000Z</x:v>
      </x:c>
      <x:c r="C427" s="14" t="d">
        <x:v>2026-02-01T00:00:00.000Z</x:v>
      </x:c>
      <x:c r="D427" s="34" t="str">
        <x:v>0007</x:v>
      </x:c>
      <x:c r="E427" s="7" t="str">
        <x:v>Central</x:v>
      </x:c>
      <x:c r="F427" s="7" t="n">
        <x:v>4</x:v>
      </x:c>
      <x:c r="G427" s="7" t="n">
        <x:v>280</x:v>
      </x:c>
      <x:c r="H427" s="9" t="n">
        <x:v>0.05</x:v>
      </x:c>
      <x:c r="I427" s="7" t="n">
        <x:v>1064</x:v>
      </x:c>
    </x:row>
    <x:row r="428" ht="23" customHeight="1">
      <x:c r="A428" s="7" t="str">
        <x:v>INV00423</x:v>
      </x:c>
      <x:c r="B428" s="15" t="d">
        <x:v>2026-02-19T00:00:00.000Z</x:v>
      </x:c>
      <x:c r="C428" s="14" t="d">
        <x:v>2026-02-01T00:00:00.000Z</x:v>
      </x:c>
      <x:c r="D428" s="34" t="str">
        <x:v>0008</x:v>
      </x:c>
      <x:c r="E428" s="7" t="str">
        <x:v>Central</x:v>
      </x:c>
      <x:c r="F428" s="7" t="n">
        <x:v>2</x:v>
      </x:c>
      <x:c r="G428" s="7" t="n">
        <x:v>300</x:v>
      </x:c>
      <x:c r="H428" s="9" t="n">
        <x:v>0</x:v>
      </x:c>
      <x:c r="I428" s="7" t="n">
        <x:v>600</x:v>
      </x:c>
    </x:row>
    <x:row r="429" ht="23" customHeight="1">
      <x:c r="A429" s="7" t="str">
        <x:v>INV00424</x:v>
      </x:c>
      <x:c r="B429" s="15" t="d">
        <x:v>2026-02-20T00:00:00.000Z</x:v>
      </x:c>
      <x:c r="C429" s="14" t="d">
        <x:v>2026-02-01T00:00:00.000Z</x:v>
      </x:c>
      <x:c r="D429" s="34" t="str">
        <x:v>0001</x:v>
      </x:c>
      <x:c r="E429" s="7" t="str">
        <x:v>East</x:v>
      </x:c>
      <x:c r="F429" s="7" t="n">
        <x:v>5</x:v>
      </x:c>
      <x:c r="G429" s="7" t="n">
        <x:v>160</x:v>
      </x:c>
      <x:c r="H429" s="9" t="n">
        <x:v>0.02</x:v>
      </x:c>
      <x:c r="I429" s="7" t="n">
        <x:v>784</x:v>
      </x:c>
    </x:row>
    <x:row r="430" ht="23" customHeight="1">
      <x:c r="A430" s="7" t="str">
        <x:v>INV00425</x:v>
      </x:c>
      <x:c r="B430" s="15" t="d">
        <x:v>2026-02-21T00:00:00.000Z</x:v>
      </x:c>
      <x:c r="C430" s="14" t="d">
        <x:v>2026-02-01T00:00:00.000Z</x:v>
      </x:c>
      <x:c r="D430" s="34" t="str">
        <x:v>0002</x:v>
      </x:c>
      <x:c r="E430" s="7" t="str">
        <x:v>East</x:v>
      </x:c>
      <x:c r="F430" s="7" t="n">
        <x:v>1</x:v>
      </x:c>
      <x:c r="G430" s="7" t="n">
        <x:v>180</x:v>
      </x:c>
      <x:c r="H430" s="9" t="n">
        <x:v>0.05</x:v>
      </x:c>
      <x:c r="I430" s="7" t="n">
        <x:v>171</x:v>
      </x:c>
    </x:row>
    <x:row r="431" ht="23" customHeight="1">
      <x:c r="A431" s="7" t="str">
        <x:v>INV00426</x:v>
      </x:c>
      <x:c r="B431" s="15" t="d">
        <x:v>2026-02-22T00:00:00.000Z</x:v>
      </x:c>
      <x:c r="C431" s="14" t="d">
        <x:v>2026-02-01T00:00:00.000Z</x:v>
      </x:c>
      <x:c r="D431" s="34" t="str">
        <x:v>0003</x:v>
      </x:c>
      <x:c r="E431" s="7" t="str">
        <x:v>East</x:v>
      </x:c>
      <x:c r="F431" s="7" t="n">
        <x:v>5</x:v>
      </x:c>
      <x:c r="G431" s="7" t="n">
        <x:v>200</x:v>
      </x:c>
      <x:c r="H431" s="9" t="n">
        <x:v>0</x:v>
      </x:c>
      <x:c r="I431" s="7" t="n">
        <x:v>1000</x:v>
      </x:c>
    </x:row>
    <x:row r="432" ht="23" customHeight="1">
      <x:c r="A432" s="7" t="str">
        <x:v>INV00427</x:v>
      </x:c>
      <x:c r="B432" s="15" t="d">
        <x:v>2026-02-23T00:00:00.000Z</x:v>
      </x:c>
      <x:c r="C432" s="14" t="d">
        <x:v>2026-02-01T00:00:00.000Z</x:v>
      </x:c>
      <x:c r="D432" s="34" t="str">
        <x:v>0004</x:v>
      </x:c>
      <x:c r="E432" s="7" t="str">
        <x:v>East</x:v>
      </x:c>
      <x:c r="F432" s="7" t="n">
        <x:v>3</x:v>
      </x:c>
      <x:c r="G432" s="7" t="n">
        <x:v>220</x:v>
      </x:c>
      <x:c r="H432" s="9" t="n">
        <x:v>0.02</x:v>
      </x:c>
      <x:c r="I432" s="7" t="n">
        <x:v>646.8</x:v>
      </x:c>
    </x:row>
    <x:row r="433" ht="23" customHeight="1">
      <x:c r="A433" s="7" t="str">
        <x:v>INV00428</x:v>
      </x:c>
      <x:c r="B433" s="15" t="d">
        <x:v>2026-02-24T00:00:00.000Z</x:v>
      </x:c>
      <x:c r="C433" s="14" t="d">
        <x:v>2026-02-01T00:00:00.000Z</x:v>
      </x:c>
      <x:c r="D433" s="34" t="str">
        <x:v>0005</x:v>
      </x:c>
      <x:c r="E433" s="7" t="str">
        <x:v>East</x:v>
      </x:c>
      <x:c r="F433" s="7" t="n">
        <x:v>3</x:v>
      </x:c>
      <x:c r="G433" s="7" t="n">
        <x:v>240</x:v>
      </x:c>
      <x:c r="H433" s="9" t="n">
        <x:v>0.05</x:v>
      </x:c>
      <x:c r="I433" s="7" t="n">
        <x:v>684</x:v>
      </x:c>
    </x:row>
    <x:row r="434" ht="23" customHeight="1">
      <x:c r="A434" s="7" t="str">
        <x:v>INV00429</x:v>
      </x:c>
      <x:c r="B434" s="15" t="d">
        <x:v>2026-02-25T00:00:00.000Z</x:v>
      </x:c>
      <x:c r="C434" s="14" t="d">
        <x:v>2026-02-01T00:00:00.000Z</x:v>
      </x:c>
      <x:c r="D434" s="34" t="str">
        <x:v>0006</x:v>
      </x:c>
      <x:c r="E434" s="7" t="str">
        <x:v>East</x:v>
      </x:c>
      <x:c r="F434" s="7" t="n">
        <x:v>3</x:v>
      </x:c>
      <x:c r="G434" s="7" t="n">
        <x:v>260</x:v>
      </x:c>
      <x:c r="H434" s="9" t="n">
        <x:v>0</x:v>
      </x:c>
      <x:c r="I434" s="7" t="n">
        <x:v>780</x:v>
      </x:c>
    </x:row>
    <x:row r="435" ht="23" customHeight="1">
      <x:c r="A435" s="7" t="str">
        <x:v>INV00430</x:v>
      </x:c>
      <x:c r="B435" s="15" t="d">
        <x:v>2026-02-26T00:00:00.000Z</x:v>
      </x:c>
      <x:c r="C435" s="14" t="d">
        <x:v>2026-02-01T00:00:00.000Z</x:v>
      </x:c>
      <x:c r="D435" s="34" t="str">
        <x:v>0007</x:v>
      </x:c>
      <x:c r="E435" s="7" t="str">
        <x:v>East</x:v>
      </x:c>
      <x:c r="F435" s="7" t="n">
        <x:v>6</x:v>
      </x:c>
      <x:c r="G435" s="7" t="n">
        <x:v>280</x:v>
      </x:c>
      <x:c r="H435" s="9" t="n">
        <x:v>0.02</x:v>
      </x:c>
      <x:c r="I435" s="7" t="n">
        <x:v>1646.4</x:v>
      </x:c>
    </x:row>
    <x:row r="436" ht="23" customHeight="1">
      <x:c r="A436" s="7" t="str">
        <x:v>INV00431</x:v>
      </x:c>
      <x:c r="B436" s="15" t="d">
        <x:v>2026-02-27T00:00:00.000Z</x:v>
      </x:c>
      <x:c r="C436" s="14" t="d">
        <x:v>2026-02-01T00:00:00.000Z</x:v>
      </x:c>
      <x:c r="D436" s="34" t="str">
        <x:v>0008</x:v>
      </x:c>
      <x:c r="E436" s="7" t="str">
        <x:v>East</x:v>
      </x:c>
      <x:c r="F436" s="7" t="n">
        <x:v>4</x:v>
      </x:c>
      <x:c r="G436" s="7" t="n">
        <x:v>300</x:v>
      </x:c>
      <x:c r="H436" s="9" t="n">
        <x:v>0.05</x:v>
      </x:c>
      <x:c r="I436" s="7" t="n">
        <x:v>1140</x:v>
      </x:c>
    </x:row>
    <x:row r="437" ht="23" customHeight="1">
      <x:c r="A437" s="7" t="str">
        <x:v>INV00432</x:v>
      </x:c>
      <x:c r="B437" s="15" t="d">
        <x:v>2026-02-01T00:00:00.000Z</x:v>
      </x:c>
      <x:c r="C437" s="14" t="d">
        <x:v>2026-02-01T00:00:00.000Z</x:v>
      </x:c>
      <x:c r="D437" s="34" t="str">
        <x:v>0001</x:v>
      </x:c>
      <x:c r="E437" s="7" t="str">
        <x:v>West</x:v>
      </x:c>
      <x:c r="F437" s="7" t="n">
        <x:v>1</x:v>
      </x:c>
      <x:c r="G437" s="7" t="n">
        <x:v>160</x:v>
      </x:c>
      <x:c r="H437" s="9" t="n">
        <x:v>0</x:v>
      </x:c>
      <x:c r="I437" s="7" t="n">
        <x:v>160</x:v>
      </x:c>
    </x:row>
    <x:row r="438" ht="23" customHeight="1">
      <x:c r="A438" s="7" t="str">
        <x:v>INV00433</x:v>
      </x:c>
      <x:c r="B438" s="15" t="d">
        <x:v>2026-02-02T00:00:00.000Z</x:v>
      </x:c>
      <x:c r="C438" s="14" t="d">
        <x:v>2026-02-01T00:00:00.000Z</x:v>
      </x:c>
      <x:c r="D438" s="34" t="str">
        <x:v>0002</x:v>
      </x:c>
      <x:c r="E438" s="7" t="str">
        <x:v>West</x:v>
      </x:c>
      <x:c r="F438" s="7" t="n">
        <x:v>6</x:v>
      </x:c>
      <x:c r="G438" s="7" t="n">
        <x:v>180</x:v>
      </x:c>
      <x:c r="H438" s="9" t="n">
        <x:v>0.02</x:v>
      </x:c>
      <x:c r="I438" s="7" t="n">
        <x:v>1058.4</x:v>
      </x:c>
    </x:row>
    <x:row r="439" ht="23" customHeight="1">
      <x:c r="A439" s="7" t="str">
        <x:v>INV00434</x:v>
      </x:c>
      <x:c r="B439" s="15" t="d">
        <x:v>2026-02-03T00:00:00.000Z</x:v>
      </x:c>
      <x:c r="C439" s="14" t="d">
        <x:v>2026-02-01T00:00:00.000Z</x:v>
      </x:c>
      <x:c r="D439" s="34" t="str">
        <x:v>0003</x:v>
      </x:c>
      <x:c r="E439" s="7" t="str">
        <x:v>West</x:v>
      </x:c>
      <x:c r="F439" s="7" t="n">
        <x:v>5</x:v>
      </x:c>
      <x:c r="G439" s="7" t="n">
        <x:v>200</x:v>
      </x:c>
      <x:c r="H439" s="9" t="n">
        <x:v>0.05</x:v>
      </x:c>
      <x:c r="I439" s="7" t="n">
        <x:v>950</x:v>
      </x:c>
    </x:row>
    <x:row r="440" ht="23" customHeight="1">
      <x:c r="A440" s="7" t="str">
        <x:v>INV00435</x:v>
      </x:c>
      <x:c r="B440" s="15" t="d">
        <x:v>2026-02-04T00:00:00.000Z</x:v>
      </x:c>
      <x:c r="C440" s="14" t="d">
        <x:v>2026-02-01T00:00:00.000Z</x:v>
      </x:c>
      <x:c r="D440" s="34" t="str">
        <x:v>0004</x:v>
      </x:c>
      <x:c r="E440" s="7" t="str">
        <x:v>West</x:v>
      </x:c>
      <x:c r="F440" s="7" t="n">
        <x:v>4</x:v>
      </x:c>
      <x:c r="G440" s="7" t="n">
        <x:v>220</x:v>
      </x:c>
      <x:c r="H440" s="9" t="n">
        <x:v>0</x:v>
      </x:c>
      <x:c r="I440" s="7" t="n">
        <x:v>880</x:v>
      </x:c>
    </x:row>
    <x:row r="441" ht="23" customHeight="1">
      <x:c r="A441" s="7" t="str">
        <x:v>INV00436</x:v>
      </x:c>
      <x:c r="B441" s="15" t="d">
        <x:v>2026-02-05T00:00:00.000Z</x:v>
      </x:c>
      <x:c r="C441" s="14" t="d">
        <x:v>2026-02-01T00:00:00.000Z</x:v>
      </x:c>
      <x:c r="D441" s="34" t="str">
        <x:v>0005</x:v>
      </x:c>
      <x:c r="E441" s="7" t="str">
        <x:v>West</x:v>
      </x:c>
      <x:c r="F441" s="7" t="n">
        <x:v>1</x:v>
      </x:c>
      <x:c r="G441" s="7" t="n">
        <x:v>240</x:v>
      </x:c>
      <x:c r="H441" s="9" t="n">
        <x:v>0.02</x:v>
      </x:c>
      <x:c r="I441" s="7" t="n">
        <x:v>235.2</x:v>
      </x:c>
    </x:row>
    <x:row r="442" ht="23" customHeight="1">
      <x:c r="A442" s="7" t="str">
        <x:v>INV00437</x:v>
      </x:c>
      <x:c r="B442" s="15" t="d">
        <x:v>2026-02-06T00:00:00.000Z</x:v>
      </x:c>
      <x:c r="C442" s="14" t="d">
        <x:v>2026-02-01T00:00:00.000Z</x:v>
      </x:c>
      <x:c r="D442" s="34" t="str">
        <x:v>0006</x:v>
      </x:c>
      <x:c r="E442" s="7" t="str">
        <x:v>West</x:v>
      </x:c>
      <x:c r="F442" s="7" t="n">
        <x:v>7</x:v>
      </x:c>
      <x:c r="G442" s="7" t="n">
        <x:v>260</x:v>
      </x:c>
      <x:c r="H442" s="9" t="n">
        <x:v>0.05</x:v>
      </x:c>
      <x:c r="I442" s="7" t="n">
        <x:v>1729</x:v>
      </x:c>
    </x:row>
    <x:row r="443" ht="23" customHeight="1">
      <x:c r="A443" s="7" t="str">
        <x:v>INV00438</x:v>
      </x:c>
      <x:c r="B443" s="15" t="d">
        <x:v>2026-02-07T00:00:00.000Z</x:v>
      </x:c>
      <x:c r="C443" s="14" t="d">
        <x:v>2026-02-01T00:00:00.000Z</x:v>
      </x:c>
      <x:c r="D443" s="34" t="str">
        <x:v>0007</x:v>
      </x:c>
      <x:c r="E443" s="7" t="str">
        <x:v>West</x:v>
      </x:c>
      <x:c r="F443" s="7" t="n">
        <x:v>3</x:v>
      </x:c>
      <x:c r="G443" s="7" t="n">
        <x:v>280</x:v>
      </x:c>
      <x:c r="H443" s="9" t="n">
        <x:v>0</x:v>
      </x:c>
      <x:c r="I443" s="7" t="n">
        <x:v>840</x:v>
      </x:c>
    </x:row>
    <x:row r="444" ht="23" customHeight="1">
      <x:c r="A444" s="7" t="str">
        <x:v>INV00439</x:v>
      </x:c>
      <x:c r="B444" s="15" t="d">
        <x:v>2026-02-08T00:00:00.000Z</x:v>
      </x:c>
      <x:c r="C444" s="14" t="d">
        <x:v>2026-02-01T00:00:00.000Z</x:v>
      </x:c>
      <x:c r="D444" s="34" t="str">
        <x:v>0008</x:v>
      </x:c>
      <x:c r="E444" s="7" t="str">
        <x:v>West</x:v>
      </x:c>
      <x:c r="F444" s="7" t="n">
        <x:v>4</x:v>
      </x:c>
      <x:c r="G444" s="7" t="n">
        <x:v>300</x:v>
      </x:c>
      <x:c r="H444" s="9" t="n">
        <x:v>0.02</x:v>
      </x:c>
      <x:c r="I444" s="7" t="n">
        <x:v>1176</x:v>
      </x:c>
    </x:row>
    <x:row r="445" ht="23" customHeight="1">
      <x:c r="A445" s="7" t="str">
        <x:v>INV00440</x:v>
      </x:c>
      <x:c r="B445" s="15" t="d">
        <x:v>2026-02-09T00:00:00.000Z</x:v>
      </x:c>
      <x:c r="C445" s="14" t="d">
        <x:v>2026-02-01T00:00:00.000Z</x:v>
      </x:c>
      <x:c r="D445" s="34" t="str">
        <x:v>0001</x:v>
      </x:c>
      <x:c r="E445" s="7" t="str">
        <x:v>North</x:v>
      </x:c>
      <x:c r="F445" s="7" t="n">
        <x:v>1</x:v>
      </x:c>
      <x:c r="G445" s="7" t="n">
        <x:v>160</x:v>
      </x:c>
      <x:c r="H445" s="9" t="n">
        <x:v>0.05</x:v>
      </x:c>
      <x:c r="I445" s="7" t="n">
        <x:v>152</x:v>
      </x:c>
    </x:row>
    <x:row r="446" ht="23" customHeight="1">
      <x:c r="A446" s="7" t="str">
        <x:v>INV00441</x:v>
      </x:c>
      <x:c r="B446" s="15" t="d">
        <x:v>2026-02-10T00:00:00.000Z</x:v>
      </x:c>
      <x:c r="C446" s="14" t="d">
        <x:v>2026-02-01T00:00:00.000Z</x:v>
      </x:c>
      <x:c r="D446" s="34" t="str">
        <x:v>0002</x:v>
      </x:c>
      <x:c r="E446" s="7" t="str">
        <x:v>North</x:v>
      </x:c>
      <x:c r="F446" s="7" t="n">
        <x:v>3</x:v>
      </x:c>
      <x:c r="G446" s="7" t="n">
        <x:v>180</x:v>
      </x:c>
      <x:c r="H446" s="9" t="n">
        <x:v>0</x:v>
      </x:c>
      <x:c r="I446" s="7" t="n">
        <x:v>540</x:v>
      </x:c>
    </x:row>
    <x:row r="447" ht="23" customHeight="1">
      <x:c r="A447" s="7" t="str">
        <x:v>INV00442</x:v>
      </x:c>
      <x:c r="B447" s="15" t="d">
        <x:v>2026-02-11T00:00:00.000Z</x:v>
      </x:c>
      <x:c r="C447" s="14" t="d">
        <x:v>2026-02-01T00:00:00.000Z</x:v>
      </x:c>
      <x:c r="D447" s="34" t="str">
        <x:v>0003</x:v>
      </x:c>
      <x:c r="E447" s="7" t="str">
        <x:v>North</x:v>
      </x:c>
      <x:c r="F447" s="7" t="n">
        <x:v>7</x:v>
      </x:c>
      <x:c r="G447" s="7" t="n">
        <x:v>200</x:v>
      </x:c>
      <x:c r="H447" s="9" t="n">
        <x:v>0.02</x:v>
      </x:c>
      <x:c r="I447" s="7" t="n">
        <x:v>1372</x:v>
      </x:c>
    </x:row>
    <x:row r="448" ht="23" customHeight="1">
      <x:c r="A448" s="7" t="str">
        <x:v>INV00443</x:v>
      </x:c>
      <x:c r="B448" s="15" t="d">
        <x:v>2026-02-12T00:00:00.000Z</x:v>
      </x:c>
      <x:c r="C448" s="14" t="d">
        <x:v>2026-02-01T00:00:00.000Z</x:v>
      </x:c>
      <x:c r="D448" s="34" t="str">
        <x:v>0004</x:v>
      </x:c>
      <x:c r="E448" s="7" t="str">
        <x:v>North</x:v>
      </x:c>
      <x:c r="F448" s="7" t="n">
        <x:v>4</x:v>
      </x:c>
      <x:c r="G448" s="7" t="n">
        <x:v>220</x:v>
      </x:c>
      <x:c r="H448" s="9" t="n">
        <x:v>0.05</x:v>
      </x:c>
      <x:c r="I448" s="7" t="n">
        <x:v>836</x:v>
      </x:c>
    </x:row>
    <x:row r="449" ht="23" customHeight="1">
      <x:c r="A449" s="7" t="str">
        <x:v>INV00444</x:v>
      </x:c>
      <x:c r="B449" s="15" t="d">
        <x:v>2026-02-13T00:00:00.000Z</x:v>
      </x:c>
      <x:c r="C449" s="14" t="d">
        <x:v>2026-02-01T00:00:00.000Z</x:v>
      </x:c>
      <x:c r="D449" s="34" t="str">
        <x:v>0005</x:v>
      </x:c>
      <x:c r="E449" s="7" t="str">
        <x:v>North</x:v>
      </x:c>
      <x:c r="F449" s="7" t="n">
        <x:v>6</x:v>
      </x:c>
      <x:c r="G449" s="7" t="n">
        <x:v>240</x:v>
      </x:c>
      <x:c r="H449" s="9" t="n">
        <x:v>0</x:v>
      </x:c>
      <x:c r="I449" s="7" t="n">
        <x:v>1440</x:v>
      </x:c>
    </x:row>
    <x:row r="450" ht="23" customHeight="1">
      <x:c r="A450" s="7" t="str">
        <x:v>INV00445</x:v>
      </x:c>
      <x:c r="B450" s="15" t="d">
        <x:v>2026-02-14T00:00:00.000Z</x:v>
      </x:c>
      <x:c r="C450" s="14" t="d">
        <x:v>2026-02-01T00:00:00.000Z</x:v>
      </x:c>
      <x:c r="D450" s="34" t="str">
        <x:v>0006</x:v>
      </x:c>
      <x:c r="E450" s="7" t="str">
        <x:v>North</x:v>
      </x:c>
      <x:c r="F450" s="7" t="n">
        <x:v>6</x:v>
      </x:c>
      <x:c r="G450" s="7" t="n">
        <x:v>260</x:v>
      </x:c>
      <x:c r="H450" s="9" t="n">
        <x:v>0.02</x:v>
      </x:c>
      <x:c r="I450" s="7" t="n">
        <x:v>1528.8</x:v>
      </x:c>
    </x:row>
    <x:row r="451" ht="23" customHeight="1">
      <x:c r="A451" s="7" t="str">
        <x:v>INV00446</x:v>
      </x:c>
      <x:c r="B451" s="15" t="d">
        <x:v>2026-02-15T00:00:00.000Z</x:v>
      </x:c>
      <x:c r="C451" s="14" t="d">
        <x:v>2026-02-01T00:00:00.000Z</x:v>
      </x:c>
      <x:c r="D451" s="34" t="str">
        <x:v>0007</x:v>
      </x:c>
      <x:c r="E451" s="7" t="str">
        <x:v>North</x:v>
      </x:c>
      <x:c r="F451" s="7" t="n">
        <x:v>7</x:v>
      </x:c>
      <x:c r="G451" s="7" t="n">
        <x:v>280</x:v>
      </x:c>
      <x:c r="H451" s="9" t="n">
        <x:v>0.05</x:v>
      </x:c>
      <x:c r="I451" s="7" t="n">
        <x:v>1862</x:v>
      </x:c>
    </x:row>
    <x:row r="452" ht="23" customHeight="1">
      <x:c r="A452" s="7" t="str">
        <x:v>INV00447</x:v>
      </x:c>
      <x:c r="B452" s="15" t="d">
        <x:v>2026-02-16T00:00:00.000Z</x:v>
      </x:c>
      <x:c r="C452" s="14" t="d">
        <x:v>2026-02-01T00:00:00.000Z</x:v>
      </x:c>
      <x:c r="D452" s="34" t="str">
        <x:v>0008</x:v>
      </x:c>
      <x:c r="E452" s="7" t="str">
        <x:v>North</x:v>
      </x:c>
      <x:c r="F452" s="7" t="n">
        <x:v>6</x:v>
      </x:c>
      <x:c r="G452" s="7" t="n">
        <x:v>300</x:v>
      </x:c>
      <x:c r="H452" s="9" t="n">
        <x:v>0</x:v>
      </x:c>
      <x:c r="I452" s="7" t="n">
        <x:v>1800</x:v>
      </x:c>
    </x:row>
    <x:row r="453" ht="23" customHeight="1">
      <x:c r="A453" s="7" t="str">
        <x:v>INV00448</x:v>
      </x:c>
      <x:c r="B453" s="15" t="d">
        <x:v>2026-03-17T00:00:00.000Z</x:v>
      </x:c>
      <x:c r="C453" s="14" t="d">
        <x:v>2026-03-01T00:00:00.000Z</x:v>
      </x:c>
      <x:c r="D453" s="34" t="str">
        <x:v>0001</x:v>
      </x:c>
      <x:c r="E453" s="7" t="str">
        <x:v>Central</x:v>
      </x:c>
      <x:c r="F453" s="7" t="n">
        <x:v>2</x:v>
      </x:c>
      <x:c r="G453" s="7" t="n">
        <x:v>160</x:v>
      </x:c>
      <x:c r="H453" s="9" t="n">
        <x:v>0.02</x:v>
      </x:c>
      <x:c r="I453" s="7" t="n">
        <x:v>313.6</x:v>
      </x:c>
    </x:row>
    <x:row r="454" ht="23" customHeight="1">
      <x:c r="A454" s="7" t="str">
        <x:v>INV00449</x:v>
      </x:c>
      <x:c r="B454" s="15" t="d">
        <x:v>2026-03-18T00:00:00.000Z</x:v>
      </x:c>
      <x:c r="C454" s="14" t="d">
        <x:v>2026-03-01T00:00:00.000Z</x:v>
      </x:c>
      <x:c r="D454" s="34" t="str">
        <x:v>0002</x:v>
      </x:c>
      <x:c r="E454" s="7" t="str">
        <x:v>Central</x:v>
      </x:c>
      <x:c r="F454" s="7" t="n">
        <x:v>4</x:v>
      </x:c>
      <x:c r="G454" s="7" t="n">
        <x:v>180</x:v>
      </x:c>
      <x:c r="H454" s="9" t="n">
        <x:v>0.05</x:v>
      </x:c>
      <x:c r="I454" s="7" t="n">
        <x:v>684</x:v>
      </x:c>
    </x:row>
    <x:row r="455" ht="23" customHeight="1">
      <x:c r="A455" s="7" t="str">
        <x:v>INV00450</x:v>
      </x:c>
      <x:c r="B455" s="15" t="d">
        <x:v>2026-03-19T00:00:00.000Z</x:v>
      </x:c>
      <x:c r="C455" s="14" t="d">
        <x:v>2026-03-01T00:00:00.000Z</x:v>
      </x:c>
      <x:c r="D455" s="34" t="str">
        <x:v>0003</x:v>
      </x:c>
      <x:c r="E455" s="7" t="str">
        <x:v>Central</x:v>
      </x:c>
      <x:c r="F455" s="7" t="n">
        <x:v>5</x:v>
      </x:c>
      <x:c r="G455" s="7" t="n">
        <x:v>200</x:v>
      </x:c>
      <x:c r="H455" s="9" t="n">
        <x:v>0</x:v>
      </x:c>
      <x:c r="I455" s="7" t="n">
        <x:v>1000</x:v>
      </x:c>
    </x:row>
    <x:row r="456" ht="23" customHeight="1">
      <x:c r="A456" s="7" t="str">
        <x:v>INV00451</x:v>
      </x:c>
      <x:c r="B456" s="15" t="d">
        <x:v>2026-03-20T00:00:00.000Z</x:v>
      </x:c>
      <x:c r="C456" s="14" t="d">
        <x:v>2026-03-01T00:00:00.000Z</x:v>
      </x:c>
      <x:c r="D456" s="34" t="str">
        <x:v>0004</x:v>
      </x:c>
      <x:c r="E456" s="7" t="str">
        <x:v>Central</x:v>
      </x:c>
      <x:c r="F456" s="7" t="n">
        <x:v>-7</x:v>
      </x:c>
      <x:c r="G456" s="7" t="n">
        <x:v>220</x:v>
      </x:c>
      <x:c r="H456" s="9" t="n">
        <x:v>0.02</x:v>
      </x:c>
      <x:c r="I456" s="7" t="n">
        <x:v>-1509.2</x:v>
      </x:c>
    </x:row>
    <x:row r="457" ht="23" customHeight="1">
      <x:c r="A457" s="7" t="str">
        <x:v>INV00452</x:v>
      </x:c>
      <x:c r="B457" s="15" t="d">
        <x:v>2026-03-21T00:00:00.000Z</x:v>
      </x:c>
      <x:c r="C457" s="14" t="d">
        <x:v>2026-03-01T00:00:00.000Z</x:v>
      </x:c>
      <x:c r="D457" s="34" t="str">
        <x:v>0005</x:v>
      </x:c>
      <x:c r="E457" s="7" t="str">
        <x:v>Central</x:v>
      </x:c>
      <x:c r="F457" s="7" t="n">
        <x:v>4</x:v>
      </x:c>
      <x:c r="G457" s="7" t="n">
        <x:v>240</x:v>
      </x:c>
      <x:c r="H457" s="9" t="n">
        <x:v>0.05</x:v>
      </x:c>
      <x:c r="I457" s="7" t="n">
        <x:v>912</x:v>
      </x:c>
    </x:row>
    <x:row r="458" ht="23" customHeight="1">
      <x:c r="A458" s="7" t="str">
        <x:v>INV00453</x:v>
      </x:c>
      <x:c r="B458" s="15" t="d">
        <x:v>2026-03-22T00:00:00.000Z</x:v>
      </x:c>
      <x:c r="C458" s="14" t="d">
        <x:v>2026-03-01T00:00:00.000Z</x:v>
      </x:c>
      <x:c r="D458" s="34" t="str">
        <x:v>0006</x:v>
      </x:c>
      <x:c r="E458" s="7" t="str">
        <x:v>Central</x:v>
      </x:c>
      <x:c r="F458" s="7" t="n">
        <x:v>2</x:v>
      </x:c>
      <x:c r="G458" s="7" t="n">
        <x:v>260</x:v>
      </x:c>
      <x:c r="H458" s="9" t="n">
        <x:v>0</x:v>
      </x:c>
      <x:c r="I458" s="7" t="n">
        <x:v>520</x:v>
      </x:c>
    </x:row>
    <x:row r="459" ht="23" customHeight="1">
      <x:c r="A459" s="7" t="str">
        <x:v>INV00454</x:v>
      </x:c>
      <x:c r="B459" s="15" t="d">
        <x:v>2026-03-23T00:00:00.000Z</x:v>
      </x:c>
      <x:c r="C459" s="14" t="d">
        <x:v>2026-03-01T00:00:00.000Z</x:v>
      </x:c>
      <x:c r="D459" s="34" t="str">
        <x:v>0007</x:v>
      </x:c>
      <x:c r="E459" s="7" t="str">
        <x:v>Central</x:v>
      </x:c>
      <x:c r="F459" s="7" t="n">
        <x:v>2</x:v>
      </x:c>
      <x:c r="G459" s="7" t="n">
        <x:v>280</x:v>
      </x:c>
      <x:c r="H459" s="9" t="n">
        <x:v>0.02</x:v>
      </x:c>
      <x:c r="I459" s="7" t="n">
        <x:v>548.8</x:v>
      </x:c>
    </x:row>
    <x:row r="460" ht="23" customHeight="1">
      <x:c r="A460" s="7" t="str">
        <x:v>INV00455</x:v>
      </x:c>
      <x:c r="B460" s="15" t="d">
        <x:v>2026-03-24T00:00:00.000Z</x:v>
      </x:c>
      <x:c r="C460" s="14" t="d">
        <x:v>2026-03-01T00:00:00.000Z</x:v>
      </x:c>
      <x:c r="D460" s="34" t="str">
        <x:v>0008</x:v>
      </x:c>
      <x:c r="E460" s="7" t="str">
        <x:v>Central</x:v>
      </x:c>
      <x:c r="F460" s="7" t="n">
        <x:v>3</x:v>
      </x:c>
      <x:c r="G460" s="7" t="n">
        <x:v>300</x:v>
      </x:c>
      <x:c r="H460" s="9" t="n">
        <x:v>0.05</x:v>
      </x:c>
      <x:c r="I460" s="7" t="n">
        <x:v>855</x:v>
      </x:c>
    </x:row>
    <x:row r="461" ht="23" customHeight="1">
      <x:c r="A461" s="7" t="str">
        <x:v>INV00456</x:v>
      </x:c>
      <x:c r="B461" s="15" t="d">
        <x:v>2026-03-25T00:00:00.000Z</x:v>
      </x:c>
      <x:c r="C461" s="14" t="d">
        <x:v>2026-03-01T00:00:00.000Z</x:v>
      </x:c>
      <x:c r="D461" s="34" t="str">
        <x:v>0001</x:v>
      </x:c>
      <x:c r="E461" s="7" t="str">
        <x:v>East</x:v>
      </x:c>
      <x:c r="F461" s="7" t="n">
        <x:v>3</x:v>
      </x:c>
      <x:c r="G461" s="7" t="n">
        <x:v>160</x:v>
      </x:c>
      <x:c r="H461" s="9" t="n">
        <x:v>0</x:v>
      </x:c>
      <x:c r="I461" s="7" t="n">
        <x:v>480</x:v>
      </x:c>
    </x:row>
    <x:row r="462" ht="23" customHeight="1">
      <x:c r="A462" s="7" t="str">
        <x:v>INV00457</x:v>
      </x:c>
      <x:c r="B462" s="15" t="d">
        <x:v>2026-03-26T00:00:00.000Z</x:v>
      </x:c>
      <x:c r="C462" s="14" t="d">
        <x:v>2026-03-01T00:00:00.000Z</x:v>
      </x:c>
      <x:c r="D462" s="34" t="str">
        <x:v>0002</x:v>
      </x:c>
      <x:c r="E462" s="7" t="str">
        <x:v>East</x:v>
      </x:c>
      <x:c r="F462" s="7" t="n">
        <x:v>3</x:v>
      </x:c>
      <x:c r="G462" s="7" t="n">
        <x:v>180</x:v>
      </x:c>
      <x:c r="H462" s="9" t="n">
        <x:v>0.02</x:v>
      </x:c>
      <x:c r="I462" s="7" t="n">
        <x:v>529.2</x:v>
      </x:c>
    </x:row>
    <x:row r="463" ht="23" customHeight="1">
      <x:c r="A463" s="7" t="str">
        <x:v>INV00458</x:v>
      </x:c>
      <x:c r="B463" s="15" t="d">
        <x:v>2026-03-27T00:00:00.000Z</x:v>
      </x:c>
      <x:c r="C463" s="14" t="d">
        <x:v>2026-03-01T00:00:00.000Z</x:v>
      </x:c>
      <x:c r="D463" s="34" t="str">
        <x:v>0003</x:v>
      </x:c>
      <x:c r="E463" s="7" t="str">
        <x:v>East</x:v>
      </x:c>
      <x:c r="F463" s="7" t="n">
        <x:v>2</x:v>
      </x:c>
      <x:c r="G463" s="7" t="n">
        <x:v>200</x:v>
      </x:c>
      <x:c r="H463" s="9" t="n">
        <x:v>0.05</x:v>
      </x:c>
      <x:c r="I463" s="7" t="n">
        <x:v>380</x:v>
      </x:c>
    </x:row>
    <x:row r="464" ht="23" customHeight="1">
      <x:c r="A464" s="7" t="str">
        <x:v>INV00459</x:v>
      </x:c>
      <x:c r="B464" s="15" t="d">
        <x:v>2026-03-01T00:00:00.000Z</x:v>
      </x:c>
      <x:c r="C464" s="14" t="d">
        <x:v>2026-03-01T00:00:00.000Z</x:v>
      </x:c>
      <x:c r="D464" s="34" t="str">
        <x:v>0004</x:v>
      </x:c>
      <x:c r="E464" s="7" t="str">
        <x:v>East</x:v>
      </x:c>
      <x:c r="F464" s="7" t="n">
        <x:v>7</x:v>
      </x:c>
      <x:c r="G464" s="7" t="n">
        <x:v>220</x:v>
      </x:c>
      <x:c r="H464" s="9" t="n">
        <x:v>0</x:v>
      </x:c>
      <x:c r="I464" s="7" t="n">
        <x:v>1540</x:v>
      </x:c>
    </x:row>
    <x:row r="465" ht="23" customHeight="1">
      <x:c r="A465" s="7" t="str">
        <x:v>INV00460</x:v>
      </x:c>
      <x:c r="B465" s="15" t="d">
        <x:v>2026-03-02T00:00:00.000Z</x:v>
      </x:c>
      <x:c r="C465" s="14" t="d">
        <x:v>2026-03-01T00:00:00.000Z</x:v>
      </x:c>
      <x:c r="D465" s="34" t="str">
        <x:v>0005</x:v>
      </x:c>
      <x:c r="E465" s="7" t="str">
        <x:v>East</x:v>
      </x:c>
      <x:c r="F465" s="7" t="n">
        <x:v>3</x:v>
      </x:c>
      <x:c r="G465" s="7" t="n">
        <x:v>240</x:v>
      </x:c>
      <x:c r="H465" s="9" t="n">
        <x:v>0.02</x:v>
      </x:c>
      <x:c r="I465" s="7" t="n">
        <x:v>705.6</x:v>
      </x:c>
    </x:row>
    <x:row r="466" ht="23" customHeight="1">
      <x:c r="A466" s="7" t="str">
        <x:v>INV00461</x:v>
      </x:c>
      <x:c r="B466" s="15" t="d">
        <x:v>2026-03-03T00:00:00.000Z</x:v>
      </x:c>
      <x:c r="C466" s="14" t="d">
        <x:v>2026-03-01T00:00:00.000Z</x:v>
      </x:c>
      <x:c r="D466" s="34" t="str">
        <x:v>0006</x:v>
      </x:c>
      <x:c r="E466" s="7" t="str">
        <x:v>East</x:v>
      </x:c>
      <x:c r="F466" s="7" t="n">
        <x:v>7</x:v>
      </x:c>
      <x:c r="G466" s="7" t="n">
        <x:v>260</x:v>
      </x:c>
      <x:c r="H466" s="9" t="n">
        <x:v>0.05</x:v>
      </x:c>
      <x:c r="I466" s="7" t="n">
        <x:v>1729</x:v>
      </x:c>
    </x:row>
    <x:row r="467" ht="23" customHeight="1">
      <x:c r="A467" s="7" t="str">
        <x:v>INV00462</x:v>
      </x:c>
      <x:c r="B467" s="15" t="d">
        <x:v>2026-03-04T00:00:00.000Z</x:v>
      </x:c>
      <x:c r="C467" s="14" t="d">
        <x:v>2026-03-01T00:00:00.000Z</x:v>
      </x:c>
      <x:c r="D467" s="34" t="str">
        <x:v>0007</x:v>
      </x:c>
      <x:c r="E467" s="7" t="str">
        <x:v>East</x:v>
      </x:c>
      <x:c r="F467" s="7" t="n">
        <x:v>5</x:v>
      </x:c>
      <x:c r="G467" s="7" t="n">
        <x:v>280</x:v>
      </x:c>
      <x:c r="H467" s="9" t="n">
        <x:v>0</x:v>
      </x:c>
      <x:c r="I467" s="7" t="n">
        <x:v>1400</x:v>
      </x:c>
    </x:row>
    <x:row r="468" ht="23" customHeight="1">
      <x:c r="A468" s="7" t="str">
        <x:v>INV00463</x:v>
      </x:c>
      <x:c r="B468" s="15" t="d">
        <x:v>2026-03-05T00:00:00.000Z</x:v>
      </x:c>
      <x:c r="C468" s="14" t="d">
        <x:v>2026-03-01T00:00:00.000Z</x:v>
      </x:c>
      <x:c r="D468" s="34" t="str">
        <x:v>0008</x:v>
      </x:c>
      <x:c r="E468" s="7" t="str">
        <x:v>East</x:v>
      </x:c>
      <x:c r="F468" s="7" t="n">
        <x:v>7</x:v>
      </x:c>
      <x:c r="G468" s="7" t="n">
        <x:v>300</x:v>
      </x:c>
      <x:c r="H468" s="9" t="n">
        <x:v>0.02</x:v>
      </x:c>
      <x:c r="I468" s="7" t="n">
        <x:v>2058</x:v>
      </x:c>
    </x:row>
    <x:row r="469" ht="23" customHeight="1">
      <x:c r="A469" s="7" t="str">
        <x:v>INV00464</x:v>
      </x:c>
      <x:c r="B469" s="15" t="d">
        <x:v>2026-03-06T00:00:00.000Z</x:v>
      </x:c>
      <x:c r="C469" s="14" t="d">
        <x:v>2026-03-01T00:00:00.000Z</x:v>
      </x:c>
      <x:c r="D469" s="34" t="str">
        <x:v>0001</x:v>
      </x:c>
      <x:c r="E469" s="7" t="str">
        <x:v>West</x:v>
      </x:c>
      <x:c r="F469" s="7" t="n">
        <x:v>7</x:v>
      </x:c>
      <x:c r="G469" s="7" t="n">
        <x:v>160</x:v>
      </x:c>
      <x:c r="H469" s="9" t="n">
        <x:v>0.05</x:v>
      </x:c>
      <x:c r="I469" s="7" t="n">
        <x:v>1064</x:v>
      </x:c>
    </x:row>
    <x:row r="470" ht="23" customHeight="1">
      <x:c r="A470" s="7" t="str">
        <x:v>INV00465</x:v>
      </x:c>
      <x:c r="B470" s="15" t="d">
        <x:v>2026-03-07T00:00:00.000Z</x:v>
      </x:c>
      <x:c r="C470" s="14" t="d">
        <x:v>2026-03-01T00:00:00.000Z</x:v>
      </x:c>
      <x:c r="D470" s="34" t="str">
        <x:v>0002</x:v>
      </x:c>
      <x:c r="E470" s="7" t="str">
        <x:v>West</x:v>
      </x:c>
      <x:c r="F470" s="7" t="n">
        <x:v>3</x:v>
      </x:c>
      <x:c r="G470" s="7" t="n">
        <x:v>180</x:v>
      </x:c>
      <x:c r="H470" s="9" t="n">
        <x:v>0</x:v>
      </x:c>
      <x:c r="I470" s="7" t="n">
        <x:v>540</x:v>
      </x:c>
    </x:row>
    <x:row r="471" ht="23" customHeight="1">
      <x:c r="A471" s="7" t="str">
        <x:v>INV00466</x:v>
      </x:c>
      <x:c r="B471" s="15" t="d">
        <x:v>2026-03-08T00:00:00.000Z</x:v>
      </x:c>
      <x:c r="C471" s="14" t="d">
        <x:v>2026-03-01T00:00:00.000Z</x:v>
      </x:c>
      <x:c r="D471" s="34" t="str">
        <x:v>0003</x:v>
      </x:c>
      <x:c r="E471" s="7" t="str">
        <x:v>West</x:v>
      </x:c>
      <x:c r="F471" s="7" t="n">
        <x:v>5</x:v>
      </x:c>
      <x:c r="G471" s="7" t="n">
        <x:v>200</x:v>
      </x:c>
      <x:c r="H471" s="9" t="n">
        <x:v>0.02</x:v>
      </x:c>
      <x:c r="I471" s="7" t="n">
        <x:v>980</x:v>
      </x:c>
    </x:row>
    <x:row r="472" ht="23" customHeight="1">
      <x:c r="A472" s="7" t="str">
        <x:v>INV00467</x:v>
      </x:c>
      <x:c r="B472" s="15" t="d">
        <x:v>2026-03-09T00:00:00.000Z</x:v>
      </x:c>
      <x:c r="C472" s="14" t="d">
        <x:v>2026-03-01T00:00:00.000Z</x:v>
      </x:c>
      <x:c r="D472" s="34" t="str">
        <x:v>0004</x:v>
      </x:c>
      <x:c r="E472" s="7" t="str">
        <x:v>West</x:v>
      </x:c>
      <x:c r="F472" s="7" t="n">
        <x:v>4</x:v>
      </x:c>
      <x:c r="G472" s="7" t="n">
        <x:v>220</x:v>
      </x:c>
      <x:c r="H472" s="9" t="n">
        <x:v>0.05</x:v>
      </x:c>
      <x:c r="I472" s="7" t="n">
        <x:v>836</x:v>
      </x:c>
    </x:row>
    <x:row r="473" ht="23" customHeight="1">
      <x:c r="A473" s="7" t="str">
        <x:v>INV00468</x:v>
      </x:c>
      <x:c r="B473" s="15" t="d">
        <x:v>2026-03-10T00:00:00.000Z</x:v>
      </x:c>
      <x:c r="C473" s="14" t="d">
        <x:v>2026-03-01T00:00:00.000Z</x:v>
      </x:c>
      <x:c r="D473" s="34" t="str">
        <x:v>0005</x:v>
      </x:c>
      <x:c r="E473" s="7" t="str">
        <x:v>West</x:v>
      </x:c>
      <x:c r="F473" s="7" t="n">
        <x:v>3</x:v>
      </x:c>
      <x:c r="G473" s="7" t="n">
        <x:v>240</x:v>
      </x:c>
      <x:c r="H473" s="9" t="n">
        <x:v>0</x:v>
      </x:c>
      <x:c r="I473" s="7" t="n">
        <x:v>720</x:v>
      </x:c>
    </x:row>
    <x:row r="474" ht="23" customHeight="1">
      <x:c r="A474" s="7" t="str">
        <x:v>INV00469</x:v>
      </x:c>
      <x:c r="B474" s="15" t="d">
        <x:v>2026-03-11T00:00:00.000Z</x:v>
      </x:c>
      <x:c r="C474" s="14" t="d">
        <x:v>2026-03-01T00:00:00.000Z</x:v>
      </x:c>
      <x:c r="D474" s="34" t="str">
        <x:v>0006</x:v>
      </x:c>
      <x:c r="E474" s="7" t="str">
        <x:v>West</x:v>
      </x:c>
      <x:c r="F474" s="7" t="n">
        <x:v>5</x:v>
      </x:c>
      <x:c r="G474" s="7" t="n">
        <x:v>260</x:v>
      </x:c>
      <x:c r="H474" s="9" t="n">
        <x:v>0.02</x:v>
      </x:c>
      <x:c r="I474" s="7" t="n">
        <x:v>1274</x:v>
      </x:c>
    </x:row>
    <x:row r="475" ht="23" customHeight="1">
      <x:c r="A475" s="7" t="str">
        <x:v>INV00470</x:v>
      </x:c>
      <x:c r="B475" s="15" t="d">
        <x:v>2026-03-12T00:00:00.000Z</x:v>
      </x:c>
      <x:c r="C475" s="14" t="d">
        <x:v>2026-03-01T00:00:00.000Z</x:v>
      </x:c>
      <x:c r="D475" s="34" t="str">
        <x:v>0007</x:v>
      </x:c>
      <x:c r="E475" s="7" t="str">
        <x:v>West</x:v>
      </x:c>
      <x:c r="F475" s="7" t="n">
        <x:v>7</x:v>
      </x:c>
      <x:c r="G475" s="7" t="n">
        <x:v>280</x:v>
      </x:c>
      <x:c r="H475" s="9" t="n">
        <x:v>0.05</x:v>
      </x:c>
      <x:c r="I475" s="7" t="n">
        <x:v>1862</x:v>
      </x:c>
    </x:row>
    <x:row r="476" ht="23" customHeight="1">
      <x:c r="A476" s="7" t="str">
        <x:v>INV00471</x:v>
      </x:c>
      <x:c r="B476" s="15" t="d">
        <x:v>2026-03-13T00:00:00.000Z</x:v>
      </x:c>
      <x:c r="C476" s="14" t="d">
        <x:v>2026-03-01T00:00:00.000Z</x:v>
      </x:c>
      <x:c r="D476" s="34" t="str">
        <x:v>0008</x:v>
      </x:c>
      <x:c r="E476" s="7" t="str">
        <x:v>West</x:v>
      </x:c>
      <x:c r="F476" s="7" t="n">
        <x:v>6</x:v>
      </x:c>
      <x:c r="G476" s="7" t="n">
        <x:v>300</x:v>
      </x:c>
      <x:c r="H476" s="9" t="n">
        <x:v>0</x:v>
      </x:c>
      <x:c r="I476" s="7" t="n">
        <x:v>1800</x:v>
      </x:c>
    </x:row>
    <x:row r="477" ht="23" customHeight="1">
      <x:c r="A477" s="7" t="str">
        <x:v>INV00472</x:v>
      </x:c>
      <x:c r="B477" s="15" t="d">
        <x:v>2026-03-14T00:00:00.000Z</x:v>
      </x:c>
      <x:c r="C477" s="14" t="d">
        <x:v>2026-03-01T00:00:00.000Z</x:v>
      </x:c>
      <x:c r="D477" s="34" t="str">
        <x:v>0001</x:v>
      </x:c>
      <x:c r="E477" s="7" t="str">
        <x:v>North</x:v>
      </x:c>
      <x:c r="F477" s="7" t="n">
        <x:v>3</x:v>
      </x:c>
      <x:c r="G477" s="7" t="n">
        <x:v>160</x:v>
      </x:c>
      <x:c r="H477" s="9" t="n">
        <x:v>0.02</x:v>
      </x:c>
      <x:c r="I477" s="7" t="n">
        <x:v>470.4</x:v>
      </x:c>
    </x:row>
    <x:row r="478" ht="23" customHeight="1">
      <x:c r="A478" s="7" t="str">
        <x:v>INV00473</x:v>
      </x:c>
      <x:c r="B478" s="15" t="d">
        <x:v>2026-03-15T00:00:00.000Z</x:v>
      </x:c>
      <x:c r="C478" s="14" t="d">
        <x:v>2026-03-01T00:00:00.000Z</x:v>
      </x:c>
      <x:c r="D478" s="34" t="str">
        <x:v>0002</x:v>
      </x:c>
      <x:c r="E478" s="7" t="str">
        <x:v>North</x:v>
      </x:c>
      <x:c r="F478" s="7" t="n">
        <x:v>4</x:v>
      </x:c>
      <x:c r="G478" s="7" t="n">
        <x:v>180</x:v>
      </x:c>
      <x:c r="H478" s="9" t="n">
        <x:v>0.05</x:v>
      </x:c>
      <x:c r="I478" s="7" t="n">
        <x:v>684</x:v>
      </x:c>
    </x:row>
    <x:row r="479" ht="23" customHeight="1">
      <x:c r="A479" s="7" t="str">
        <x:v>INV00474</x:v>
      </x:c>
      <x:c r="B479" s="15" t="d">
        <x:v>2026-03-16T00:00:00.000Z</x:v>
      </x:c>
      <x:c r="C479" s="14" t="d">
        <x:v>2026-03-01T00:00:00.000Z</x:v>
      </x:c>
      <x:c r="D479" s="34" t="str">
        <x:v>0003</x:v>
      </x:c>
      <x:c r="E479" s="7" t="str">
        <x:v>North</x:v>
      </x:c>
      <x:c r="F479" s="7" t="n">
        <x:v>6</x:v>
      </x:c>
      <x:c r="G479" s="7" t="n">
        <x:v>200</x:v>
      </x:c>
      <x:c r="H479" s="9" t="n">
        <x:v>0</x:v>
      </x:c>
      <x:c r="I479" s="7" t="n">
        <x:v>1200</x:v>
      </x:c>
    </x:row>
    <x:row r="480" ht="23" customHeight="1">
      <x:c r="A480" s="7" t="str">
        <x:v>INV00475</x:v>
      </x:c>
      <x:c r="B480" s="15" t="d">
        <x:v>2026-03-17T00:00:00.000Z</x:v>
      </x:c>
      <x:c r="C480" s="14" t="d">
        <x:v>2026-03-01T00:00:00.000Z</x:v>
      </x:c>
      <x:c r="D480" s="34" t="str">
        <x:v>0004</x:v>
      </x:c>
      <x:c r="E480" s="7" t="str">
        <x:v>North</x:v>
      </x:c>
      <x:c r="F480" s="7" t="n">
        <x:v>5</x:v>
      </x:c>
      <x:c r="G480" s="7" t="n">
        <x:v>220</x:v>
      </x:c>
      <x:c r="H480" s="9" t="n">
        <x:v>0.02</x:v>
      </x:c>
      <x:c r="I480" s="7" t="n">
        <x:v>1078</x:v>
      </x:c>
    </x:row>
    <x:row r="481" ht="23" customHeight="1">
      <x:c r="A481" s="7" t="str">
        <x:v>INV00476</x:v>
      </x:c>
      <x:c r="B481" s="15" t="d">
        <x:v>2026-03-18T00:00:00.000Z</x:v>
      </x:c>
      <x:c r="C481" s="14" t="d">
        <x:v>2026-03-01T00:00:00.000Z</x:v>
      </x:c>
      <x:c r="D481" s="34" t="str">
        <x:v>0005</x:v>
      </x:c>
      <x:c r="E481" s="7" t="str">
        <x:v>North</x:v>
      </x:c>
      <x:c r="F481" s="7" t="n">
        <x:v>6</x:v>
      </x:c>
      <x:c r="G481" s="7" t="n">
        <x:v>240</x:v>
      </x:c>
      <x:c r="H481" s="9" t="n">
        <x:v>0.05</x:v>
      </x:c>
      <x:c r="I481" s="7" t="n">
        <x:v>1368</x:v>
      </x:c>
    </x:row>
    <x:row r="482" ht="23" customHeight="1">
      <x:c r="A482" s="7" t="str">
        <x:v>INV00477</x:v>
      </x:c>
      <x:c r="B482" s="15" t="d">
        <x:v>2026-03-19T00:00:00.000Z</x:v>
      </x:c>
      <x:c r="C482" s="14" t="d">
        <x:v>2026-03-01T00:00:00.000Z</x:v>
      </x:c>
      <x:c r="D482" s="34" t="str">
        <x:v>0006</x:v>
      </x:c>
      <x:c r="E482" s="7" t="str">
        <x:v>North</x:v>
      </x:c>
      <x:c r="F482" s="7" t="n">
        <x:v>2</x:v>
      </x:c>
      <x:c r="G482" s="7" t="n">
        <x:v>260</x:v>
      </x:c>
      <x:c r="H482" s="9" t="n">
        <x:v>0</x:v>
      </x:c>
      <x:c r="I482" s="7" t="n">
        <x:v>520</x:v>
      </x:c>
    </x:row>
    <x:row r="483" ht="23" customHeight="1">
      <x:c r="A483" s="7" t="str">
        <x:v>INV00478</x:v>
      </x:c>
      <x:c r="B483" s="15" t="d">
        <x:v>2026-03-20T00:00:00.000Z</x:v>
      </x:c>
      <x:c r="C483" s="14" t="d">
        <x:v>2026-03-01T00:00:00.000Z</x:v>
      </x:c>
      <x:c r="D483" s="34" t="str">
        <x:v>0007</x:v>
      </x:c>
      <x:c r="E483" s="7" t="str">
        <x:v>North</x:v>
      </x:c>
      <x:c r="F483" s="7" t="n">
        <x:v>6</x:v>
      </x:c>
      <x:c r="G483" s="7" t="n">
        <x:v>280</x:v>
      </x:c>
      <x:c r="H483" s="9" t="n">
        <x:v>0.02</x:v>
      </x:c>
      <x:c r="I483" s="7" t="n">
        <x:v>1646.4</x:v>
      </x:c>
    </x:row>
    <x:row r="484" ht="23" customHeight="1">
      <x:c r="A484" s="7" t="str">
        <x:v>INV00479</x:v>
      </x:c>
      <x:c r="B484" s="15" t="d">
        <x:v>2026-03-21T00:00:00.000Z</x:v>
      </x:c>
      <x:c r="C484" s="14" t="d">
        <x:v>2026-03-01T00:00:00.000Z</x:v>
      </x:c>
      <x:c r="D484" s="34" t="str">
        <x:v>0008</x:v>
      </x:c>
      <x:c r="E484" s="7" t="str">
        <x:v>North</x:v>
      </x:c>
      <x:c r="F484" s="7" t="n">
        <x:v>5</x:v>
      </x:c>
      <x:c r="G484" s="7" t="n">
        <x:v>300</x:v>
      </x:c>
      <x:c r="H484" s="9" t="n">
        <x:v>0.05</x:v>
      </x:c>
      <x:c r="I484" s="7" t="n">
        <x:v>1425</x:v>
      </x:c>
    </x:row>
    <x:row r="485" ht="23" customHeight="1">
      <x:c r="A485" s="7" t="str">
        <x:v>INV00480</x:v>
      </x:c>
      <x:c r="B485" s="15" t="d">
        <x:v>2026-04-22T00:00:00.000Z</x:v>
      </x:c>
      <x:c r="C485" s="14" t="d">
        <x:v>2026-04-01T00:00:00.000Z</x:v>
      </x:c>
      <x:c r="D485" s="34" t="str">
        <x:v>0001</x:v>
      </x:c>
      <x:c r="E485" s="7" t="str">
        <x:v>Central</x:v>
      </x:c>
      <x:c r="F485" s="7" t="n">
        <x:v>3</x:v>
      </x:c>
      <x:c r="G485" s="7" t="n">
        <x:v>160</x:v>
      </x:c>
      <x:c r="H485" s="9" t="n">
        <x:v>0</x:v>
      </x:c>
      <x:c r="I485" s="7" t="n">
        <x:v>480</x:v>
      </x:c>
    </x:row>
    <x:row r="486" ht="23" customHeight="1">
      <x:c r="A486" s="7" t="str">
        <x:v>INV00481</x:v>
      </x:c>
      <x:c r="B486" s="15" t="d">
        <x:v>2026-04-23T00:00:00.000Z</x:v>
      </x:c>
      <x:c r="C486" s="14" t="d">
        <x:v>2026-04-01T00:00:00.000Z</x:v>
      </x:c>
      <x:c r="D486" s="34" t="str">
        <x:v>0002</x:v>
      </x:c>
      <x:c r="E486" s="7" t="str">
        <x:v>Central</x:v>
      </x:c>
      <x:c r="F486" s="7" t="n">
        <x:v>3</x:v>
      </x:c>
      <x:c r="G486" s="7" t="n">
        <x:v>180</x:v>
      </x:c>
      <x:c r="H486" s="9" t="n">
        <x:v>0.02</x:v>
      </x:c>
      <x:c r="I486" s="7" t="n">
        <x:v>529.2</x:v>
      </x:c>
    </x:row>
    <x:row r="487" ht="23" customHeight="1">
      <x:c r="A487" s="7" t="str">
        <x:v>INV00482</x:v>
      </x:c>
      <x:c r="B487" s="15" t="d">
        <x:v>2026-04-24T00:00:00.000Z</x:v>
      </x:c>
      <x:c r="C487" s="14" t="d">
        <x:v>2026-04-01T00:00:00.000Z</x:v>
      </x:c>
      <x:c r="D487" s="34" t="str">
        <x:v>0003</x:v>
      </x:c>
      <x:c r="E487" s="7" t="str">
        <x:v>Central</x:v>
      </x:c>
      <x:c r="F487" s="7" t="n">
        <x:v>3</x:v>
      </x:c>
      <x:c r="G487" s="7" t="n">
        <x:v>200</x:v>
      </x:c>
      <x:c r="H487" s="9" t="n">
        <x:v>0.05</x:v>
      </x:c>
      <x:c r="I487" s="7" t="n">
        <x:v>570</x:v>
      </x:c>
    </x:row>
    <x:row r="488" ht="23" customHeight="1">
      <x:c r="A488" s="7" t="str">
        <x:v>INV00483</x:v>
      </x:c>
      <x:c r="B488" s="15" t="d">
        <x:v>2026-04-25T00:00:00.000Z</x:v>
      </x:c>
      <x:c r="C488" s="14" t="d">
        <x:v>2026-04-01T00:00:00.000Z</x:v>
      </x:c>
      <x:c r="D488" s="34" t="str">
        <x:v>0004</x:v>
      </x:c>
      <x:c r="E488" s="7" t="str">
        <x:v>Central</x:v>
      </x:c>
      <x:c r="F488" s="7" t="n">
        <x:v>6</x:v>
      </x:c>
      <x:c r="G488" s="7" t="n">
        <x:v>220</x:v>
      </x:c>
      <x:c r="H488" s="9" t="n">
        <x:v>0</x:v>
      </x:c>
      <x:c r="I488" s="7" t="n">
        <x:v>1320</x:v>
      </x:c>
    </x:row>
    <x:row r="489" ht="23" customHeight="1">
      <x:c r="A489" s="7" t="str">
        <x:v>INV00484</x:v>
      </x:c>
      <x:c r="B489" s="15" t="d">
        <x:v>2026-04-26T00:00:00.000Z</x:v>
      </x:c>
      <x:c r="C489" s="14" t="d">
        <x:v>2026-04-01T00:00:00.000Z</x:v>
      </x:c>
      <x:c r="D489" s="34" t="str">
        <x:v>0005</x:v>
      </x:c>
      <x:c r="E489" s="7" t="str">
        <x:v>Central</x:v>
      </x:c>
      <x:c r="F489" s="7" t="n">
        <x:v>6</x:v>
      </x:c>
      <x:c r="G489" s="7" t="n">
        <x:v>240</x:v>
      </x:c>
      <x:c r="H489" s="9" t="n">
        <x:v>0.02</x:v>
      </x:c>
      <x:c r="I489" s="7" t="n">
        <x:v>1411.2</x:v>
      </x:c>
    </x:row>
    <x:row r="490" ht="23" customHeight="1">
      <x:c r="A490" s="7" t="str">
        <x:v>INV00485</x:v>
      </x:c>
      <x:c r="B490" s="15" t="d">
        <x:v>2026-04-27T00:00:00.000Z</x:v>
      </x:c>
      <x:c r="C490" s="14" t="d">
        <x:v>2026-04-01T00:00:00.000Z</x:v>
      </x:c>
      <x:c r="D490" s="34" t="str">
        <x:v>0006</x:v>
      </x:c>
      <x:c r="E490" s="7" t="str">
        <x:v>Central</x:v>
      </x:c>
      <x:c r="F490" s="7" t="n">
        <x:v>4</x:v>
      </x:c>
      <x:c r="G490" s="7" t="n">
        <x:v>260</x:v>
      </x:c>
      <x:c r="H490" s="9" t="n">
        <x:v>0.05</x:v>
      </x:c>
      <x:c r="I490" s="7" t="n">
        <x:v>988</x:v>
      </x:c>
    </x:row>
    <x:row r="491" ht="23" customHeight="1">
      <x:c r="A491" s="7" t="str">
        <x:v>INV00486</x:v>
      </x:c>
      <x:c r="B491" s="15" t="d">
        <x:v>2026-04-01T00:00:00.000Z</x:v>
      </x:c>
      <x:c r="C491" s="14" t="d">
        <x:v>2026-04-01T00:00:00.000Z</x:v>
      </x:c>
      <x:c r="D491" s="34" t="str">
        <x:v>0007</x:v>
      </x:c>
      <x:c r="E491" s="7" t="str">
        <x:v>Central</x:v>
      </x:c>
      <x:c r="F491" s="7" t="n">
        <x:v>1</x:v>
      </x:c>
      <x:c r="G491" s="7" t="n">
        <x:v>280</x:v>
      </x:c>
      <x:c r="H491" s="9" t="n">
        <x:v>0</x:v>
      </x:c>
      <x:c r="I491" s="7" t="n">
        <x:v>280</x:v>
      </x:c>
    </x:row>
    <x:row r="492" ht="23" customHeight="1">
      <x:c r="A492" s="7" t="str">
        <x:v>INV00487</x:v>
      </x:c>
      <x:c r="B492" s="15" t="d">
        <x:v>2026-04-02T00:00:00.000Z</x:v>
      </x:c>
      <x:c r="C492" s="14" t="d">
        <x:v>2026-04-01T00:00:00.000Z</x:v>
      </x:c>
      <x:c r="D492" s="34" t="str">
        <x:v>0008</x:v>
      </x:c>
      <x:c r="E492" s="7" t="str">
        <x:v>Central</x:v>
      </x:c>
      <x:c r="F492" s="7" t="n">
        <x:v>2</x:v>
      </x:c>
      <x:c r="G492" s="7" t="n">
        <x:v>300</x:v>
      </x:c>
      <x:c r="H492" s="9" t="n">
        <x:v>0.02</x:v>
      </x:c>
      <x:c r="I492" s="7" t="n">
        <x:v>588</x:v>
      </x:c>
    </x:row>
    <x:row r="493" ht="23" customHeight="1">
      <x:c r="A493" s="7" t="str">
        <x:v>INV00488</x:v>
      </x:c>
      <x:c r="B493" s="15" t="d">
        <x:v>2026-04-03T00:00:00.000Z</x:v>
      </x:c>
      <x:c r="C493" s="14" t="d">
        <x:v>2026-04-01T00:00:00.000Z</x:v>
      </x:c>
      <x:c r="D493" s="34" t="str">
        <x:v>0001</x:v>
      </x:c>
      <x:c r="E493" s="7" t="str">
        <x:v>East</x:v>
      </x:c>
      <x:c r="F493" s="7" t="n">
        <x:v>4</x:v>
      </x:c>
      <x:c r="G493" s="7" t="n">
        <x:v>160</x:v>
      </x:c>
      <x:c r="H493" s="9" t="n">
        <x:v>0.05</x:v>
      </x:c>
      <x:c r="I493" s="7" t="n">
        <x:v>608</x:v>
      </x:c>
    </x:row>
    <x:row r="494" ht="23" customHeight="1">
      <x:c r="A494" s="7" t="str">
        <x:v>INV00489</x:v>
      </x:c>
      <x:c r="B494" s="15" t="d">
        <x:v>2026-04-04T00:00:00.000Z</x:v>
      </x:c>
      <x:c r="C494" s="14" t="d">
        <x:v>2026-04-01T00:00:00.000Z</x:v>
      </x:c>
      <x:c r="D494" s="34" t="str">
        <x:v>0002</x:v>
      </x:c>
      <x:c r="E494" s="7" t="str">
        <x:v>East</x:v>
      </x:c>
      <x:c r="F494" s="7" t="n">
        <x:v>1</x:v>
      </x:c>
      <x:c r="G494" s="7" t="n">
        <x:v>180</x:v>
      </x:c>
      <x:c r="H494" s="9" t="n">
        <x:v>0</x:v>
      </x:c>
      <x:c r="I494" s="7" t="n">
        <x:v>180</x:v>
      </x:c>
    </x:row>
    <x:row r="495" ht="23" customHeight="1">
      <x:c r="A495" s="7" t="str">
        <x:v>INV00490</x:v>
      </x:c>
      <x:c r="B495" s="15" t="d">
        <x:v>2026-04-05T00:00:00.000Z</x:v>
      </x:c>
      <x:c r="C495" s="14" t="d">
        <x:v>2026-04-01T00:00:00.000Z</x:v>
      </x:c>
      <x:c r="D495" s="34" t="str">
        <x:v>0003</x:v>
      </x:c>
      <x:c r="E495" s="7" t="str">
        <x:v>East</x:v>
      </x:c>
      <x:c r="F495" s="7" t="n">
        <x:v>7</x:v>
      </x:c>
      <x:c r="G495" s="7" t="n">
        <x:v>200</x:v>
      </x:c>
      <x:c r="H495" s="9" t="n">
        <x:v>0.02</x:v>
      </x:c>
      <x:c r="I495" s="7" t="n">
        <x:v>1372</x:v>
      </x:c>
    </x:row>
    <x:row r="496" ht="23" customHeight="1">
      <x:c r="A496" s="7" t="str">
        <x:v>INV00491</x:v>
      </x:c>
      <x:c r="B496" s="15" t="d">
        <x:v>2026-04-06T00:00:00.000Z</x:v>
      </x:c>
      <x:c r="C496" s="14" t="d">
        <x:v>2026-04-01T00:00:00.000Z</x:v>
      </x:c>
      <x:c r="D496" s="34" t="str">
        <x:v>0004</x:v>
      </x:c>
      <x:c r="E496" s="7" t="str">
        <x:v>East</x:v>
      </x:c>
      <x:c r="F496" s="7" t="n">
        <x:v>7</x:v>
      </x:c>
      <x:c r="G496" s="7" t="n">
        <x:v>220</x:v>
      </x:c>
      <x:c r="H496" s="9" t="n">
        <x:v>0.05</x:v>
      </x:c>
      <x:c r="I496" s="7" t="n">
        <x:v>1463</x:v>
      </x:c>
    </x:row>
    <x:row r="497" ht="23" customHeight="1">
      <x:c r="A497" s="7" t="str">
        <x:v>INV00492</x:v>
      </x:c>
      <x:c r="B497" s="15" t="d">
        <x:v>2026-04-07T00:00:00.000Z</x:v>
      </x:c>
      <x:c r="C497" s="14" t="d">
        <x:v>2026-04-01T00:00:00.000Z</x:v>
      </x:c>
      <x:c r="D497" s="34" t="str">
        <x:v>0005</x:v>
      </x:c>
      <x:c r="E497" s="7" t="str">
        <x:v>East</x:v>
      </x:c>
      <x:c r="F497" s="7" t="n">
        <x:v>-7</x:v>
      </x:c>
      <x:c r="G497" s="7" t="n">
        <x:v>240</x:v>
      </x:c>
      <x:c r="H497" s="9" t="n">
        <x:v>0</x:v>
      </x:c>
      <x:c r="I497" s="7" t="n">
        <x:v>-1680</x:v>
      </x:c>
    </x:row>
    <x:row r="498" ht="23" customHeight="1">
      <x:c r="A498" s="7" t="str">
        <x:v>INV00493</x:v>
      </x:c>
      <x:c r="B498" s="15" t="d">
        <x:v>2026-04-08T00:00:00.000Z</x:v>
      </x:c>
      <x:c r="C498" s="14" t="d">
        <x:v>2026-04-01T00:00:00.000Z</x:v>
      </x:c>
      <x:c r="D498" s="34" t="str">
        <x:v>0006</x:v>
      </x:c>
      <x:c r="E498" s="7" t="str">
        <x:v>East</x:v>
      </x:c>
      <x:c r="F498" s="7" t="n">
        <x:v>7</x:v>
      </x:c>
      <x:c r="G498" s="7" t="n">
        <x:v>260</x:v>
      </x:c>
      <x:c r="H498" s="9" t="n">
        <x:v>0.02</x:v>
      </x:c>
      <x:c r="I498" s="7" t="n">
        <x:v>1783.6</x:v>
      </x:c>
    </x:row>
    <x:row r="499" ht="23" customHeight="1">
      <x:c r="A499" s="7" t="str">
        <x:v>INV00494</x:v>
      </x:c>
      <x:c r="B499" s="15" t="d">
        <x:v>2026-04-09T00:00:00.000Z</x:v>
      </x:c>
      <x:c r="C499" s="14" t="d">
        <x:v>2026-04-01T00:00:00.000Z</x:v>
      </x:c>
      <x:c r="D499" s="34" t="str">
        <x:v>0007</x:v>
      </x:c>
      <x:c r="E499" s="7" t="str">
        <x:v>East</x:v>
      </x:c>
      <x:c r="F499" s="7" t="n">
        <x:v>6</x:v>
      </x:c>
      <x:c r="G499" s="7" t="n">
        <x:v>280</x:v>
      </x:c>
      <x:c r="H499" s="9" t="n">
        <x:v>0.05</x:v>
      </x:c>
      <x:c r="I499" s="7" t="n">
        <x:v>1596</x:v>
      </x:c>
    </x:row>
    <x:row r="500" ht="23" customHeight="1">
      <x:c r="A500" s="7" t="str">
        <x:v>INV00495</x:v>
      </x:c>
      <x:c r="B500" s="15" t="d">
        <x:v>2026-04-10T00:00:00.000Z</x:v>
      </x:c>
      <x:c r="C500" s="14" t="d">
        <x:v>2026-04-01T00:00:00.000Z</x:v>
      </x:c>
      <x:c r="D500" s="34" t="str">
        <x:v>0008</x:v>
      </x:c>
      <x:c r="E500" s="7" t="str">
        <x:v>East</x:v>
      </x:c>
      <x:c r="F500" s="7" t="n">
        <x:v>2</x:v>
      </x:c>
      <x:c r="G500" s="7" t="n">
        <x:v>300</x:v>
      </x:c>
      <x:c r="H500" s="9" t="n">
        <x:v>0</x:v>
      </x:c>
      <x:c r="I500" s="7" t="n">
        <x:v>600</x:v>
      </x:c>
    </x:row>
    <x:row r="501" ht="23" customHeight="1">
      <x:c r="A501" s="7" t="str">
        <x:v>INV00496</x:v>
      </x:c>
      <x:c r="B501" s="15" t="d">
        <x:v>2026-04-11T00:00:00.000Z</x:v>
      </x:c>
      <x:c r="C501" s="14" t="d">
        <x:v>2026-04-01T00:00:00.000Z</x:v>
      </x:c>
      <x:c r="D501" s="34" t="str">
        <x:v>0001</x:v>
      </x:c>
      <x:c r="E501" s="7" t="str">
        <x:v>West</x:v>
      </x:c>
      <x:c r="F501" s="7" t="n">
        <x:v>6</x:v>
      </x:c>
      <x:c r="G501" s="7" t="n">
        <x:v>160</x:v>
      </x:c>
      <x:c r="H501" s="9" t="n">
        <x:v>0.02</x:v>
      </x:c>
      <x:c r="I501" s="7" t="n">
        <x:v>940.8</x:v>
      </x:c>
    </x:row>
    <x:row r="502" ht="23" customHeight="1">
      <x:c r="A502" s="7" t="str">
        <x:v>INV00497</x:v>
      </x:c>
      <x:c r="B502" s="15" t="d">
        <x:v>2026-04-12T00:00:00.000Z</x:v>
      </x:c>
      <x:c r="C502" s="14" t="d">
        <x:v>2026-04-01T00:00:00.000Z</x:v>
      </x:c>
      <x:c r="D502" s="34" t="str">
        <x:v>0002</x:v>
      </x:c>
      <x:c r="E502" s="7" t="str">
        <x:v>West</x:v>
      </x:c>
      <x:c r="F502" s="7" t="n">
        <x:v>3</x:v>
      </x:c>
      <x:c r="G502" s="7" t="n">
        <x:v>180</x:v>
      </x:c>
      <x:c r="H502" s="9" t="n">
        <x:v>0.05</x:v>
      </x:c>
      <x:c r="I502" s="7" t="n">
        <x:v>513</x:v>
      </x:c>
    </x:row>
    <x:row r="503" ht="23" customHeight="1">
      <x:c r="A503" s="7" t="str">
        <x:v>INV00498</x:v>
      </x:c>
      <x:c r="B503" s="15" t="d">
        <x:v>2026-04-13T00:00:00.000Z</x:v>
      </x:c>
      <x:c r="C503" s="14" t="d">
        <x:v>2026-04-01T00:00:00.000Z</x:v>
      </x:c>
      <x:c r="D503" s="34" t="str">
        <x:v>0003</x:v>
      </x:c>
      <x:c r="E503" s="7" t="str">
        <x:v>West</x:v>
      </x:c>
      <x:c r="F503" s="7" t="n">
        <x:v>7</x:v>
      </x:c>
      <x:c r="G503" s="7" t="n">
        <x:v>200</x:v>
      </x:c>
      <x:c r="H503" s="9" t="n">
        <x:v>0</x:v>
      </x:c>
      <x:c r="I503" s="7" t="n">
        <x:v>1400</x:v>
      </x:c>
    </x:row>
    <x:row r="504" ht="23" customHeight="1">
      <x:c r="A504" s="7" t="str">
        <x:v>INV00499</x:v>
      </x:c>
      <x:c r="B504" s="15" t="d">
        <x:v>2026-04-14T00:00:00.000Z</x:v>
      </x:c>
      <x:c r="C504" s="14" t="d">
        <x:v>2026-04-01T00:00:00.000Z</x:v>
      </x:c>
      <x:c r="D504" s="34" t="str">
        <x:v>0004</x:v>
      </x:c>
      <x:c r="E504" s="7" t="str">
        <x:v>West</x:v>
      </x:c>
      <x:c r="F504" s="7" t="n">
        <x:v>1</x:v>
      </x:c>
      <x:c r="G504" s="7" t="n">
        <x:v>220</x:v>
      </x:c>
      <x:c r="H504" s="9" t="n">
        <x:v>0.02</x:v>
      </x:c>
      <x:c r="I504" s="7" t="n">
        <x:v>215.6</x:v>
      </x:c>
    </x:row>
    <x:row r="505" ht="23" customHeight="1">
      <x:c r="A505" s="7" t="str">
        <x:v>INV00500</x:v>
      </x:c>
      <x:c r="B505" s="15" t="d">
        <x:v>2026-04-15T00:00:00.000Z</x:v>
      </x:c>
      <x:c r="C505" s="14" t="d">
        <x:v>2026-04-01T00:00:00.000Z</x:v>
      </x:c>
      <x:c r="D505" s="34" t="str">
        <x:v>0005</x:v>
      </x:c>
      <x:c r="E505" s="7" t="str">
        <x:v>West</x:v>
      </x:c>
      <x:c r="F505" s="7" t="n">
        <x:v>7</x:v>
      </x:c>
      <x:c r="G505" s="7" t="n">
        <x:v>240</x:v>
      </x:c>
      <x:c r="H505" s="9" t="n">
        <x:v>0.05</x:v>
      </x:c>
      <x:c r="I505" s="7" t="n">
        <x:v>1596</x:v>
      </x:c>
    </x:row>
    <x:row r="506" ht="23" customHeight="1">
      <x:c r="A506" s="7" t="str">
        <x:v>INV00501</x:v>
      </x:c>
      <x:c r="B506" s="15" t="d">
        <x:v>2026-04-16T00:00:00.000Z</x:v>
      </x:c>
      <x:c r="C506" s="14" t="d">
        <x:v>2026-04-01T00:00:00.000Z</x:v>
      </x:c>
      <x:c r="D506" s="34" t="str">
        <x:v>0006</x:v>
      </x:c>
      <x:c r="E506" s="7" t="str">
        <x:v>West</x:v>
      </x:c>
      <x:c r="F506" s="7" t="n">
        <x:v>4</x:v>
      </x:c>
      <x:c r="G506" s="7" t="n">
        <x:v>260</x:v>
      </x:c>
      <x:c r="H506" s="9" t="n">
        <x:v>0</x:v>
      </x:c>
      <x:c r="I506" s="7" t="n">
        <x:v>1040</x:v>
      </x:c>
    </x:row>
    <x:row r="507" ht="23" customHeight="1">
      <x:c r="A507" s="7" t="str">
        <x:v>INV00502</x:v>
      </x:c>
      <x:c r="B507" s="15" t="d">
        <x:v>2026-04-17T00:00:00.000Z</x:v>
      </x:c>
      <x:c r="C507" s="14" t="d">
        <x:v>2026-04-01T00:00:00.000Z</x:v>
      </x:c>
      <x:c r="D507" s="34" t="str">
        <x:v>0007</x:v>
      </x:c>
      <x:c r="E507" s="7" t="str">
        <x:v>West</x:v>
      </x:c>
      <x:c r="F507" s="7" t="n">
        <x:v>4</x:v>
      </x:c>
      <x:c r="G507" s="7" t="n">
        <x:v>280</x:v>
      </x:c>
      <x:c r="H507" s="9" t="n">
        <x:v>0.02</x:v>
      </x:c>
      <x:c r="I507" s="7" t="n">
        <x:v>1097.6</x:v>
      </x:c>
    </x:row>
    <x:row r="508" ht="23" customHeight="1">
      <x:c r="A508" s="7" t="str">
        <x:v>INV00503</x:v>
      </x:c>
      <x:c r="B508" s="15" t="d">
        <x:v>2026-04-18T00:00:00.000Z</x:v>
      </x:c>
      <x:c r="C508" s="14" t="d">
        <x:v>2026-04-01T00:00:00.000Z</x:v>
      </x:c>
      <x:c r="D508" s="34" t="str">
        <x:v>0008</x:v>
      </x:c>
      <x:c r="E508" s="7" t="str">
        <x:v>West</x:v>
      </x:c>
      <x:c r="F508" s="7" t="n">
        <x:v>2</x:v>
      </x:c>
      <x:c r="G508" s="7" t="n">
        <x:v>300</x:v>
      </x:c>
      <x:c r="H508" s="9" t="n">
        <x:v>0.05</x:v>
      </x:c>
      <x:c r="I508" s="7" t="n">
        <x:v>570</x:v>
      </x:c>
    </x:row>
    <x:row r="509" ht="23" customHeight="1">
      <x:c r="A509" s="7" t="str">
        <x:v>INV00504</x:v>
      </x:c>
      <x:c r="B509" s="15" t="d">
        <x:v>2026-04-19T00:00:00.000Z</x:v>
      </x:c>
      <x:c r="C509" s="14" t="d">
        <x:v>2026-04-01T00:00:00.000Z</x:v>
      </x:c>
      <x:c r="D509" s="34" t="str">
        <x:v>0001</x:v>
      </x:c>
      <x:c r="E509" s="7" t="str">
        <x:v>North</x:v>
      </x:c>
      <x:c r="F509" s="7" t="n">
        <x:v>5</x:v>
      </x:c>
      <x:c r="G509" s="7" t="n">
        <x:v>160</x:v>
      </x:c>
      <x:c r="H509" s="9" t="n">
        <x:v>0</x:v>
      </x:c>
      <x:c r="I509" s="7" t="n">
        <x:v>800</x:v>
      </x:c>
    </x:row>
    <x:row r="510" ht="23" customHeight="1">
      <x:c r="A510" s="7" t="str">
        <x:v>INV00505</x:v>
      </x:c>
      <x:c r="B510" s="15" t="d">
        <x:v>2026-04-20T00:00:00.000Z</x:v>
      </x:c>
      <x:c r="C510" s="14" t="d">
        <x:v>2026-04-01T00:00:00.000Z</x:v>
      </x:c>
      <x:c r="D510" s="34" t="str">
        <x:v>0002</x:v>
      </x:c>
      <x:c r="E510" s="7" t="str">
        <x:v>North</x:v>
      </x:c>
      <x:c r="F510" s="7" t="n">
        <x:v>3</x:v>
      </x:c>
      <x:c r="G510" s="7" t="n">
        <x:v>180</x:v>
      </x:c>
      <x:c r="H510" s="9" t="n">
        <x:v>0.02</x:v>
      </x:c>
      <x:c r="I510" s="7" t="n">
        <x:v>529.2</x:v>
      </x:c>
    </x:row>
    <x:row r="511" ht="23" customHeight="1">
      <x:c r="A511" s="7" t="str">
        <x:v>INV00506</x:v>
      </x:c>
      <x:c r="B511" s="15" t="d">
        <x:v>2026-04-21T00:00:00.000Z</x:v>
      </x:c>
      <x:c r="C511" s="14" t="d">
        <x:v>2026-04-01T00:00:00.000Z</x:v>
      </x:c>
      <x:c r="D511" s="34" t="str">
        <x:v>0003</x:v>
      </x:c>
      <x:c r="E511" s="7" t="str">
        <x:v>North</x:v>
      </x:c>
      <x:c r="F511" s="7" t="n">
        <x:v>7</x:v>
      </x:c>
      <x:c r="G511" s="7" t="n">
        <x:v>200</x:v>
      </x:c>
      <x:c r="H511" s="9" t="n">
        <x:v>0.05</x:v>
      </x:c>
      <x:c r="I511" s="7" t="n">
        <x:v>1330</x:v>
      </x:c>
    </x:row>
    <x:row r="512" ht="23" customHeight="1">
      <x:c r="A512" s="7" t="str">
        <x:v>INV00507</x:v>
      </x:c>
      <x:c r="B512" s="15" t="d">
        <x:v>2026-04-22T00:00:00.000Z</x:v>
      </x:c>
      <x:c r="C512" s="14" t="d">
        <x:v>2026-04-01T00:00:00.000Z</x:v>
      </x:c>
      <x:c r="D512" s="34" t="str">
        <x:v>0004</x:v>
      </x:c>
      <x:c r="E512" s="7" t="str">
        <x:v>North</x:v>
      </x:c>
      <x:c r="F512" s="7" t="n">
        <x:v>2</x:v>
      </x:c>
      <x:c r="G512" s="7" t="n">
        <x:v>220</x:v>
      </x:c>
      <x:c r="H512" s="9" t="n">
        <x:v>0</x:v>
      </x:c>
      <x:c r="I512" s="7" t="n">
        <x:v>440</x:v>
      </x:c>
    </x:row>
    <x:row r="513" ht="23" customHeight="1">
      <x:c r="A513" s="7" t="str">
        <x:v>INV00508</x:v>
      </x:c>
      <x:c r="B513" s="15" t="d">
        <x:v>2026-04-23T00:00:00.000Z</x:v>
      </x:c>
      <x:c r="C513" s="14" t="d">
        <x:v>2026-04-01T00:00:00.000Z</x:v>
      </x:c>
      <x:c r="D513" s="34" t="str">
        <x:v>0005</x:v>
      </x:c>
      <x:c r="E513" s="7" t="str">
        <x:v>North</x:v>
      </x:c>
      <x:c r="F513" s="7" t="n">
        <x:v>7</x:v>
      </x:c>
      <x:c r="G513" s="7" t="n">
        <x:v>240</x:v>
      </x:c>
      <x:c r="H513" s="9" t="n">
        <x:v>0.02</x:v>
      </x:c>
      <x:c r="I513" s="7" t="n">
        <x:v>1646.4</x:v>
      </x:c>
    </x:row>
    <x:row r="514" ht="23" customHeight="1">
      <x:c r="A514" s="7" t="str">
        <x:v>INV00509</x:v>
      </x:c>
      <x:c r="B514" s="15" t="d">
        <x:v>2026-04-24T00:00:00.000Z</x:v>
      </x:c>
      <x:c r="C514" s="14" t="d">
        <x:v>2026-04-01T00:00:00.000Z</x:v>
      </x:c>
      <x:c r="D514" s="34" t="str">
        <x:v>0006</x:v>
      </x:c>
      <x:c r="E514" s="7" t="str">
        <x:v>North</x:v>
      </x:c>
      <x:c r="F514" s="7" t="n">
        <x:v>3</x:v>
      </x:c>
      <x:c r="G514" s="7" t="n">
        <x:v>260</x:v>
      </x:c>
      <x:c r="H514" s="9" t="n">
        <x:v>0.05</x:v>
      </x:c>
      <x:c r="I514" s="7" t="n">
        <x:v>741</x:v>
      </x:c>
    </x:row>
    <x:row r="515" ht="23" customHeight="1">
      <x:c r="A515" s="7" t="str">
        <x:v>INV00510</x:v>
      </x:c>
      <x:c r="B515" s="15" t="d">
        <x:v>2026-04-25T00:00:00.000Z</x:v>
      </x:c>
      <x:c r="C515" s="14" t="d">
        <x:v>2026-04-01T00:00:00.000Z</x:v>
      </x:c>
      <x:c r="D515" s="34" t="str">
        <x:v>0007</x:v>
      </x:c>
      <x:c r="E515" s="7" t="str">
        <x:v>North</x:v>
      </x:c>
      <x:c r="F515" s="7" t="n">
        <x:v>2</x:v>
      </x:c>
      <x:c r="G515" s="7" t="n">
        <x:v>280</x:v>
      </x:c>
      <x:c r="H515" s="9" t="n">
        <x:v>0</x:v>
      </x:c>
      <x:c r="I515" s="7" t="n">
        <x:v>560</x:v>
      </x:c>
    </x:row>
    <x:row r="516" ht="23" customHeight="1">
      <x:c r="A516" s="7" t="str">
        <x:v>INV00511</x:v>
      </x:c>
      <x:c r="B516" s="15" t="d">
        <x:v>2026-04-26T00:00:00.000Z</x:v>
      </x:c>
      <x:c r="C516" s="14" t="d">
        <x:v>2026-04-01T00:00:00.000Z</x:v>
      </x:c>
      <x:c r="D516" s="34" t="str">
        <x:v>0008</x:v>
      </x:c>
      <x:c r="E516" s="7" t="str">
        <x:v>North</x:v>
      </x:c>
      <x:c r="F516" s="7" t="n">
        <x:v>2</x:v>
      </x:c>
      <x:c r="G516" s="7" t="n">
        <x:v>300</x:v>
      </x:c>
      <x:c r="H516" s="9" t="n">
        <x:v>0.02</x:v>
      </x:c>
      <x:c r="I516" s="7" t="n">
        <x:v>588</x:v>
      </x:c>
    </x:row>
    <x:row r="517" ht="23" customHeight="1">
      <x:c r="A517" s="7" t="str">
        <x:v>INV00512</x:v>
      </x:c>
      <x:c r="B517" s="15" t="d">
        <x:v>2026-05-27T00:00:00.000Z</x:v>
      </x:c>
      <x:c r="C517" s="14" t="d">
        <x:v>2026-05-01T00:00:00.000Z</x:v>
      </x:c>
      <x:c r="D517" s="34" t="str">
        <x:v>0001</x:v>
      </x:c>
      <x:c r="E517" s="7" t="str">
        <x:v>Central</x:v>
      </x:c>
      <x:c r="F517" s="7" t="n">
        <x:v>6</x:v>
      </x:c>
      <x:c r="G517" s="7" t="n">
        <x:v>160</x:v>
      </x:c>
      <x:c r="H517" s="9" t="n">
        <x:v>0.05</x:v>
      </x:c>
      <x:c r="I517" s="7" t="n">
        <x:v>912</x:v>
      </x:c>
    </x:row>
    <x:row r="518" ht="23" customHeight="1">
      <x:c r="A518" s="7" t="str">
        <x:v>INV00513</x:v>
      </x:c>
      <x:c r="B518" s="15" t="d">
        <x:v>2026-05-01T00:00:00.000Z</x:v>
      </x:c>
      <x:c r="C518" s="14" t="d">
        <x:v>2026-05-01T00:00:00.000Z</x:v>
      </x:c>
      <x:c r="D518" s="34" t="str">
        <x:v>0002</x:v>
      </x:c>
      <x:c r="E518" s="7" t="str">
        <x:v>Central</x:v>
      </x:c>
      <x:c r="F518" s="7" t="n">
        <x:v>4</x:v>
      </x:c>
      <x:c r="G518" s="7" t="n">
        <x:v>180</x:v>
      </x:c>
      <x:c r="H518" s="9" t="n">
        <x:v>0</x:v>
      </x:c>
      <x:c r="I518" s="7" t="n">
        <x:v>720</x:v>
      </x:c>
    </x:row>
    <x:row r="519" ht="23" customHeight="1">
      <x:c r="A519" s="7" t="str">
        <x:v>INV00514</x:v>
      </x:c>
      <x:c r="B519" s="15" t="d">
        <x:v>2026-05-02T00:00:00.000Z</x:v>
      </x:c>
      <x:c r="C519" s="14" t="d">
        <x:v>2026-05-01T00:00:00.000Z</x:v>
      </x:c>
      <x:c r="D519" s="34" t="str">
        <x:v>0003</x:v>
      </x:c>
      <x:c r="E519" s="7" t="str">
        <x:v>Central</x:v>
      </x:c>
      <x:c r="F519" s="7" t="n">
        <x:v>2</x:v>
      </x:c>
      <x:c r="G519" s="7" t="n">
        <x:v>200</x:v>
      </x:c>
      <x:c r="H519" s="9" t="n">
        <x:v>0.02</x:v>
      </x:c>
      <x:c r="I519" s="7" t="n">
        <x:v>392</x:v>
      </x:c>
    </x:row>
    <x:row r="520" ht="23" customHeight="1">
      <x:c r="A520" s="7" t="str">
        <x:v>INV00515</x:v>
      </x:c>
      <x:c r="B520" s="15" t="d">
        <x:v>2026-05-03T00:00:00.000Z</x:v>
      </x:c>
      <x:c r="C520" s="14" t="d">
        <x:v>2026-05-01T00:00:00.000Z</x:v>
      </x:c>
      <x:c r="D520" s="34" t="str">
        <x:v>0004</x:v>
      </x:c>
      <x:c r="E520" s="7" t="str">
        <x:v>Central</x:v>
      </x:c>
      <x:c r="F520" s="7" t="n">
        <x:v>3</x:v>
      </x:c>
      <x:c r="G520" s="7" t="n">
        <x:v>220</x:v>
      </x:c>
      <x:c r="H520" s="9" t="n">
        <x:v>0.05</x:v>
      </x:c>
      <x:c r="I520" s="7" t="n">
        <x:v>627</x:v>
      </x:c>
    </x:row>
    <x:row r="521" ht="23" customHeight="1">
      <x:c r="A521" s="7" t="str">
        <x:v>INV00516</x:v>
      </x:c>
      <x:c r="B521" s="15" t="d">
        <x:v>2026-05-04T00:00:00.000Z</x:v>
      </x:c>
      <x:c r="C521" s="14" t="d">
        <x:v>2026-05-01T00:00:00.000Z</x:v>
      </x:c>
      <x:c r="D521" s="34" t="str">
        <x:v>0005</x:v>
      </x:c>
      <x:c r="E521" s="7" t="str">
        <x:v>Central</x:v>
      </x:c>
      <x:c r="F521" s="7" t="n">
        <x:v>6</x:v>
      </x:c>
      <x:c r="G521" s="7" t="n">
        <x:v>240</x:v>
      </x:c>
      <x:c r="H521" s="9" t="n">
        <x:v>0</x:v>
      </x:c>
      <x:c r="I521" s="7" t="n">
        <x:v>1440</x:v>
      </x:c>
    </x:row>
    <x:row r="522" ht="23" customHeight="1">
      <x:c r="A522" s="7" t="str">
        <x:v>INV00517</x:v>
      </x:c>
      <x:c r="B522" s="15" t="d">
        <x:v>2026-05-05T00:00:00.000Z</x:v>
      </x:c>
      <x:c r="C522" s="14" t="d">
        <x:v>2026-05-01T00:00:00.000Z</x:v>
      </x:c>
      <x:c r="D522" s="34" t="str">
        <x:v>0006</x:v>
      </x:c>
      <x:c r="E522" s="7" t="str">
        <x:v>Central</x:v>
      </x:c>
      <x:c r="F522" s="7" t="n">
        <x:v>2</x:v>
      </x:c>
      <x:c r="G522" s="7" t="n">
        <x:v>260</x:v>
      </x:c>
      <x:c r="H522" s="9" t="n">
        <x:v>0.02</x:v>
      </x:c>
      <x:c r="I522" s="7" t="n">
        <x:v>509.6</x:v>
      </x:c>
    </x:row>
    <x:row r="523" ht="23" customHeight="1">
      <x:c r="A523" s="7" t="str">
        <x:v>INV00518</x:v>
      </x:c>
      <x:c r="B523" s="15" t="d">
        <x:v>2026-05-06T00:00:00.000Z</x:v>
      </x:c>
      <x:c r="C523" s="14" t="d">
        <x:v>2026-05-01T00:00:00.000Z</x:v>
      </x:c>
      <x:c r="D523" s="34" t="str">
        <x:v>0007</x:v>
      </x:c>
      <x:c r="E523" s="7" t="str">
        <x:v>Central</x:v>
      </x:c>
      <x:c r="F523" s="7" t="n">
        <x:v>2</x:v>
      </x:c>
      <x:c r="G523" s="7" t="n">
        <x:v>280</x:v>
      </x:c>
      <x:c r="H523" s="9" t="n">
        <x:v>0.05</x:v>
      </x:c>
      <x:c r="I523" s="7" t="n">
        <x:v>532</x:v>
      </x:c>
    </x:row>
    <x:row r="524" ht="23" customHeight="1">
      <x:c r="A524" s="7" t="str">
        <x:v>INV00519</x:v>
      </x:c>
      <x:c r="B524" s="15" t="d">
        <x:v>2026-05-07T00:00:00.000Z</x:v>
      </x:c>
      <x:c r="C524" s="14" t="d">
        <x:v>2026-05-01T00:00:00.000Z</x:v>
      </x:c>
      <x:c r="D524" s="34" t="str">
        <x:v>0008</x:v>
      </x:c>
      <x:c r="E524" s="7" t="str">
        <x:v>Central</x:v>
      </x:c>
      <x:c r="F524" s="7" t="n">
        <x:v>6</x:v>
      </x:c>
      <x:c r="G524" s="7" t="n">
        <x:v>300</x:v>
      </x:c>
      <x:c r="H524" s="9" t="n">
        <x:v>0</x:v>
      </x:c>
      <x:c r="I524" s="7" t="n">
        <x:v>1800</x:v>
      </x:c>
    </x:row>
    <x:row r="525" ht="23" customHeight="1">
      <x:c r="A525" s="7" t="str">
        <x:v>INV00520</x:v>
      </x:c>
      <x:c r="B525" s="15" t="d">
        <x:v>2026-05-08T00:00:00.000Z</x:v>
      </x:c>
      <x:c r="C525" s="14" t="d">
        <x:v>2026-05-01T00:00:00.000Z</x:v>
      </x:c>
      <x:c r="D525" s="34" t="str">
        <x:v>0001</x:v>
      </x:c>
      <x:c r="E525" s="7" t="str">
        <x:v>East</x:v>
      </x:c>
      <x:c r="F525" s="7" t="n">
        <x:v>4</x:v>
      </x:c>
      <x:c r="G525" s="7" t="n">
        <x:v>160</x:v>
      </x:c>
      <x:c r="H525" s="9" t="n">
        <x:v>0.02</x:v>
      </x:c>
      <x:c r="I525" s="7" t="n">
        <x:v>627.2</x:v>
      </x:c>
    </x:row>
    <x:row r="526" ht="23" customHeight="1">
      <x:c r="A526" s="7" t="str">
        <x:v>INV00521</x:v>
      </x:c>
      <x:c r="B526" s="15" t="d">
        <x:v>2026-05-09T00:00:00.000Z</x:v>
      </x:c>
      <x:c r="C526" s="14" t="d">
        <x:v>2026-05-01T00:00:00.000Z</x:v>
      </x:c>
      <x:c r="D526" s="34" t="str">
        <x:v>0002</x:v>
      </x:c>
      <x:c r="E526" s="7" t="str">
        <x:v>East</x:v>
      </x:c>
      <x:c r="F526" s="7" t="n">
        <x:v>5</x:v>
      </x:c>
      <x:c r="G526" s="7" t="n">
        <x:v>180</x:v>
      </x:c>
      <x:c r="H526" s="9" t="n">
        <x:v>0.05</x:v>
      </x:c>
      <x:c r="I526" s="7" t="n">
        <x:v>855</x:v>
      </x:c>
    </x:row>
    <x:row r="527" ht="23" customHeight="1">
      <x:c r="A527" s="7" t="str">
        <x:v>INV00522</x:v>
      </x:c>
      <x:c r="B527" s="15" t="d">
        <x:v>2026-05-10T00:00:00.000Z</x:v>
      </x:c>
      <x:c r="C527" s="14" t="d">
        <x:v>2026-05-01T00:00:00.000Z</x:v>
      </x:c>
      <x:c r="D527" s="34" t="str">
        <x:v>0003</x:v>
      </x:c>
      <x:c r="E527" s="7" t="str">
        <x:v>East</x:v>
      </x:c>
      <x:c r="F527" s="7" t="n">
        <x:v>4</x:v>
      </x:c>
      <x:c r="G527" s="7" t="n">
        <x:v>200</x:v>
      </x:c>
      <x:c r="H527" s="9" t="n">
        <x:v>0</x:v>
      </x:c>
      <x:c r="I527" s="7" t="n">
        <x:v>800</x:v>
      </x:c>
    </x:row>
    <x:row r="528" ht="23" customHeight="1">
      <x:c r="A528" s="7" t="str">
        <x:v>INV00523</x:v>
      </x:c>
      <x:c r="B528" s="15" t="d">
        <x:v>2026-05-11T00:00:00.000Z</x:v>
      </x:c>
      <x:c r="C528" s="14" t="d">
        <x:v>2026-05-01T00:00:00.000Z</x:v>
      </x:c>
      <x:c r="D528" s="34" t="str">
        <x:v>0004</x:v>
      </x:c>
      <x:c r="E528" s="7" t="str">
        <x:v>East</x:v>
      </x:c>
      <x:c r="F528" s="7" t="n">
        <x:v>1</x:v>
      </x:c>
      <x:c r="G528" s="7" t="n">
        <x:v>220</x:v>
      </x:c>
      <x:c r="H528" s="9" t="n">
        <x:v>0.02</x:v>
      </x:c>
      <x:c r="I528" s="7" t="n">
        <x:v>215.6</x:v>
      </x:c>
    </x:row>
    <x:row r="529" ht="23" customHeight="1">
      <x:c r="A529" s="7" t="str">
        <x:v>INV00524</x:v>
      </x:c>
      <x:c r="B529" s="15" t="d">
        <x:v>2026-05-12T00:00:00.000Z</x:v>
      </x:c>
      <x:c r="C529" s="14" t="d">
        <x:v>2026-05-01T00:00:00.000Z</x:v>
      </x:c>
      <x:c r="D529" s="34" t="str">
        <x:v>0005</x:v>
      </x:c>
      <x:c r="E529" s="7" t="str">
        <x:v>East</x:v>
      </x:c>
      <x:c r="F529" s="7" t="n">
        <x:v>1</x:v>
      </x:c>
      <x:c r="G529" s="7" t="n">
        <x:v>240</x:v>
      </x:c>
      <x:c r="H529" s="9" t="n">
        <x:v>0.05</x:v>
      </x:c>
      <x:c r="I529" s="7" t="n">
        <x:v>228</x:v>
      </x:c>
    </x:row>
    <x:row r="530" ht="23" customHeight="1">
      <x:c r="A530" s="7" t="str">
        <x:v>INV00525</x:v>
      </x:c>
      <x:c r="B530" s="15" t="d">
        <x:v>2026-05-13T00:00:00.000Z</x:v>
      </x:c>
      <x:c r="C530" s="14" t="d">
        <x:v>2026-05-01T00:00:00.000Z</x:v>
      </x:c>
      <x:c r="D530" s="34" t="str">
        <x:v>0006</x:v>
      </x:c>
      <x:c r="E530" s="7" t="str">
        <x:v>East</x:v>
      </x:c>
      <x:c r="F530" s="7" t="n">
        <x:v>2</x:v>
      </x:c>
      <x:c r="G530" s="7" t="n">
        <x:v>260</x:v>
      </x:c>
      <x:c r="H530" s="9" t="n">
        <x:v>0</x:v>
      </x:c>
      <x:c r="I530" s="7" t="n">
        <x:v>520</x:v>
      </x:c>
    </x:row>
    <x:row r="531" ht="23" customHeight="1">
      <x:c r="A531" s="7" t="str">
        <x:v>INV00526</x:v>
      </x:c>
      <x:c r="B531" s="15" t="d">
        <x:v>2026-05-14T00:00:00.000Z</x:v>
      </x:c>
      <x:c r="C531" s="14" t="d">
        <x:v>2026-05-01T00:00:00.000Z</x:v>
      </x:c>
      <x:c r="D531" s="34" t="str">
        <x:v>0007</x:v>
      </x:c>
      <x:c r="E531" s="7" t="str">
        <x:v>East</x:v>
      </x:c>
      <x:c r="F531" s="7" t="n">
        <x:v>3</x:v>
      </x:c>
      <x:c r="G531" s="7" t="n">
        <x:v>280</x:v>
      </x:c>
      <x:c r="H531" s="9" t="n">
        <x:v>0.02</x:v>
      </x:c>
      <x:c r="I531" s="7" t="n">
        <x:v>823.2</x:v>
      </x:c>
    </x:row>
    <x:row r="532" ht="23" customHeight="1">
      <x:c r="A532" s="7" t="str">
        <x:v>INV00527</x:v>
      </x:c>
      <x:c r="B532" s="15" t="d">
        <x:v>2026-05-15T00:00:00.000Z</x:v>
      </x:c>
      <x:c r="C532" s="14" t="d">
        <x:v>2026-05-01T00:00:00.000Z</x:v>
      </x:c>
      <x:c r="D532" s="34" t="str">
        <x:v>0008</x:v>
      </x:c>
      <x:c r="E532" s="7" t="str">
        <x:v>East</x:v>
      </x:c>
      <x:c r="F532" s="7" t="n">
        <x:v>7</x:v>
      </x:c>
      <x:c r="G532" s="7" t="n">
        <x:v>300</x:v>
      </x:c>
      <x:c r="H532" s="9" t="n">
        <x:v>0.05</x:v>
      </x:c>
      <x:c r="I532" s="7" t="n">
        <x:v>1995</x:v>
      </x:c>
    </x:row>
    <x:row r="533" ht="23" customHeight="1">
      <x:c r="A533" s="7" t="str">
        <x:v>INV00528</x:v>
      </x:c>
      <x:c r="B533" s="15" t="d">
        <x:v>2026-05-16T00:00:00.000Z</x:v>
      </x:c>
      <x:c r="C533" s="14" t="d">
        <x:v>2026-05-01T00:00:00.000Z</x:v>
      </x:c>
      <x:c r="D533" s="34" t="str">
        <x:v>0001</x:v>
      </x:c>
      <x:c r="E533" s="7" t="str">
        <x:v>West</x:v>
      </x:c>
      <x:c r="F533" s="7" t="n">
        <x:v>3</x:v>
      </x:c>
      <x:c r="G533" s="7" t="n">
        <x:v>160</x:v>
      </x:c>
      <x:c r="H533" s="9" t="n">
        <x:v>0</x:v>
      </x:c>
      <x:c r="I533" s="7" t="n">
        <x:v>480</x:v>
      </x:c>
    </x:row>
    <x:row r="534" ht="23" customHeight="1">
      <x:c r="A534" s="7" t="str">
        <x:v>INV00529</x:v>
      </x:c>
      <x:c r="B534" s="15" t="d">
        <x:v>2026-05-17T00:00:00.000Z</x:v>
      </x:c>
      <x:c r="C534" s="14" t="d">
        <x:v>2026-05-01T00:00:00.000Z</x:v>
      </x:c>
      <x:c r="D534" s="34" t="str">
        <x:v>0002</x:v>
      </x:c>
      <x:c r="E534" s="7" t="str">
        <x:v>West</x:v>
      </x:c>
      <x:c r="F534" s="7" t="n">
        <x:v>3</x:v>
      </x:c>
      <x:c r="G534" s="7" t="n">
        <x:v>180</x:v>
      </x:c>
      <x:c r="H534" s="9" t="n">
        <x:v>0.02</x:v>
      </x:c>
      <x:c r="I534" s="7" t="n">
        <x:v>529.2</x:v>
      </x:c>
    </x:row>
    <x:row r="535" ht="23" customHeight="1">
      <x:c r="A535" s="7" t="str">
        <x:v>INV00530</x:v>
      </x:c>
      <x:c r="B535" s="15" t="d">
        <x:v>2026-05-18T00:00:00.000Z</x:v>
      </x:c>
      <x:c r="C535" s="14" t="d">
        <x:v>2026-05-01T00:00:00.000Z</x:v>
      </x:c>
      <x:c r="D535" s="34" t="str">
        <x:v>0003</x:v>
      </x:c>
      <x:c r="E535" s="7" t="str">
        <x:v>West</x:v>
      </x:c>
      <x:c r="F535" s="7" t="n">
        <x:v>5</x:v>
      </x:c>
      <x:c r="G535" s="7" t="n">
        <x:v>200</x:v>
      </x:c>
      <x:c r="H535" s="9" t="n">
        <x:v>0.05</x:v>
      </x:c>
      <x:c r="I535" s="7" t="n">
        <x:v>950</x:v>
      </x:c>
    </x:row>
    <x:row r="536" ht="23" customHeight="1">
      <x:c r="A536" s="7" t="str">
        <x:v>INV00531</x:v>
      </x:c>
      <x:c r="B536" s="15" t="d">
        <x:v>2026-05-19T00:00:00.000Z</x:v>
      </x:c>
      <x:c r="C536" s="14" t="d">
        <x:v>2026-05-01T00:00:00.000Z</x:v>
      </x:c>
      <x:c r="D536" s="34" t="str">
        <x:v>0004</x:v>
      </x:c>
      <x:c r="E536" s="7" t="str">
        <x:v>West</x:v>
      </x:c>
      <x:c r="F536" s="7" t="n">
        <x:v>5</x:v>
      </x:c>
      <x:c r="G536" s="7" t="n">
        <x:v>220</x:v>
      </x:c>
      <x:c r="H536" s="9" t="n">
        <x:v>0</x:v>
      </x:c>
      <x:c r="I536" s="7" t="n">
        <x:v>1100</x:v>
      </x:c>
    </x:row>
    <x:row r="537" ht="23" customHeight="1">
      <x:c r="A537" s="7" t="str">
        <x:v>INV00532</x:v>
      </x:c>
      <x:c r="B537" s="15" t="d">
        <x:v>2026-05-20T00:00:00.000Z</x:v>
      </x:c>
      <x:c r="C537" s="14" t="d">
        <x:v>2026-05-01T00:00:00.000Z</x:v>
      </x:c>
      <x:c r="D537" s="34" t="str">
        <x:v>0005</x:v>
      </x:c>
      <x:c r="E537" s="7" t="str">
        <x:v>West</x:v>
      </x:c>
      <x:c r="F537" s="7" t="n">
        <x:v>2</x:v>
      </x:c>
      <x:c r="G537" s="7" t="n">
        <x:v>240</x:v>
      </x:c>
      <x:c r="H537" s="9" t="n">
        <x:v>0.02</x:v>
      </x:c>
      <x:c r="I537" s="7" t="n">
        <x:v>470.4</x:v>
      </x:c>
    </x:row>
    <x:row r="538" ht="23" customHeight="1">
      <x:c r="A538" s="7" t="str">
        <x:v>INV00533</x:v>
      </x:c>
      <x:c r="B538" s="15" t="d">
        <x:v>2026-05-21T00:00:00.000Z</x:v>
      </x:c>
      <x:c r="C538" s="14" t="d">
        <x:v>2026-05-01T00:00:00.000Z</x:v>
      </x:c>
      <x:c r="D538" s="34" t="str">
        <x:v>0006</x:v>
      </x:c>
      <x:c r="E538" s="7" t="str">
        <x:v>West</x:v>
      </x:c>
      <x:c r="F538" s="7" t="n">
        <x:v>-4</x:v>
      </x:c>
      <x:c r="G538" s="7" t="n">
        <x:v>260</x:v>
      </x:c>
      <x:c r="H538" s="9" t="n">
        <x:v>0.05</x:v>
      </x:c>
      <x:c r="I538" s="7" t="n">
        <x:v>-988</x:v>
      </x:c>
    </x:row>
    <x:row r="539" ht="23" customHeight="1">
      <x:c r="A539" s="7" t="str">
        <x:v>INV00534</x:v>
      </x:c>
      <x:c r="B539" s="15" t="d">
        <x:v>2026-05-22T00:00:00.000Z</x:v>
      </x:c>
      <x:c r="C539" s="14" t="d">
        <x:v>2026-05-01T00:00:00.000Z</x:v>
      </x:c>
      <x:c r="D539" s="34" t="str">
        <x:v>0007</x:v>
      </x:c>
      <x:c r="E539" s="7" t="str">
        <x:v>West</x:v>
      </x:c>
      <x:c r="F539" s="7" t="n">
        <x:v>4</x:v>
      </x:c>
      <x:c r="G539" s="7" t="n">
        <x:v>280</x:v>
      </x:c>
      <x:c r="H539" s="9" t="n">
        <x:v>0</x:v>
      </x:c>
      <x:c r="I539" s="7" t="n">
        <x:v>1120</x:v>
      </x:c>
    </x:row>
    <x:row r="540" ht="23" customHeight="1">
      <x:c r="A540" s="7" t="str">
        <x:v>INV00535</x:v>
      </x:c>
      <x:c r="B540" s="15" t="d">
        <x:v>2026-05-23T00:00:00.000Z</x:v>
      </x:c>
      <x:c r="C540" s="14" t="d">
        <x:v>2026-05-01T00:00:00.000Z</x:v>
      </x:c>
      <x:c r="D540" s="34" t="str">
        <x:v>0008</x:v>
      </x:c>
      <x:c r="E540" s="7" t="str">
        <x:v>West</x:v>
      </x:c>
      <x:c r="F540" s="7" t="n">
        <x:v>5</x:v>
      </x:c>
      <x:c r="G540" s="7" t="n">
        <x:v>300</x:v>
      </x:c>
      <x:c r="H540" s="9" t="n">
        <x:v>0.02</x:v>
      </x:c>
      <x:c r="I540" s="7" t="n">
        <x:v>1470</x:v>
      </x:c>
    </x:row>
    <x:row r="541" ht="23" customHeight="1">
      <x:c r="A541" s="7" t="str">
        <x:v>INV00536</x:v>
      </x:c>
      <x:c r="B541" s="15" t="d">
        <x:v>2026-05-24T00:00:00.000Z</x:v>
      </x:c>
      <x:c r="C541" s="14" t="d">
        <x:v>2026-05-01T00:00:00.000Z</x:v>
      </x:c>
      <x:c r="D541" s="34" t="str">
        <x:v>0001</x:v>
      </x:c>
      <x:c r="E541" s="7" t="str">
        <x:v>North</x:v>
      </x:c>
      <x:c r="F541" s="7" t="n">
        <x:v>6</x:v>
      </x:c>
      <x:c r="G541" s="7" t="n">
        <x:v>160</x:v>
      </x:c>
      <x:c r="H541" s="9" t="n">
        <x:v>0.05</x:v>
      </x:c>
      <x:c r="I541" s="7" t="n">
        <x:v>912</x:v>
      </x:c>
    </x:row>
    <x:row r="542" ht="23" customHeight="1">
      <x:c r="A542" s="7" t="str">
        <x:v>INV00537</x:v>
      </x:c>
      <x:c r="B542" s="15" t="d">
        <x:v>2026-05-25T00:00:00.000Z</x:v>
      </x:c>
      <x:c r="C542" s="14" t="d">
        <x:v>2026-05-01T00:00:00.000Z</x:v>
      </x:c>
      <x:c r="D542" s="34" t="str">
        <x:v>0002</x:v>
      </x:c>
      <x:c r="E542" s="7" t="str">
        <x:v>North</x:v>
      </x:c>
      <x:c r="F542" s="7" t="n">
        <x:v>1</x:v>
      </x:c>
      <x:c r="G542" s="7" t="n">
        <x:v>180</x:v>
      </x:c>
      <x:c r="H542" s="9" t="n">
        <x:v>0</x:v>
      </x:c>
      <x:c r="I542" s="7" t="n">
        <x:v>180</x:v>
      </x:c>
    </x:row>
    <x:row r="543" ht="23" customHeight="1">
      <x:c r="A543" s="7" t="str">
        <x:v>INV00538</x:v>
      </x:c>
      <x:c r="B543" s="15" t="d">
        <x:v>2026-05-26T00:00:00.000Z</x:v>
      </x:c>
      <x:c r="C543" s="14" t="d">
        <x:v>2026-05-01T00:00:00.000Z</x:v>
      </x:c>
      <x:c r="D543" s="34" t="str">
        <x:v>0003</x:v>
      </x:c>
      <x:c r="E543" s="7" t="str">
        <x:v>North</x:v>
      </x:c>
      <x:c r="F543" s="7" t="n">
        <x:v>7</x:v>
      </x:c>
      <x:c r="G543" s="7" t="n">
        <x:v>200</x:v>
      </x:c>
      <x:c r="H543" s="9" t="n">
        <x:v>0.02</x:v>
      </x:c>
      <x:c r="I543" s="7" t="n">
        <x:v>1372</x:v>
      </x:c>
    </x:row>
    <x:row r="544" ht="23" customHeight="1">
      <x:c r="A544" s="7" t="str">
        <x:v>INV00539</x:v>
      </x:c>
      <x:c r="B544" s="15" t="d">
        <x:v>2026-05-27T00:00:00.000Z</x:v>
      </x:c>
      <x:c r="C544" s="14" t="d">
        <x:v>2026-05-01T00:00:00.000Z</x:v>
      </x:c>
      <x:c r="D544" s="34" t="str">
        <x:v>0004</x:v>
      </x:c>
      <x:c r="E544" s="7" t="str">
        <x:v>North</x:v>
      </x:c>
      <x:c r="F544" s="7" t="n">
        <x:v>1</x:v>
      </x:c>
      <x:c r="G544" s="7" t="n">
        <x:v>220</x:v>
      </x:c>
      <x:c r="H544" s="9" t="n">
        <x:v>0.05</x:v>
      </x:c>
      <x:c r="I544" s="7" t="n">
        <x:v>209</x:v>
      </x:c>
    </x:row>
    <x:row r="545" ht="23" customHeight="1">
      <x:c r="A545" s="7" t="str">
        <x:v>INV00540</x:v>
      </x:c>
      <x:c r="B545" s="15" t="d">
        <x:v>2026-05-01T00:00:00.000Z</x:v>
      </x:c>
      <x:c r="C545" s="14" t="d">
        <x:v>2026-05-01T00:00:00.000Z</x:v>
      </x:c>
      <x:c r="D545" s="34" t="str">
        <x:v>0005</x:v>
      </x:c>
      <x:c r="E545" s="7" t="str">
        <x:v>North</x:v>
      </x:c>
      <x:c r="F545" s="7" t="n">
        <x:v>7</x:v>
      </x:c>
      <x:c r="G545" s="7" t="n">
        <x:v>240</x:v>
      </x:c>
      <x:c r="H545" s="9" t="n">
        <x:v>0</x:v>
      </x:c>
      <x:c r="I545" s="7" t="n">
        <x:v>1680</x:v>
      </x:c>
    </x:row>
    <x:row r="546" ht="23" customHeight="1">
      <x:c r="A546" s="7" t="str">
        <x:v>INV00541</x:v>
      </x:c>
      <x:c r="B546" s="15" t="d">
        <x:v>2026-05-02T00:00:00.000Z</x:v>
      </x:c>
      <x:c r="C546" s="14" t="d">
        <x:v>2026-05-01T00:00:00.000Z</x:v>
      </x:c>
      <x:c r="D546" s="34" t="str">
        <x:v>0006</x:v>
      </x:c>
      <x:c r="E546" s="7" t="str">
        <x:v>North</x:v>
      </x:c>
      <x:c r="F546" s="7" t="n">
        <x:v>5</x:v>
      </x:c>
      <x:c r="G546" s="7" t="n">
        <x:v>260</x:v>
      </x:c>
      <x:c r="H546" s="9" t="n">
        <x:v>0.02</x:v>
      </x:c>
      <x:c r="I546" s="7" t="n">
        <x:v>1274</x:v>
      </x:c>
    </x:row>
    <x:row r="547" ht="23" customHeight="1">
      <x:c r="A547" s="7" t="str">
        <x:v>INV00542</x:v>
      </x:c>
      <x:c r="B547" s="15" t="d">
        <x:v>2026-05-03T00:00:00.000Z</x:v>
      </x:c>
      <x:c r="C547" s="14" t="d">
        <x:v>2026-05-01T00:00:00.000Z</x:v>
      </x:c>
      <x:c r="D547" s="34" t="str">
        <x:v>0007</x:v>
      </x:c>
      <x:c r="E547" s="7" t="str">
        <x:v>North</x:v>
      </x:c>
      <x:c r="F547" s="7" t="n">
        <x:v>6</x:v>
      </x:c>
      <x:c r="G547" s="7" t="n">
        <x:v>280</x:v>
      </x:c>
      <x:c r="H547" s="9" t="n">
        <x:v>0.05</x:v>
      </x:c>
      <x:c r="I547" s="7" t="n">
        <x:v>1596</x:v>
      </x:c>
    </x:row>
    <x:row r="548" ht="23" customHeight="1">
      <x:c r="A548" s="7" t="str">
        <x:v>INV00543</x:v>
      </x:c>
      <x:c r="B548" s="15" t="d">
        <x:v>2026-05-04T00:00:00.000Z</x:v>
      </x:c>
      <x:c r="C548" s="14" t="d">
        <x:v>2026-05-01T00:00:00.000Z</x:v>
      </x:c>
      <x:c r="D548" s="34" t="str">
        <x:v>0008</x:v>
      </x:c>
      <x:c r="E548" s="7" t="str">
        <x:v>North</x:v>
      </x:c>
      <x:c r="F548" s="7" t="n">
        <x:v>4</x:v>
      </x:c>
      <x:c r="G548" s="7" t="n">
        <x:v>300</x:v>
      </x:c>
      <x:c r="H548" s="9" t="n">
        <x:v>0</x:v>
      </x:c>
      <x:c r="I548" s="7" t="n">
        <x:v>1200</x:v>
      </x:c>
    </x:row>
    <x:row r="549" ht="23" customHeight="1">
      <x:c r="A549" s="7" t="str">
        <x:v>INV00544</x:v>
      </x:c>
      <x:c r="B549" s="15" t="d">
        <x:v>2026-06-05T00:00:00.000Z</x:v>
      </x:c>
      <x:c r="C549" s="14" t="d">
        <x:v>2026-06-01T00:00:00.000Z</x:v>
      </x:c>
      <x:c r="D549" s="34" t="str">
        <x:v>0001</x:v>
      </x:c>
      <x:c r="E549" s="7" t="str">
        <x:v>Central</x:v>
      </x:c>
      <x:c r="F549" s="7" t="n">
        <x:v>3</x:v>
      </x:c>
      <x:c r="G549" s="7" t="n">
        <x:v>160</x:v>
      </x:c>
      <x:c r="H549" s="9" t="n">
        <x:v>0.02</x:v>
      </x:c>
      <x:c r="I549" s="7" t="n">
        <x:v>470.4</x:v>
      </x:c>
    </x:row>
    <x:row r="550" ht="23" customHeight="1">
      <x:c r="A550" s="7" t="str">
        <x:v>INV00545</x:v>
      </x:c>
      <x:c r="B550" s="15" t="d">
        <x:v>2026-06-06T00:00:00.000Z</x:v>
      </x:c>
      <x:c r="C550" s="14" t="d">
        <x:v>2026-06-01T00:00:00.000Z</x:v>
      </x:c>
      <x:c r="D550" s="34" t="str">
        <x:v>0002</x:v>
      </x:c>
      <x:c r="E550" s="7" t="str">
        <x:v>Central</x:v>
      </x:c>
      <x:c r="F550" s="7" t="n">
        <x:v>1</x:v>
      </x:c>
      <x:c r="G550" s="7" t="n">
        <x:v>180</x:v>
      </x:c>
      <x:c r="H550" s="9" t="n">
        <x:v>0.05</x:v>
      </x:c>
      <x:c r="I550" s="7" t="n">
        <x:v>171</x:v>
      </x:c>
    </x:row>
    <x:row r="551" ht="23" customHeight="1">
      <x:c r="A551" s="7" t="str">
        <x:v>INV00546</x:v>
      </x:c>
      <x:c r="B551" s="15" t="d">
        <x:v>2026-06-07T00:00:00.000Z</x:v>
      </x:c>
      <x:c r="C551" s="14" t="d">
        <x:v>2026-06-01T00:00:00.000Z</x:v>
      </x:c>
      <x:c r="D551" s="34" t="str">
        <x:v>0003</x:v>
      </x:c>
      <x:c r="E551" s="7" t="str">
        <x:v>Central</x:v>
      </x:c>
      <x:c r="F551" s="7" t="n">
        <x:v>7</x:v>
      </x:c>
      <x:c r="G551" s="7" t="n">
        <x:v>200</x:v>
      </x:c>
      <x:c r="H551" s="9" t="n">
        <x:v>0</x:v>
      </x:c>
      <x:c r="I551" s="7" t="n">
        <x:v>1400</x:v>
      </x:c>
    </x:row>
    <x:row r="552" ht="23" customHeight="1">
      <x:c r="A552" s="7" t="str">
        <x:v>INV00547</x:v>
      </x:c>
      <x:c r="B552" s="15" t="d">
        <x:v>2026-06-08T00:00:00.000Z</x:v>
      </x:c>
      <x:c r="C552" s="14" t="d">
        <x:v>2026-06-01T00:00:00.000Z</x:v>
      </x:c>
      <x:c r="D552" s="34" t="str">
        <x:v>0004</x:v>
      </x:c>
      <x:c r="E552" s="7" t="str">
        <x:v>Central</x:v>
      </x:c>
      <x:c r="F552" s="7" t="n">
        <x:v>6</x:v>
      </x:c>
      <x:c r="G552" s="7" t="n">
        <x:v>220</x:v>
      </x:c>
      <x:c r="H552" s="9" t="n">
        <x:v>0.02</x:v>
      </x:c>
      <x:c r="I552" s="7" t="n">
        <x:v>1293.6</x:v>
      </x:c>
    </x:row>
    <x:row r="553" ht="23" customHeight="1">
      <x:c r="A553" s="7" t="str">
        <x:v>INV00548</x:v>
      </x:c>
      <x:c r="B553" s="15" t="d">
        <x:v>2026-06-09T00:00:00.000Z</x:v>
      </x:c>
      <x:c r="C553" s="14" t="d">
        <x:v>2026-06-01T00:00:00.000Z</x:v>
      </x:c>
      <x:c r="D553" s="34" t="str">
        <x:v>0005</x:v>
      </x:c>
      <x:c r="E553" s="7" t="str">
        <x:v>Central</x:v>
      </x:c>
      <x:c r="F553" s="7" t="n">
        <x:v>6</x:v>
      </x:c>
      <x:c r="G553" s="7" t="n">
        <x:v>240</x:v>
      </x:c>
      <x:c r="H553" s="9" t="n">
        <x:v>0.05</x:v>
      </x:c>
      <x:c r="I553" s="7" t="n">
        <x:v>1368</x:v>
      </x:c>
    </x:row>
    <x:row r="554" ht="23" customHeight="1">
      <x:c r="A554" s="7" t="str">
        <x:v>INV00549</x:v>
      </x:c>
      <x:c r="B554" s="15" t="d">
        <x:v>2026-06-10T00:00:00.000Z</x:v>
      </x:c>
      <x:c r="C554" s="14" t="d">
        <x:v>2026-06-01T00:00:00.000Z</x:v>
      </x:c>
      <x:c r="D554" s="34" t="str">
        <x:v>0006</x:v>
      </x:c>
      <x:c r="E554" s="7" t="str">
        <x:v>Central</x:v>
      </x:c>
      <x:c r="F554" s="7" t="n">
        <x:v>2</x:v>
      </x:c>
      <x:c r="G554" s="7" t="n">
        <x:v>260</x:v>
      </x:c>
      <x:c r="H554" s="9" t="n">
        <x:v>0</x:v>
      </x:c>
      <x:c r="I554" s="7" t="n">
        <x:v>520</x:v>
      </x:c>
    </x:row>
    <x:row r="555" ht="23" customHeight="1">
      <x:c r="A555" s="7" t="str">
        <x:v>INV00550</x:v>
      </x:c>
      <x:c r="B555" s="15" t="d">
        <x:v>2026-06-11T00:00:00.000Z</x:v>
      </x:c>
      <x:c r="C555" s="14" t="d">
        <x:v>2026-06-01T00:00:00.000Z</x:v>
      </x:c>
      <x:c r="D555" s="34" t="str">
        <x:v>0007</x:v>
      </x:c>
      <x:c r="E555" s="7" t="str">
        <x:v>Central</x:v>
      </x:c>
      <x:c r="F555" s="7" t="n">
        <x:v>6</x:v>
      </x:c>
      <x:c r="G555" s="7" t="n">
        <x:v>280</x:v>
      </x:c>
      <x:c r="H555" s="9" t="n">
        <x:v>0.02</x:v>
      </x:c>
      <x:c r="I555" s="7" t="n">
        <x:v>1646.4</x:v>
      </x:c>
    </x:row>
    <x:row r="556" ht="23" customHeight="1">
      <x:c r="A556" s="7" t="str">
        <x:v>INV00551</x:v>
      </x:c>
      <x:c r="B556" s="15" t="d">
        <x:v>2026-06-12T00:00:00.000Z</x:v>
      </x:c>
      <x:c r="C556" s="14" t="d">
        <x:v>2026-06-01T00:00:00.000Z</x:v>
      </x:c>
      <x:c r="D556" s="34" t="str">
        <x:v>0008</x:v>
      </x:c>
      <x:c r="E556" s="7" t="str">
        <x:v>Central</x:v>
      </x:c>
      <x:c r="F556" s="7" t="n">
        <x:v>6</x:v>
      </x:c>
      <x:c r="G556" s="7" t="n">
        <x:v>300</x:v>
      </x:c>
      <x:c r="H556" s="9" t="n">
        <x:v>0.05</x:v>
      </x:c>
      <x:c r="I556" s="7" t="n">
        <x:v>1710</x:v>
      </x:c>
    </x:row>
    <x:row r="557" ht="23" customHeight="1">
      <x:c r="A557" s="7" t="str">
        <x:v>INV00552</x:v>
      </x:c>
      <x:c r="B557" s="15" t="d">
        <x:v>2026-06-13T00:00:00.000Z</x:v>
      </x:c>
      <x:c r="C557" s="14" t="d">
        <x:v>2026-06-01T00:00:00.000Z</x:v>
      </x:c>
      <x:c r="D557" s="34" t="str">
        <x:v>0001</x:v>
      </x:c>
      <x:c r="E557" s="7" t="str">
        <x:v>East</x:v>
      </x:c>
      <x:c r="F557" s="7" t="n">
        <x:v>3</x:v>
      </x:c>
      <x:c r="G557" s="7" t="n">
        <x:v>160</x:v>
      </x:c>
      <x:c r="H557" s="9" t="n">
        <x:v>0</x:v>
      </x:c>
      <x:c r="I557" s="7" t="n">
        <x:v>480</x:v>
      </x:c>
    </x:row>
    <x:row r="558" ht="23" customHeight="1">
      <x:c r="A558" s="7" t="str">
        <x:v>INV00553</x:v>
      </x:c>
      <x:c r="B558" s="15" t="d">
        <x:v>2026-06-14T00:00:00.000Z</x:v>
      </x:c>
      <x:c r="C558" s="14" t="d">
        <x:v>2026-06-01T00:00:00.000Z</x:v>
      </x:c>
      <x:c r="D558" s="34" t="str">
        <x:v>0002</x:v>
      </x:c>
      <x:c r="E558" s="7" t="str">
        <x:v>East</x:v>
      </x:c>
      <x:c r="F558" s="7" t="n">
        <x:v>5</x:v>
      </x:c>
      <x:c r="G558" s="7" t="n">
        <x:v>180</x:v>
      </x:c>
      <x:c r="H558" s="9" t="n">
        <x:v>0.02</x:v>
      </x:c>
      <x:c r="I558" s="7" t="n">
        <x:v>882</x:v>
      </x:c>
    </x:row>
    <x:row r="559" ht="23" customHeight="1">
      <x:c r="A559" s="7" t="str">
        <x:v>INV00554</x:v>
      </x:c>
      <x:c r="B559" s="15" t="d">
        <x:v>2026-06-15T00:00:00.000Z</x:v>
      </x:c>
      <x:c r="C559" s="14" t="d">
        <x:v>2026-06-01T00:00:00.000Z</x:v>
      </x:c>
      <x:c r="D559" s="34" t="str">
        <x:v>0003</x:v>
      </x:c>
      <x:c r="E559" s="7" t="str">
        <x:v>East</x:v>
      </x:c>
      <x:c r="F559" s="7" t="n">
        <x:v>6</x:v>
      </x:c>
      <x:c r="G559" s="7" t="n">
        <x:v>200</x:v>
      </x:c>
      <x:c r="H559" s="9" t="n">
        <x:v>0.05</x:v>
      </x:c>
      <x:c r="I559" s="7" t="n">
        <x:v>1140</x:v>
      </x:c>
    </x:row>
    <x:row r="560" ht="23" customHeight="1">
      <x:c r="A560" s="7" t="str">
        <x:v>INV00555</x:v>
      </x:c>
      <x:c r="B560" s="15" t="d">
        <x:v>2026-06-16T00:00:00.000Z</x:v>
      </x:c>
      <x:c r="C560" s="14" t="d">
        <x:v>2026-06-01T00:00:00.000Z</x:v>
      </x:c>
      <x:c r="D560" s="34" t="str">
        <x:v>0004</x:v>
      </x:c>
      <x:c r="E560" s="7" t="str">
        <x:v>East</x:v>
      </x:c>
      <x:c r="F560" s="7" t="n">
        <x:v>5</x:v>
      </x:c>
      <x:c r="G560" s="7" t="n">
        <x:v>220</x:v>
      </x:c>
      <x:c r="H560" s="9" t="n">
        <x:v>0</x:v>
      </x:c>
      <x:c r="I560" s="7" t="n">
        <x:v>1100</x:v>
      </x:c>
    </x:row>
    <x:row r="561" ht="23" customHeight="1">
      <x:c r="A561" s="7" t="str">
        <x:v>INV00556</x:v>
      </x:c>
      <x:c r="B561" s="15" t="d">
        <x:v>2026-06-17T00:00:00.000Z</x:v>
      </x:c>
      <x:c r="C561" s="14" t="d">
        <x:v>2026-06-01T00:00:00.000Z</x:v>
      </x:c>
      <x:c r="D561" s="34" t="str">
        <x:v>0005</x:v>
      </x:c>
      <x:c r="E561" s="7" t="str">
        <x:v>East</x:v>
      </x:c>
      <x:c r="F561" s="7" t="n">
        <x:v>4</x:v>
      </x:c>
      <x:c r="G561" s="7" t="n">
        <x:v>240</x:v>
      </x:c>
      <x:c r="H561" s="9" t="n">
        <x:v>0.02</x:v>
      </x:c>
      <x:c r="I561" s="7" t="n">
        <x:v>940.8</x:v>
      </x:c>
    </x:row>
    <x:row r="562" ht="23" customHeight="1">
      <x:c r="A562" s="7" t="str">
        <x:v>INV00557</x:v>
      </x:c>
      <x:c r="B562" s="15" t="d">
        <x:v>2026-06-18T00:00:00.000Z</x:v>
      </x:c>
      <x:c r="C562" s="14" t="d">
        <x:v>2026-06-01T00:00:00.000Z</x:v>
      </x:c>
      <x:c r="D562" s="34" t="str">
        <x:v>0006</x:v>
      </x:c>
      <x:c r="E562" s="7" t="str">
        <x:v>East</x:v>
      </x:c>
      <x:c r="F562" s="7" t="n">
        <x:v>1</x:v>
      </x:c>
      <x:c r="G562" s="7" t="n">
        <x:v>260</x:v>
      </x:c>
      <x:c r="H562" s="9" t="n">
        <x:v>0.05</x:v>
      </x:c>
      <x:c r="I562" s="7" t="n">
        <x:v>247</x:v>
      </x:c>
    </x:row>
    <x:row r="563" ht="23" customHeight="1">
      <x:c r="A563" s="7" t="str">
        <x:v>INV00558</x:v>
      </x:c>
      <x:c r="B563" s="15" t="d">
        <x:v>2026-06-19T00:00:00.000Z</x:v>
      </x:c>
      <x:c r="C563" s="14" t="d">
        <x:v>2026-06-01T00:00:00.000Z</x:v>
      </x:c>
      <x:c r="D563" s="34" t="str">
        <x:v>0007</x:v>
      </x:c>
      <x:c r="E563" s="7" t="str">
        <x:v>East</x:v>
      </x:c>
      <x:c r="F563" s="7" t="n">
        <x:v>2</x:v>
      </x:c>
      <x:c r="G563" s="7" t="n">
        <x:v>280</x:v>
      </x:c>
      <x:c r="H563" s="9" t="n">
        <x:v>0</x:v>
      </x:c>
      <x:c r="I563" s="7" t="n">
        <x:v>560</x:v>
      </x:c>
    </x:row>
    <x:row r="564" ht="23" customHeight="1">
      <x:c r="A564" s="7" t="str">
        <x:v>INV00559</x:v>
      </x:c>
      <x:c r="B564" s="15" t="d">
        <x:v>2026-06-20T00:00:00.000Z</x:v>
      </x:c>
      <x:c r="C564" s="14" t="d">
        <x:v>2026-06-01T00:00:00.000Z</x:v>
      </x:c>
      <x:c r="D564" s="34" t="str">
        <x:v>0008</x:v>
      </x:c>
      <x:c r="E564" s="7" t="str">
        <x:v>East</x:v>
      </x:c>
      <x:c r="F564" s="7" t="n">
        <x:v>3</x:v>
      </x:c>
      <x:c r="G564" s="7" t="n">
        <x:v>300</x:v>
      </x:c>
      <x:c r="H564" s="9" t="n">
        <x:v>0.02</x:v>
      </x:c>
      <x:c r="I564" s="7" t="n">
        <x:v>882</x:v>
      </x:c>
    </x:row>
    <x:row r="565" ht="23" customHeight="1">
      <x:c r="A565" s="7" t="str">
        <x:v>INV00560</x:v>
      </x:c>
      <x:c r="B565" s="15" t="d">
        <x:v>2026-06-21T00:00:00.000Z</x:v>
      </x:c>
      <x:c r="C565" s="14" t="d">
        <x:v>2026-06-01T00:00:00.000Z</x:v>
      </x:c>
      <x:c r="D565" s="34" t="str">
        <x:v>0001</x:v>
      </x:c>
      <x:c r="E565" s="7" t="str">
        <x:v>West</x:v>
      </x:c>
      <x:c r="F565" s="7" t="n">
        <x:v>4</x:v>
      </x:c>
      <x:c r="G565" s="7" t="n">
        <x:v>160</x:v>
      </x:c>
      <x:c r="H565" s="9" t="n">
        <x:v>0.05</x:v>
      </x:c>
      <x:c r="I565" s="7" t="n">
        <x:v>608</x:v>
      </x:c>
    </x:row>
    <x:row r="566" ht="23" customHeight="1">
      <x:c r="A566" s="7" t="str">
        <x:v>INV00561</x:v>
      </x:c>
      <x:c r="B566" s="15" t="d">
        <x:v>2026-06-22T00:00:00.000Z</x:v>
      </x:c>
      <x:c r="C566" s="14" t="d">
        <x:v>2026-06-01T00:00:00.000Z</x:v>
      </x:c>
      <x:c r="D566" s="34" t="str">
        <x:v>0002</x:v>
      </x:c>
      <x:c r="E566" s="7" t="str">
        <x:v>West</x:v>
      </x:c>
      <x:c r="F566" s="7" t="n">
        <x:v>1</x:v>
      </x:c>
      <x:c r="G566" s="7" t="n">
        <x:v>180</x:v>
      </x:c>
      <x:c r="H566" s="9" t="n">
        <x:v>0</x:v>
      </x:c>
      <x:c r="I566" s="7" t="n">
        <x:v>180</x:v>
      </x:c>
    </x:row>
    <x:row r="567" ht="23" customHeight="1">
      <x:c r="A567" s="7" t="str">
        <x:v>INV00562</x:v>
      </x:c>
      <x:c r="B567" s="15" t="d">
        <x:v>2026-06-23T00:00:00.000Z</x:v>
      </x:c>
      <x:c r="C567" s="14" t="d">
        <x:v>2026-06-01T00:00:00.000Z</x:v>
      </x:c>
      <x:c r="D567" s="34" t="str">
        <x:v>0003</x:v>
      </x:c>
      <x:c r="E567" s="7" t="str">
        <x:v>West</x:v>
      </x:c>
      <x:c r="F567" s="7" t="n">
        <x:v>1</x:v>
      </x:c>
      <x:c r="G567" s="7" t="n">
        <x:v>200</x:v>
      </x:c>
      <x:c r="H567" s="9" t="n">
        <x:v>0.02</x:v>
      </x:c>
      <x:c r="I567" s="7" t="n">
        <x:v>196</x:v>
      </x:c>
    </x:row>
    <x:row r="568" ht="23" customHeight="1">
      <x:c r="A568" s="7" t="str">
        <x:v>INV00563</x:v>
      </x:c>
      <x:c r="B568" s="15" t="d">
        <x:v>2026-06-24T00:00:00.000Z</x:v>
      </x:c>
      <x:c r="C568" s="14" t="d">
        <x:v>2026-06-01T00:00:00.000Z</x:v>
      </x:c>
      <x:c r="D568" s="34" t="str">
        <x:v>0004</x:v>
      </x:c>
      <x:c r="E568" s="7" t="str">
        <x:v>West</x:v>
      </x:c>
      <x:c r="F568" s="7" t="n">
        <x:v>3</x:v>
      </x:c>
      <x:c r="G568" s="7" t="n">
        <x:v>220</x:v>
      </x:c>
      <x:c r="H568" s="9" t="n">
        <x:v>0.05</x:v>
      </x:c>
      <x:c r="I568" s="7" t="n">
        <x:v>627</x:v>
      </x:c>
    </x:row>
    <x:row r="569" ht="23" customHeight="1">
      <x:c r="A569" s="7" t="str">
        <x:v>INV00564</x:v>
      </x:c>
      <x:c r="B569" s="15" t="d">
        <x:v>2026-06-25T00:00:00.000Z</x:v>
      </x:c>
      <x:c r="C569" s="14" t="d">
        <x:v>2026-06-01T00:00:00.000Z</x:v>
      </x:c>
      <x:c r="D569" s="34" t="str">
        <x:v>0005</x:v>
      </x:c>
      <x:c r="E569" s="7" t="str">
        <x:v>West</x:v>
      </x:c>
      <x:c r="F569" s="7" t="n">
        <x:v>3</x:v>
      </x:c>
      <x:c r="G569" s="7" t="n">
        <x:v>240</x:v>
      </x:c>
      <x:c r="H569" s="9" t="n">
        <x:v>0</x:v>
      </x:c>
      <x:c r="I569" s="7" t="n">
        <x:v>720</x:v>
      </x:c>
    </x:row>
    <x:row r="570" ht="23" customHeight="1">
      <x:c r="A570" s="7" t="str">
        <x:v>INV00565</x:v>
      </x:c>
      <x:c r="B570" s="15" t="d">
        <x:v>2026-06-26T00:00:00.000Z</x:v>
      </x:c>
      <x:c r="C570" s="14" t="d">
        <x:v>2026-06-01T00:00:00.000Z</x:v>
      </x:c>
      <x:c r="D570" s="34" t="str">
        <x:v>0006</x:v>
      </x:c>
      <x:c r="E570" s="7" t="str">
        <x:v>West</x:v>
      </x:c>
      <x:c r="F570" s="7" t="n">
        <x:v>6</x:v>
      </x:c>
      <x:c r="G570" s="7" t="n">
        <x:v>260</x:v>
      </x:c>
      <x:c r="H570" s="9" t="n">
        <x:v>0.02</x:v>
      </x:c>
      <x:c r="I570" s="7" t="n">
        <x:v>1528.8</x:v>
      </x:c>
    </x:row>
    <x:row r="571" ht="23" customHeight="1">
      <x:c r="A571" s="7" t="str">
        <x:v>INV00566</x:v>
      </x:c>
      <x:c r="B571" s="15" t="d">
        <x:v>2026-06-27T00:00:00.000Z</x:v>
      </x:c>
      <x:c r="C571" s="14" t="d">
        <x:v>2026-06-01T00:00:00.000Z</x:v>
      </x:c>
      <x:c r="D571" s="34" t="str">
        <x:v>0007</x:v>
      </x:c>
      <x:c r="E571" s="7" t="str">
        <x:v>West</x:v>
      </x:c>
      <x:c r="F571" s="7" t="n">
        <x:v>6</x:v>
      </x:c>
      <x:c r="G571" s="7" t="n">
        <x:v>280</x:v>
      </x:c>
      <x:c r="H571" s="9" t="n">
        <x:v>0.05</x:v>
      </x:c>
      <x:c r="I571" s="7" t="n">
        <x:v>1596</x:v>
      </x:c>
    </x:row>
    <x:row r="572" ht="23" customHeight="1">
      <x:c r="A572" s="7" t="str">
        <x:v>INV00567</x:v>
      </x:c>
      <x:c r="B572" s="15" t="d">
        <x:v>2026-06-01T00:00:00.000Z</x:v>
      </x:c>
      <x:c r="C572" s="14" t="d">
        <x:v>2026-06-01T00:00:00.000Z</x:v>
      </x:c>
      <x:c r="D572" s="34" t="str">
        <x:v>0008</x:v>
      </x:c>
      <x:c r="E572" s="7" t="str">
        <x:v>West</x:v>
      </x:c>
      <x:c r="F572" s="7" t="n">
        <x:v>2</x:v>
      </x:c>
      <x:c r="G572" s="7" t="n">
        <x:v>300</x:v>
      </x:c>
      <x:c r="H572" s="9" t="n">
        <x:v>0</x:v>
      </x:c>
      <x:c r="I572" s="7" t="n">
        <x:v>600</x:v>
      </x:c>
    </x:row>
    <x:row r="573" ht="23" customHeight="1">
      <x:c r="A573" s="7" t="str">
        <x:v>INV00568</x:v>
      </x:c>
      <x:c r="B573" s="15" t="d">
        <x:v>2026-06-02T00:00:00.000Z</x:v>
      </x:c>
      <x:c r="C573" s="14" t="d">
        <x:v>2026-06-01T00:00:00.000Z</x:v>
      </x:c>
      <x:c r="D573" s="34" t="str">
        <x:v>0001</x:v>
      </x:c>
      <x:c r="E573" s="7" t="str">
        <x:v>North</x:v>
      </x:c>
      <x:c r="F573" s="7" t="n">
        <x:v>5</x:v>
      </x:c>
      <x:c r="G573" s="7" t="n">
        <x:v>160</x:v>
      </x:c>
      <x:c r="H573" s="9" t="n">
        <x:v>0.02</x:v>
      </x:c>
      <x:c r="I573" s="7" t="n">
        <x:v>784</x:v>
      </x:c>
    </x:row>
    <x:row r="574" ht="23" customHeight="1">
      <x:c r="A574" s="7" t="str">
        <x:v>INV00569</x:v>
      </x:c>
      <x:c r="B574" s="15" t="d">
        <x:v>2026-06-03T00:00:00.000Z</x:v>
      </x:c>
      <x:c r="C574" s="14" t="d">
        <x:v>2026-06-01T00:00:00.000Z</x:v>
      </x:c>
      <x:c r="D574" s="34" t="str">
        <x:v>0002</x:v>
      </x:c>
      <x:c r="E574" s="7" t="str">
        <x:v>North</x:v>
      </x:c>
      <x:c r="F574" s="7" t="n">
        <x:v>2</x:v>
      </x:c>
      <x:c r="G574" s="7" t="n">
        <x:v>180</x:v>
      </x:c>
      <x:c r="H574" s="9" t="n">
        <x:v>0.05</x:v>
      </x:c>
      <x:c r="I574" s="7" t="n">
        <x:v>342</x:v>
      </x:c>
    </x:row>
    <x:row r="575" ht="23" customHeight="1">
      <x:c r="A575" s="7" t="str">
        <x:v>INV00570</x:v>
      </x:c>
      <x:c r="B575" s="15" t="d">
        <x:v>2026-06-04T00:00:00.000Z</x:v>
      </x:c>
      <x:c r="C575" s="14" t="d">
        <x:v>2026-06-01T00:00:00.000Z</x:v>
      </x:c>
      <x:c r="D575" s="34" t="str">
        <x:v>0003</x:v>
      </x:c>
      <x:c r="E575" s="7" t="str">
        <x:v>North</x:v>
      </x:c>
      <x:c r="F575" s="7" t="n">
        <x:v>5</x:v>
      </x:c>
      <x:c r="G575" s="7" t="n">
        <x:v>200</x:v>
      </x:c>
      <x:c r="H575" s="9" t="n">
        <x:v>0</x:v>
      </x:c>
      <x:c r="I575" s="7" t="n">
        <x:v>1000</x:v>
      </x:c>
    </x:row>
    <x:row r="576" ht="23" customHeight="1">
      <x:c r="A576" s="7" t="str">
        <x:v>INV00571</x:v>
      </x:c>
      <x:c r="B576" s="15" t="d">
        <x:v>2026-06-05T00:00:00.000Z</x:v>
      </x:c>
      <x:c r="C576" s="14" t="d">
        <x:v>2026-06-01T00:00:00.000Z</x:v>
      </x:c>
      <x:c r="D576" s="34" t="str">
        <x:v>0004</x:v>
      </x:c>
      <x:c r="E576" s="7" t="str">
        <x:v>North</x:v>
      </x:c>
      <x:c r="F576" s="7" t="n">
        <x:v>5</x:v>
      </x:c>
      <x:c r="G576" s="7" t="n">
        <x:v>220</x:v>
      </x:c>
      <x:c r="H576" s="9" t="n">
        <x:v>0.02</x:v>
      </x:c>
      <x:c r="I576" s="7" t="n">
        <x:v>1078</x:v>
      </x:c>
    </x:row>
    <x:row r="577" ht="23" customHeight="1">
      <x:c r="A577" s="7" t="str">
        <x:v>INV00572</x:v>
      </x:c>
      <x:c r="B577" s="15" t="d">
        <x:v>2026-06-06T00:00:00.000Z</x:v>
      </x:c>
      <x:c r="C577" s="14" t="d">
        <x:v>2026-06-01T00:00:00.000Z</x:v>
      </x:c>
      <x:c r="D577" s="34" t="str">
        <x:v>0005</x:v>
      </x:c>
      <x:c r="E577" s="7" t="str">
        <x:v>North</x:v>
      </x:c>
      <x:c r="F577" s="7" t="n">
        <x:v>1</x:v>
      </x:c>
      <x:c r="G577" s="7" t="n">
        <x:v>240</x:v>
      </x:c>
      <x:c r="H577" s="9" t="n">
        <x:v>0.05</x:v>
      </x:c>
      <x:c r="I577" s="7" t="n">
        <x:v>228</x:v>
      </x:c>
    </x:row>
    <x:row r="578" ht="23" customHeight="1">
      <x:c r="A578" s="7" t="str">
        <x:v>INV00573</x:v>
      </x:c>
      <x:c r="B578" s="15" t="d">
        <x:v>2026-06-07T00:00:00.000Z</x:v>
      </x:c>
      <x:c r="C578" s="14" t="d">
        <x:v>2026-06-01T00:00:00.000Z</x:v>
      </x:c>
      <x:c r="D578" s="34" t="str">
        <x:v>0006</x:v>
      </x:c>
      <x:c r="E578" s="7" t="str">
        <x:v>North</x:v>
      </x:c>
      <x:c r="F578" s="7" t="n">
        <x:v>6</x:v>
      </x:c>
      <x:c r="G578" s="7" t="n">
        <x:v>260</x:v>
      </x:c>
      <x:c r="H578" s="9" t="n">
        <x:v>0</x:v>
      </x:c>
      <x:c r="I578" s="7" t="n">
        <x:v>1560</x:v>
      </x:c>
    </x:row>
    <x:row r="579" ht="23" customHeight="1">
      <x:c r="A579" s="7" t="str">
        <x:v>INV00574</x:v>
      </x:c>
      <x:c r="B579" s="15" t="d">
        <x:v>2026-06-08T00:00:00.000Z</x:v>
      </x:c>
      <x:c r="C579" s="14" t="d">
        <x:v>2026-06-01T00:00:00.000Z</x:v>
      </x:c>
      <x:c r="D579" s="34" t="str">
        <x:v>0007</x:v>
      </x:c>
      <x:c r="E579" s="7" t="str">
        <x:v>North</x:v>
      </x:c>
      <x:c r="F579" s="7" t="n">
        <x:v>-5</x:v>
      </x:c>
      <x:c r="G579" s="7" t="n">
        <x:v>280</x:v>
      </x:c>
      <x:c r="H579" s="9" t="n">
        <x:v>0.02</x:v>
      </x:c>
      <x:c r="I579" s="7" t="n">
        <x:v>-1372</x:v>
      </x:c>
    </x:row>
    <x:row r="580" ht="23" customHeight="1">
      <x:c r="A580" s="7" t="str">
        <x:v>INV00575</x:v>
      </x:c>
      <x:c r="B580" s="15" t="d">
        <x:v>2026-06-09T00:00:00.000Z</x:v>
      </x:c>
      <x:c r="C580" s="14" t="d">
        <x:v>2026-06-01T00:00:00.000Z</x:v>
      </x:c>
      <x:c r="D580" s="34" t="str">
        <x:v>0008</x:v>
      </x:c>
      <x:c r="E580" s="7" t="str">
        <x:v>North</x:v>
      </x:c>
      <x:c r="F580" s="7" t="n">
        <x:v>4</x:v>
      </x:c>
      <x:c r="G580" s="7" t="n">
        <x:v>300</x:v>
      </x:c>
      <x:c r="H580" s="9" t="n">
        <x:v>0.05</x:v>
      </x:c>
      <x:c r="I580" s="7" t="n">
        <x:v>1140</x:v>
      </x:c>
    </x:row>
    <x:row r="581" ht="23" customHeight="1">
      <x:c r="A581" s="7" t="str">
        <x:v>INV00576</x:v>
      </x:c>
      <x:c r="B581" s="15" t="d">
        <x:v>2026-01-10T00:00:00.000Z</x:v>
      </x:c>
      <x:c r="C581" s="14" t="d">
        <x:v>2026-01-01T00:00:00.000Z</x:v>
      </x:c>
      <x:c r="D581" s="34" t="str">
        <x:v>0001</x:v>
      </x:c>
      <x:c r="E581" s="7" t="str">
        <x:v>Central</x:v>
      </x:c>
      <x:c r="F581" s="7" t="n">
        <x:v>1</x:v>
      </x:c>
      <x:c r="G581" s="7" t="n">
        <x:v>160</x:v>
      </x:c>
      <x:c r="H581" s="9" t="n">
        <x:v>0</x:v>
      </x:c>
      <x:c r="I581" s="7" t="n">
        <x:v>160</x:v>
      </x:c>
    </x:row>
    <x:row r="582" ht="23" customHeight="1">
      <x:c r="A582" s="7" t="str">
        <x:v>INV00577</x:v>
      </x:c>
      <x:c r="B582" s="15" t="d">
        <x:v>2026-01-11T00:00:00.000Z</x:v>
      </x:c>
      <x:c r="C582" s="14" t="d">
        <x:v>2026-01-01T00:00:00.000Z</x:v>
      </x:c>
      <x:c r="D582" s="34" t="str">
        <x:v>0002</x:v>
      </x:c>
      <x:c r="E582" s="7" t="str">
        <x:v>Central</x:v>
      </x:c>
      <x:c r="F582" s="7" t="n">
        <x:v>7</x:v>
      </x:c>
      <x:c r="G582" s="7" t="n">
        <x:v>180</x:v>
      </x:c>
      <x:c r="H582" s="9" t="n">
        <x:v>0.02</x:v>
      </x:c>
      <x:c r="I582" s="7" t="n">
        <x:v>1234.8</x:v>
      </x:c>
    </x:row>
    <x:row r="583" ht="23" customHeight="1">
      <x:c r="A583" s="7" t="str">
        <x:v>INV00578</x:v>
      </x:c>
      <x:c r="B583" s="15" t="d">
        <x:v>2026-01-12T00:00:00.000Z</x:v>
      </x:c>
      <x:c r="C583" s="14" t="d">
        <x:v>2026-01-01T00:00:00.000Z</x:v>
      </x:c>
      <x:c r="D583" s="34" t="str">
        <x:v>0003</x:v>
      </x:c>
      <x:c r="E583" s="7" t="str">
        <x:v>Central</x:v>
      </x:c>
      <x:c r="F583" s="7" t="n">
        <x:v>1</x:v>
      </x:c>
      <x:c r="G583" s="7" t="n">
        <x:v>200</x:v>
      </x:c>
      <x:c r="H583" s="9" t="n">
        <x:v>0.05</x:v>
      </x:c>
      <x:c r="I583" s="7" t="n">
        <x:v>190</x:v>
      </x:c>
    </x:row>
    <x:row r="584" ht="23" customHeight="1">
      <x:c r="A584" s="7" t="str">
        <x:v>INV00579</x:v>
      </x:c>
      <x:c r="B584" s="15" t="d">
        <x:v>2026-01-13T00:00:00.000Z</x:v>
      </x:c>
      <x:c r="C584" s="14" t="d">
        <x:v>2026-01-01T00:00:00.000Z</x:v>
      </x:c>
      <x:c r="D584" s="34" t="str">
        <x:v>0004</x:v>
      </x:c>
      <x:c r="E584" s="7" t="str">
        <x:v>Central</x:v>
      </x:c>
      <x:c r="F584" s="7" t="n">
        <x:v>5</x:v>
      </x:c>
      <x:c r="G584" s="7" t="n">
        <x:v>220</x:v>
      </x:c>
      <x:c r="H584" s="9" t="n">
        <x:v>0</x:v>
      </x:c>
      <x:c r="I584" s="7" t="n">
        <x:v>1100</x:v>
      </x:c>
    </x:row>
    <x:row r="585" ht="23" customHeight="1">
      <x:c r="A585" s="7" t="str">
        <x:v>INV00580</x:v>
      </x:c>
      <x:c r="B585" s="15" t="d">
        <x:v>2026-01-14T00:00:00.000Z</x:v>
      </x:c>
      <x:c r="C585" s="14" t="d">
        <x:v>2026-01-01T00:00:00.000Z</x:v>
      </x:c>
      <x:c r="D585" s="34" t="str">
        <x:v>0005</x:v>
      </x:c>
      <x:c r="E585" s="7" t="str">
        <x:v>Central</x:v>
      </x:c>
      <x:c r="F585" s="7" t="n">
        <x:v>3</x:v>
      </x:c>
      <x:c r="G585" s="7" t="n">
        <x:v>240</x:v>
      </x:c>
      <x:c r="H585" s="9" t="n">
        <x:v>0.02</x:v>
      </x:c>
      <x:c r="I585" s="7" t="n">
        <x:v>705.6</x:v>
      </x:c>
    </x:row>
    <x:row r="586" ht="23" customHeight="1">
      <x:c r="A586" s="7" t="str">
        <x:v>INV00581</x:v>
      </x:c>
      <x:c r="B586" s="15" t="d">
        <x:v>2026-01-15T00:00:00.000Z</x:v>
      </x:c>
      <x:c r="C586" s="14" t="d">
        <x:v>2026-01-01T00:00:00.000Z</x:v>
      </x:c>
      <x:c r="D586" s="34" t="str">
        <x:v>0006</x:v>
      </x:c>
      <x:c r="E586" s="7" t="str">
        <x:v>Central</x:v>
      </x:c>
      <x:c r="F586" s="7" t="n">
        <x:v>7</x:v>
      </x:c>
      <x:c r="G586" s="7" t="n">
        <x:v>260</x:v>
      </x:c>
      <x:c r="H586" s="9" t="n">
        <x:v>0.05</x:v>
      </x:c>
      <x:c r="I586" s="7" t="n">
        <x:v>1729</x:v>
      </x:c>
    </x:row>
    <x:row r="587" ht="23" customHeight="1">
      <x:c r="A587" s="7" t="str">
        <x:v>INV00582</x:v>
      </x:c>
      <x:c r="B587" s="15" t="d">
        <x:v>2026-01-16T00:00:00.000Z</x:v>
      </x:c>
      <x:c r="C587" s="14" t="d">
        <x:v>2026-01-01T00:00:00.000Z</x:v>
      </x:c>
      <x:c r="D587" s="34" t="str">
        <x:v>0007</x:v>
      </x:c>
      <x:c r="E587" s="7" t="str">
        <x:v>Central</x:v>
      </x:c>
      <x:c r="F587" s="7" t="n">
        <x:v>1</x:v>
      </x:c>
      <x:c r="G587" s="7" t="n">
        <x:v>280</x:v>
      </x:c>
      <x:c r="H587" s="9" t="n">
        <x:v>0</x:v>
      </x:c>
      <x:c r="I587" s="7" t="n">
        <x:v>280</x:v>
      </x:c>
    </x:row>
    <x:row r="588" ht="23" customHeight="1">
      <x:c r="A588" s="7" t="str">
        <x:v>INV00583</x:v>
      </x:c>
      <x:c r="B588" s="15" t="d">
        <x:v>2026-01-17T00:00:00.000Z</x:v>
      </x:c>
      <x:c r="C588" s="14" t="d">
        <x:v>2026-01-01T00:00:00.000Z</x:v>
      </x:c>
      <x:c r="D588" s="34" t="str">
        <x:v>0008</x:v>
      </x:c>
      <x:c r="E588" s="7" t="str">
        <x:v>Central</x:v>
      </x:c>
      <x:c r="F588" s="7" t="n">
        <x:v>4</x:v>
      </x:c>
      <x:c r="G588" s="7" t="n">
        <x:v>300</x:v>
      </x:c>
      <x:c r="H588" s="9" t="n">
        <x:v>0.02</x:v>
      </x:c>
      <x:c r="I588" s="7" t="n">
        <x:v>1176</x:v>
      </x:c>
    </x:row>
    <x:row r="589" ht="23" customHeight="1">
      <x:c r="A589" s="7" t="str">
        <x:v>INV00584</x:v>
      </x:c>
      <x:c r="B589" s="15" t="d">
        <x:v>2026-01-18T00:00:00.000Z</x:v>
      </x:c>
      <x:c r="C589" s="14" t="d">
        <x:v>2026-01-01T00:00:00.000Z</x:v>
      </x:c>
      <x:c r="D589" s="34" t="str">
        <x:v>0001</x:v>
      </x:c>
      <x:c r="E589" s="7" t="str">
        <x:v>East</x:v>
      </x:c>
      <x:c r="F589" s="7" t="n">
        <x:v>4</x:v>
      </x:c>
      <x:c r="G589" s="7" t="n">
        <x:v>160</x:v>
      </x:c>
      <x:c r="H589" s="9" t="n">
        <x:v>0.05</x:v>
      </x:c>
      <x:c r="I589" s="7" t="n">
        <x:v>608</x:v>
      </x:c>
    </x:row>
    <x:row r="590" ht="23" customHeight="1">
      <x:c r="A590" s="7" t="str">
        <x:v>INV00585</x:v>
      </x:c>
      <x:c r="B590" s="15" t="d">
        <x:v>2026-01-19T00:00:00.000Z</x:v>
      </x:c>
      <x:c r="C590" s="14" t="d">
        <x:v>2026-01-01T00:00:00.000Z</x:v>
      </x:c>
      <x:c r="D590" s="34" t="str">
        <x:v>0002</x:v>
      </x:c>
      <x:c r="E590" s="7" t="str">
        <x:v>East</x:v>
      </x:c>
      <x:c r="F590" s="7" t="n">
        <x:v>2</x:v>
      </x:c>
      <x:c r="G590" s="7" t="n">
        <x:v>180</x:v>
      </x:c>
      <x:c r="H590" s="9" t="n">
        <x:v>0</x:v>
      </x:c>
      <x:c r="I590" s="7" t="n">
        <x:v>360</x:v>
      </x:c>
    </x:row>
    <x:row r="591" ht="23" customHeight="1">
      <x:c r="A591" s="7" t="str">
        <x:v>INV00586</x:v>
      </x:c>
      <x:c r="B591" s="15" t="d">
        <x:v>2026-01-20T00:00:00.000Z</x:v>
      </x:c>
      <x:c r="C591" s="14" t="d">
        <x:v>2026-01-01T00:00:00.000Z</x:v>
      </x:c>
      <x:c r="D591" s="34" t="str">
        <x:v>0003</x:v>
      </x:c>
      <x:c r="E591" s="7" t="str">
        <x:v>East</x:v>
      </x:c>
      <x:c r="F591" s="7" t="n">
        <x:v>6</x:v>
      </x:c>
      <x:c r="G591" s="7" t="n">
        <x:v>200</x:v>
      </x:c>
      <x:c r="H591" s="9" t="n">
        <x:v>0.02</x:v>
      </x:c>
      <x:c r="I591" s="7" t="n">
        <x:v>1176</x:v>
      </x:c>
    </x:row>
    <x:row r="592" ht="23" customHeight="1">
      <x:c r="A592" s="7" t="str">
        <x:v>INV00587</x:v>
      </x:c>
      <x:c r="B592" s="15" t="d">
        <x:v>2026-01-21T00:00:00.000Z</x:v>
      </x:c>
      <x:c r="C592" s="14" t="d">
        <x:v>2026-01-01T00:00:00.000Z</x:v>
      </x:c>
      <x:c r="D592" s="34" t="str">
        <x:v>0004</x:v>
      </x:c>
      <x:c r="E592" s="7" t="str">
        <x:v>East</x:v>
      </x:c>
      <x:c r="F592" s="7" t="n">
        <x:v>1</x:v>
      </x:c>
      <x:c r="G592" s="7" t="n">
        <x:v>220</x:v>
      </x:c>
      <x:c r="H592" s="9" t="n">
        <x:v>0.05</x:v>
      </x:c>
      <x:c r="I592" s="7" t="n">
        <x:v>209</x:v>
      </x:c>
    </x:row>
    <x:row r="593" ht="23" customHeight="1">
      <x:c r="A593" s="7" t="str">
        <x:v>INV00588</x:v>
      </x:c>
      <x:c r="B593" s="15" t="d">
        <x:v>2026-01-22T00:00:00.000Z</x:v>
      </x:c>
      <x:c r="C593" s="14" t="d">
        <x:v>2026-01-01T00:00:00.000Z</x:v>
      </x:c>
      <x:c r="D593" s="34" t="str">
        <x:v>0005</x:v>
      </x:c>
      <x:c r="E593" s="7" t="str">
        <x:v>East</x:v>
      </x:c>
      <x:c r="F593" s="7" t="n">
        <x:v>6</x:v>
      </x:c>
      <x:c r="G593" s="7" t="n">
        <x:v>240</x:v>
      </x:c>
      <x:c r="H593" s="9" t="n">
        <x:v>0</x:v>
      </x:c>
      <x:c r="I593" s="7" t="n">
        <x:v>1440</x:v>
      </x:c>
    </x:row>
    <x:row r="594" ht="23" customHeight="1">
      <x:c r="A594" s="7" t="str">
        <x:v>INV00589</x:v>
      </x:c>
      <x:c r="B594" s="15" t="d">
        <x:v>2026-01-23T00:00:00.000Z</x:v>
      </x:c>
      <x:c r="C594" s="14" t="d">
        <x:v>2026-01-01T00:00:00.000Z</x:v>
      </x:c>
      <x:c r="D594" s="34" t="str">
        <x:v>0006</x:v>
      </x:c>
      <x:c r="E594" s="7" t="str">
        <x:v>East</x:v>
      </x:c>
      <x:c r="F594" s="7" t="n">
        <x:v>4</x:v>
      </x:c>
      <x:c r="G594" s="7" t="n">
        <x:v>260</x:v>
      </x:c>
      <x:c r="H594" s="9" t="n">
        <x:v>0.02</x:v>
      </x:c>
      <x:c r="I594" s="7" t="n">
        <x:v>1019.2</x:v>
      </x:c>
    </x:row>
    <x:row r="595" ht="23" customHeight="1">
      <x:c r="A595" s="7" t="str">
        <x:v>INV00590</x:v>
      </x:c>
      <x:c r="B595" s="15" t="d">
        <x:v>2026-01-24T00:00:00.000Z</x:v>
      </x:c>
      <x:c r="C595" s="14" t="d">
        <x:v>2026-01-01T00:00:00.000Z</x:v>
      </x:c>
      <x:c r="D595" s="34" t="str">
        <x:v>0007</x:v>
      </x:c>
      <x:c r="E595" s="7" t="str">
        <x:v>East</x:v>
      </x:c>
      <x:c r="F595" s="7" t="n">
        <x:v>4</x:v>
      </x:c>
      <x:c r="G595" s="7" t="n">
        <x:v>280</x:v>
      </x:c>
      <x:c r="H595" s="9" t="n">
        <x:v>0.05</x:v>
      </x:c>
      <x:c r="I595" s="7" t="n">
        <x:v>1064</x:v>
      </x:c>
    </x:row>
    <x:row r="596" ht="23" customHeight="1">
      <x:c r="A596" s="7" t="str">
        <x:v>INV00591</x:v>
      </x:c>
      <x:c r="B596" s="15" t="d">
        <x:v>2026-01-25T00:00:00.000Z</x:v>
      </x:c>
      <x:c r="C596" s="14" t="d">
        <x:v>2026-01-01T00:00:00.000Z</x:v>
      </x:c>
      <x:c r="D596" s="34" t="str">
        <x:v>0008</x:v>
      </x:c>
      <x:c r="E596" s="7" t="str">
        <x:v>East</x:v>
      </x:c>
      <x:c r="F596" s="7" t="n">
        <x:v>4</x:v>
      </x:c>
      <x:c r="G596" s="7" t="n">
        <x:v>300</x:v>
      </x:c>
      <x:c r="H596" s="9" t="n">
        <x:v>0</x:v>
      </x:c>
      <x:c r="I596" s="7" t="n">
        <x:v>1200</x:v>
      </x:c>
    </x:row>
    <x:row r="597" ht="23" customHeight="1">
      <x:c r="A597" s="7" t="str">
        <x:v>INV00592</x:v>
      </x:c>
      <x:c r="B597" s="15" t="d">
        <x:v>2026-01-26T00:00:00.000Z</x:v>
      </x:c>
      <x:c r="C597" s="14" t="d">
        <x:v>2026-01-01T00:00:00.000Z</x:v>
      </x:c>
      <x:c r="D597" s="34" t="str">
        <x:v>0001</x:v>
      </x:c>
      <x:c r="E597" s="7" t="str">
        <x:v>West</x:v>
      </x:c>
      <x:c r="F597" s="7" t="n">
        <x:v>5</x:v>
      </x:c>
      <x:c r="G597" s="7" t="n">
        <x:v>160</x:v>
      </x:c>
      <x:c r="H597" s="9" t="n">
        <x:v>0.02</x:v>
      </x:c>
      <x:c r="I597" s="7" t="n">
        <x:v>784</x:v>
      </x:c>
    </x:row>
    <x:row r="598" ht="23" customHeight="1">
      <x:c r="A598" s="7" t="str">
        <x:v>INV00593</x:v>
      </x:c>
      <x:c r="B598" s="15" t="d">
        <x:v>2026-01-27T00:00:00.000Z</x:v>
      </x:c>
      <x:c r="C598" s="14" t="d">
        <x:v>2026-01-01T00:00:00.000Z</x:v>
      </x:c>
      <x:c r="D598" s="34" t="str">
        <x:v>0002</x:v>
      </x:c>
      <x:c r="E598" s="7" t="str">
        <x:v>West</x:v>
      </x:c>
      <x:c r="F598" s="7" t="n">
        <x:v>1</x:v>
      </x:c>
      <x:c r="G598" s="7" t="n">
        <x:v>180</x:v>
      </x:c>
      <x:c r="H598" s="9" t="n">
        <x:v>0.05</x:v>
      </x:c>
      <x:c r="I598" s="7" t="n">
        <x:v>171</x:v>
      </x:c>
    </x:row>
    <x:row r="599" ht="23" customHeight="1">
      <x:c r="A599" s="7" t="str">
        <x:v>INV00594</x:v>
      </x:c>
      <x:c r="B599" s="15" t="d">
        <x:v>2026-01-01T00:00:00.000Z</x:v>
      </x:c>
      <x:c r="C599" s="14" t="d">
        <x:v>2026-01-01T00:00:00.000Z</x:v>
      </x:c>
      <x:c r="D599" s="34" t="str">
        <x:v>0003</x:v>
      </x:c>
      <x:c r="E599" s="7" t="str">
        <x:v>West</x:v>
      </x:c>
      <x:c r="F599" s="7" t="n">
        <x:v>5</x:v>
      </x:c>
      <x:c r="G599" s="7" t="n">
        <x:v>200</x:v>
      </x:c>
      <x:c r="H599" s="9" t="n">
        <x:v>0</x:v>
      </x:c>
      <x:c r="I599" s="7" t="n">
        <x:v>1000</x:v>
      </x:c>
    </x:row>
    <x:row r="600" ht="23" customHeight="1">
      <x:c r="A600" s="7" t="str">
        <x:v>INV00595</x:v>
      </x:c>
      <x:c r="B600" s="15" t="d">
        <x:v>2026-01-02T00:00:00.000Z</x:v>
      </x:c>
      <x:c r="C600" s="14" t="d">
        <x:v>2026-01-01T00:00:00.000Z</x:v>
      </x:c>
      <x:c r="D600" s="34" t="str">
        <x:v>0004</x:v>
      </x:c>
      <x:c r="E600" s="7" t="str">
        <x:v>West</x:v>
      </x:c>
      <x:c r="F600" s="7" t="n">
        <x:v>3</x:v>
      </x:c>
      <x:c r="G600" s="7" t="n">
        <x:v>220</x:v>
      </x:c>
      <x:c r="H600" s="9" t="n">
        <x:v>0.02</x:v>
      </x:c>
      <x:c r="I600" s="7" t="n">
        <x:v>646.8</x:v>
      </x:c>
    </x:row>
    <x:row r="601" ht="23" customHeight="1">
      <x:c r="A601" s="7" t="str">
        <x:v>INV00596</x:v>
      </x:c>
      <x:c r="B601" s="15" t="d">
        <x:v>2026-01-03T00:00:00.000Z</x:v>
      </x:c>
      <x:c r="C601" s="14" t="d">
        <x:v>2026-01-01T00:00:00.000Z</x:v>
      </x:c>
      <x:c r="D601" s="34" t="str">
        <x:v>0005</x:v>
      </x:c>
      <x:c r="E601" s="7" t="str">
        <x:v>West</x:v>
      </x:c>
      <x:c r="F601" s="7" t="n">
        <x:v>1</x:v>
      </x:c>
      <x:c r="G601" s="7" t="n">
        <x:v>240</x:v>
      </x:c>
      <x:c r="H601" s="9" t="n">
        <x:v>0.05</x:v>
      </x:c>
      <x:c r="I601" s="7" t="n">
        <x:v>228</x:v>
      </x:c>
    </x:row>
    <x:row r="602" ht="23" customHeight="1">
      <x:c r="A602" s="7" t="str">
        <x:v>INV00597</x:v>
      </x:c>
      <x:c r="B602" s="15" t="d">
        <x:v>2026-01-04T00:00:00.000Z</x:v>
      </x:c>
      <x:c r="C602" s="14" t="d">
        <x:v>2026-01-01T00:00:00.000Z</x:v>
      </x:c>
      <x:c r="D602" s="34" t="str">
        <x:v>0006</x:v>
      </x:c>
      <x:c r="E602" s="7" t="str">
        <x:v>West</x:v>
      </x:c>
      <x:c r="F602" s="7" t="n">
        <x:v>7</x:v>
      </x:c>
      <x:c r="G602" s="7" t="n">
        <x:v>260</x:v>
      </x:c>
      <x:c r="H602" s="9" t="n">
        <x:v>0</x:v>
      </x:c>
      <x:c r="I602" s="7" t="n">
        <x:v>1820</x:v>
      </x:c>
    </x:row>
    <x:row r="603" ht="23" customHeight="1">
      <x:c r="A603" s="7" t="str">
        <x:v>INV00598</x:v>
      </x:c>
      <x:c r="B603" s="15" t="d">
        <x:v>2026-01-05T00:00:00.000Z</x:v>
      </x:c>
      <x:c r="C603" s="14" t="d">
        <x:v>2026-01-01T00:00:00.000Z</x:v>
      </x:c>
      <x:c r="D603" s="34" t="str">
        <x:v>0007</x:v>
      </x:c>
      <x:c r="E603" s="7" t="str">
        <x:v>West</x:v>
      </x:c>
      <x:c r="F603" s="7" t="n">
        <x:v>2</x:v>
      </x:c>
      <x:c r="G603" s="7" t="n">
        <x:v>280</x:v>
      </x:c>
      <x:c r="H603" s="9" t="n">
        <x:v>0.02</x:v>
      </x:c>
      <x:c r="I603" s="7" t="n">
        <x:v>548.8</x:v>
      </x:c>
    </x:row>
    <x:row r="604" ht="23" customHeight="1">
      <x:c r="A604" s="7" t="str">
        <x:v>INV00599</x:v>
      </x:c>
      <x:c r="B604" s="15" t="d">
        <x:v>2026-01-06T00:00:00.000Z</x:v>
      </x:c>
      <x:c r="C604" s="14" t="d">
        <x:v>2026-01-01T00:00:00.000Z</x:v>
      </x:c>
      <x:c r="D604" s="34" t="str">
        <x:v>0008</x:v>
      </x:c>
      <x:c r="E604" s="7" t="str">
        <x:v>West</x:v>
      </x:c>
      <x:c r="F604" s="7" t="n">
        <x:v>3</x:v>
      </x:c>
      <x:c r="G604" s="7" t="n">
        <x:v>300</x:v>
      </x:c>
      <x:c r="H604" s="9" t="n">
        <x:v>0.05</x:v>
      </x:c>
      <x:c r="I604" s="7" t="n">
        <x:v>855</x:v>
      </x:c>
    </x:row>
    <x:row r="605" ht="23" customHeight="1">
      <x:c r="A605" s="7" t="str">
        <x:v>INV00600</x:v>
      </x:c>
      <x:c r="B605" s="15" t="d">
        <x:v>2026-01-07T00:00:00.000Z</x:v>
      </x:c>
      <x:c r="C605" s="14" t="d">
        <x:v>2026-01-01T00:00:00.000Z</x:v>
      </x:c>
      <x:c r="D605" s="34" t="str">
        <x:v>0001</x:v>
      </x:c>
      <x:c r="E605" s="7" t="str">
        <x:v>North</x:v>
      </x:c>
      <x:c r="F605" s="7" t="n">
        <x:v>4</x:v>
      </x:c>
      <x:c r="G605" s="7" t="n">
        <x:v>160</x:v>
      </x:c>
      <x:c r="H605" s="9" t="n">
        <x:v>0</x:v>
      </x:c>
      <x:c r="I605" s="7" t="n">
        <x:v>640</x:v>
      </x:c>
    </x:row>
    <x:row r="606" ht="23" customHeight="1">
      <x:c r="A606" s="7" t="str">
        <x:v>INV00601</x:v>
      </x:c>
      <x:c r="B606" s="15" t="d">
        <x:v>2026-01-08T00:00:00.000Z</x:v>
      </x:c>
      <x:c r="C606" s="14" t="d">
        <x:v>2026-01-01T00:00:00.000Z</x:v>
      </x:c>
      <x:c r="D606" s="34" t="str">
        <x:v>0002</x:v>
      </x:c>
      <x:c r="E606" s="7" t="str">
        <x:v>North</x:v>
      </x:c>
      <x:c r="F606" s="7" t="n">
        <x:v>7</x:v>
      </x:c>
      <x:c r="G606" s="7" t="n">
        <x:v>180</x:v>
      </x:c>
      <x:c r="H606" s="9" t="n">
        <x:v>0.02</x:v>
      </x:c>
      <x:c r="I606" s="7" t="n">
        <x:v>1234.8</x:v>
      </x:c>
    </x:row>
    <x:row r="607" ht="23" customHeight="1">
      <x:c r="A607" s="7" t="str">
        <x:v>INV00602</x:v>
      </x:c>
      <x:c r="B607" s="15" t="d">
        <x:v>2026-01-09T00:00:00.000Z</x:v>
      </x:c>
      <x:c r="C607" s="14" t="d">
        <x:v>2026-01-01T00:00:00.000Z</x:v>
      </x:c>
      <x:c r="D607" s="34" t="str">
        <x:v>0003</x:v>
      </x:c>
      <x:c r="E607" s="7" t="str">
        <x:v>North</x:v>
      </x:c>
      <x:c r="F607" s="7" t="n">
        <x:v>5</x:v>
      </x:c>
      <x:c r="G607" s="7" t="n">
        <x:v>200</x:v>
      </x:c>
      <x:c r="H607" s="9" t="n">
        <x:v>0.05</x:v>
      </x:c>
      <x:c r="I607" s="7" t="n">
        <x:v>950</x:v>
      </x:c>
    </x:row>
    <x:row r="608" ht="23" customHeight="1">
      <x:c r="A608" s="7" t="str">
        <x:v>INV00603</x:v>
      </x:c>
      <x:c r="B608" s="15" t="d">
        <x:v>2026-01-10T00:00:00.000Z</x:v>
      </x:c>
      <x:c r="C608" s="14" t="d">
        <x:v>2026-01-01T00:00:00.000Z</x:v>
      </x:c>
      <x:c r="D608" s="34" t="str">
        <x:v>0004</x:v>
      </x:c>
      <x:c r="E608" s="7" t="str">
        <x:v>North</x:v>
      </x:c>
      <x:c r="F608" s="7" t="n">
        <x:v>1</x:v>
      </x:c>
      <x:c r="G608" s="7" t="n">
        <x:v>220</x:v>
      </x:c>
      <x:c r="H608" s="9" t="n">
        <x:v>0</x:v>
      </x:c>
      <x:c r="I608" s="7" t="n">
        <x:v>220</x:v>
      </x:c>
    </x:row>
    <x:row r="609" ht="23" customHeight="1">
      <x:c r="A609" s="7" t="str">
        <x:v>INV00604</x:v>
      </x:c>
      <x:c r="B609" s="15" t="d">
        <x:v>2026-01-11T00:00:00.000Z</x:v>
      </x:c>
      <x:c r="C609" s="14" t="d">
        <x:v>2026-01-01T00:00:00.000Z</x:v>
      </x:c>
      <x:c r="D609" s="34" t="str">
        <x:v>0005</x:v>
      </x:c>
      <x:c r="E609" s="7" t="str">
        <x:v>North</x:v>
      </x:c>
      <x:c r="F609" s="7" t="n">
        <x:v>6</x:v>
      </x:c>
      <x:c r="G609" s="7" t="n">
        <x:v>240</x:v>
      </x:c>
      <x:c r="H609" s="9" t="n">
        <x:v>0.02</x:v>
      </x:c>
      <x:c r="I609" s="7" t="n">
        <x:v>1411.2</x:v>
      </x:c>
    </x:row>
    <x:row r="610" ht="23" customHeight="1">
      <x:c r="A610" s="7" t="str">
        <x:v>INV00605</x:v>
      </x:c>
      <x:c r="B610" s="15" t="d">
        <x:v>2026-01-12T00:00:00.000Z</x:v>
      </x:c>
      <x:c r="C610" s="14" t="d">
        <x:v>2026-01-01T00:00:00.000Z</x:v>
      </x:c>
      <x:c r="D610" s="34" t="str">
        <x:v>0006</x:v>
      </x:c>
      <x:c r="E610" s="7" t="str">
        <x:v>North</x:v>
      </x:c>
      <x:c r="F610" s="7" t="n">
        <x:v>5</x:v>
      </x:c>
      <x:c r="G610" s="7" t="n">
        <x:v>260</x:v>
      </x:c>
      <x:c r="H610" s="9" t="n">
        <x:v>0.05</x:v>
      </x:c>
      <x:c r="I610" s="7" t="n">
        <x:v>1235</x:v>
      </x:c>
    </x:row>
    <x:row r="611" ht="23" customHeight="1">
      <x:c r="A611" s="7" t="str">
        <x:v>INV00606</x:v>
      </x:c>
      <x:c r="B611" s="15" t="d">
        <x:v>2026-01-13T00:00:00.000Z</x:v>
      </x:c>
      <x:c r="C611" s="14" t="d">
        <x:v>2026-01-01T00:00:00.000Z</x:v>
      </x:c>
      <x:c r="D611" s="34" t="str">
        <x:v>0007</x:v>
      </x:c>
      <x:c r="E611" s="7" t="str">
        <x:v>North</x:v>
      </x:c>
      <x:c r="F611" s="7" t="n">
        <x:v>7</x:v>
      </x:c>
      <x:c r="G611" s="7" t="n">
        <x:v>280</x:v>
      </x:c>
      <x:c r="H611" s="9" t="n">
        <x:v>0</x:v>
      </x:c>
      <x:c r="I611" s="7" t="n">
        <x:v>1960</x:v>
      </x:c>
    </x:row>
    <x:row r="612" ht="23" customHeight="1">
      <x:c r="A612" s="7" t="str">
        <x:v>INV00607</x:v>
      </x:c>
      <x:c r="B612" s="15" t="d">
        <x:v>2026-01-14T00:00:00.000Z</x:v>
      </x:c>
      <x:c r="C612" s="14" t="d">
        <x:v>2026-01-01T00:00:00.000Z</x:v>
      </x:c>
      <x:c r="D612" s="34" t="str">
        <x:v>0008</x:v>
      </x:c>
      <x:c r="E612" s="7" t="str">
        <x:v>North</x:v>
      </x:c>
      <x:c r="F612" s="7" t="n">
        <x:v>3</x:v>
      </x:c>
      <x:c r="G612" s="7" t="n">
        <x:v>300</x:v>
      </x:c>
      <x:c r="H612" s="9" t="n">
        <x:v>0.02</x:v>
      </x:c>
      <x:c r="I612" s="7" t="n">
        <x:v>882</x:v>
      </x:c>
    </x:row>
    <x:row r="613" ht="23" customHeight="1">
      <x:c r="A613" s="7" t="str">
        <x:v>INV00608</x:v>
      </x:c>
      <x:c r="B613" s="15" t="d">
        <x:v>2026-02-15T00:00:00.000Z</x:v>
      </x:c>
      <x:c r="C613" s="14" t="d">
        <x:v>2026-02-01T00:00:00.000Z</x:v>
      </x:c>
      <x:c r="D613" s="34" t="str">
        <x:v>0001</x:v>
      </x:c>
      <x:c r="E613" s="7" t="str">
        <x:v>Central</x:v>
      </x:c>
      <x:c r="F613" s="7" t="n">
        <x:v>3</x:v>
      </x:c>
      <x:c r="G613" s="7" t="n">
        <x:v>160</x:v>
      </x:c>
      <x:c r="H613" s="9" t="n">
        <x:v>0.05</x:v>
      </x:c>
      <x:c r="I613" s="7" t="n">
        <x:v>456</x:v>
      </x:c>
    </x:row>
    <x:row r="614" ht="23" customHeight="1">
      <x:c r="A614" s="7" t="str">
        <x:v>INV00609</x:v>
      </x:c>
      <x:c r="B614" s="15" t="d">
        <x:v>2026-02-16T00:00:00.000Z</x:v>
      </x:c>
      <x:c r="C614" s="14" t="d">
        <x:v>2026-02-01T00:00:00.000Z</x:v>
      </x:c>
      <x:c r="D614" s="34" t="str">
        <x:v>0002</x:v>
      </x:c>
      <x:c r="E614" s="7" t="str">
        <x:v>Central</x:v>
      </x:c>
      <x:c r="F614" s="7" t="n">
        <x:v>6</x:v>
      </x:c>
      <x:c r="G614" s="7" t="n">
        <x:v>180</x:v>
      </x:c>
      <x:c r="H614" s="9" t="n">
        <x:v>0</x:v>
      </x:c>
      <x:c r="I614" s="7" t="n">
        <x:v>1080</x:v>
      </x:c>
    </x:row>
    <x:row r="615" ht="23" customHeight="1">
      <x:c r="A615" s="7" t="str">
        <x:v>INV00610</x:v>
      </x:c>
      <x:c r="B615" s="15" t="d">
        <x:v>2026-02-17T00:00:00.000Z</x:v>
      </x:c>
      <x:c r="C615" s="14" t="d">
        <x:v>2026-02-01T00:00:00.000Z</x:v>
      </x:c>
      <x:c r="D615" s="34" t="str">
        <x:v>0003</x:v>
      </x:c>
      <x:c r="E615" s="7" t="str">
        <x:v>Central</x:v>
      </x:c>
      <x:c r="F615" s="7" t="n">
        <x:v>4</x:v>
      </x:c>
      <x:c r="G615" s="7" t="n">
        <x:v>200</x:v>
      </x:c>
      <x:c r="H615" s="9" t="n">
        <x:v>0.02</x:v>
      </x:c>
      <x:c r="I615" s="7" t="n">
        <x:v>784</x:v>
      </x:c>
    </x:row>
    <x:row r="616" ht="23" customHeight="1">
      <x:c r="A616" s="7" t="str">
        <x:v>INV00611</x:v>
      </x:c>
      <x:c r="B616" s="15" t="d">
        <x:v>2026-02-18T00:00:00.000Z</x:v>
      </x:c>
      <x:c r="C616" s="14" t="d">
        <x:v>2026-02-01T00:00:00.000Z</x:v>
      </x:c>
      <x:c r="D616" s="34" t="str">
        <x:v>0004</x:v>
      </x:c>
      <x:c r="E616" s="7" t="str">
        <x:v>Central</x:v>
      </x:c>
      <x:c r="F616" s="7" t="n">
        <x:v>3</x:v>
      </x:c>
      <x:c r="G616" s="7" t="n">
        <x:v>220</x:v>
      </x:c>
      <x:c r="H616" s="9" t="n">
        <x:v>0.05</x:v>
      </x:c>
      <x:c r="I616" s="7" t="n">
        <x:v>627</x:v>
      </x:c>
    </x:row>
    <x:row r="617" ht="23" customHeight="1">
      <x:c r="A617" s="7" t="str">
        <x:v>INV00612</x:v>
      </x:c>
      <x:c r="B617" s="15" t="d">
        <x:v>2026-02-19T00:00:00.000Z</x:v>
      </x:c>
      <x:c r="C617" s="14" t="d">
        <x:v>2026-02-01T00:00:00.000Z</x:v>
      </x:c>
      <x:c r="D617" s="34" t="str">
        <x:v>0005</x:v>
      </x:c>
      <x:c r="E617" s="7" t="str">
        <x:v>Central</x:v>
      </x:c>
      <x:c r="F617" s="7" t="n">
        <x:v>5</x:v>
      </x:c>
      <x:c r="G617" s="7" t="n">
        <x:v>240</x:v>
      </x:c>
      <x:c r="H617" s="9" t="n">
        <x:v>0</x:v>
      </x:c>
      <x:c r="I617" s="7" t="n">
        <x:v>1200</x:v>
      </x:c>
    </x:row>
    <x:row r="618" ht="23" customHeight="1">
      <x:c r="A618" s="7" t="str">
        <x:v>INV00613</x:v>
      </x:c>
      <x:c r="B618" s="15" t="d">
        <x:v>2026-02-20T00:00:00.000Z</x:v>
      </x:c>
      <x:c r="C618" s="14" t="d">
        <x:v>2026-02-01T00:00:00.000Z</x:v>
      </x:c>
      <x:c r="D618" s="34" t="str">
        <x:v>0006</x:v>
      </x:c>
      <x:c r="E618" s="7" t="str">
        <x:v>Central</x:v>
      </x:c>
      <x:c r="F618" s="7" t="n">
        <x:v>3</x:v>
      </x:c>
      <x:c r="G618" s="7" t="n">
        <x:v>260</x:v>
      </x:c>
      <x:c r="H618" s="9" t="n">
        <x:v>0.02</x:v>
      </x:c>
      <x:c r="I618" s="7" t="n">
        <x:v>764.4</x:v>
      </x:c>
    </x:row>
    <x:row r="619" ht="23" customHeight="1">
      <x:c r="A619" s="7" t="str">
        <x:v>INV00614</x:v>
      </x:c>
      <x:c r="B619" s="15" t="d">
        <x:v>2026-02-21T00:00:00.000Z</x:v>
      </x:c>
      <x:c r="C619" s="14" t="d">
        <x:v>2026-02-01T00:00:00.000Z</x:v>
      </x:c>
      <x:c r="D619" s="34" t="str">
        <x:v>0007</x:v>
      </x:c>
      <x:c r="E619" s="7" t="str">
        <x:v>Central</x:v>
      </x:c>
      <x:c r="F619" s="7" t="n">
        <x:v>1</x:v>
      </x:c>
      <x:c r="G619" s="7" t="n">
        <x:v>280</x:v>
      </x:c>
      <x:c r="H619" s="9" t="n">
        <x:v>0.05</x:v>
      </x:c>
      <x:c r="I619" s="7" t="n">
        <x:v>266</x:v>
      </x:c>
    </x:row>
    <x:row r="620" ht="23" customHeight="1">
      <x:c r="A620" s="7" t="str">
        <x:v>INV00615</x:v>
      </x:c>
      <x:c r="B620" s="15" t="d">
        <x:v>2026-02-22T00:00:00.000Z</x:v>
      </x:c>
      <x:c r="C620" s="14" t="d">
        <x:v>2026-02-01T00:00:00.000Z</x:v>
      </x:c>
      <x:c r="D620" s="34" t="str">
        <x:v>0008</x:v>
      </x:c>
      <x:c r="E620" s="7" t="str">
        <x:v>Central</x:v>
      </x:c>
      <x:c r="F620" s="7" t="n">
        <x:v>-5</x:v>
      </x:c>
      <x:c r="G620" s="7" t="n">
        <x:v>300</x:v>
      </x:c>
      <x:c r="H620" s="9" t="n">
        <x:v>0</x:v>
      </x:c>
      <x:c r="I620" s="7" t="n">
        <x:v>-1500</x:v>
      </x:c>
    </x:row>
    <x:row r="621" ht="23" customHeight="1">
      <x:c r="A621" s="7" t="str">
        <x:v>INV00616</x:v>
      </x:c>
      <x:c r="B621" s="15" t="d">
        <x:v>2026-02-23T00:00:00.000Z</x:v>
      </x:c>
      <x:c r="C621" s="14" t="d">
        <x:v>2026-02-01T00:00:00.000Z</x:v>
      </x:c>
      <x:c r="D621" s="34" t="str">
        <x:v>0001</x:v>
      </x:c>
      <x:c r="E621" s="7" t="str">
        <x:v>East</x:v>
      </x:c>
      <x:c r="F621" s="7" t="n">
        <x:v>4</x:v>
      </x:c>
      <x:c r="G621" s="7" t="n">
        <x:v>160</x:v>
      </x:c>
      <x:c r="H621" s="9" t="n">
        <x:v>0.02</x:v>
      </x:c>
      <x:c r="I621" s="7" t="n">
        <x:v>627.2</x:v>
      </x:c>
    </x:row>
    <x:row r="622" ht="23" customHeight="1">
      <x:c r="A622" s="7" t="str">
        <x:v>INV00617</x:v>
      </x:c>
      <x:c r="B622" s="15" t="d">
        <x:v>2026-02-24T00:00:00.000Z</x:v>
      </x:c>
      <x:c r="C622" s="14" t="d">
        <x:v>2026-02-01T00:00:00.000Z</x:v>
      </x:c>
      <x:c r="D622" s="34" t="str">
        <x:v>0002</x:v>
      </x:c>
      <x:c r="E622" s="7" t="str">
        <x:v>East</x:v>
      </x:c>
      <x:c r="F622" s="7" t="n">
        <x:v>4</x:v>
      </x:c>
      <x:c r="G622" s="7" t="n">
        <x:v>180</x:v>
      </x:c>
      <x:c r="H622" s="9" t="n">
        <x:v>0.05</x:v>
      </x:c>
      <x:c r="I622" s="7" t="n">
        <x:v>684</x:v>
      </x:c>
    </x:row>
    <x:row r="623" ht="23" customHeight="1">
      <x:c r="A623" s="7" t="str">
        <x:v>INV00618</x:v>
      </x:c>
      <x:c r="B623" s="15" t="d">
        <x:v>2026-02-25T00:00:00.000Z</x:v>
      </x:c>
      <x:c r="C623" s="14" t="d">
        <x:v>2026-02-01T00:00:00.000Z</x:v>
      </x:c>
      <x:c r="D623" s="34" t="str">
        <x:v>0003</x:v>
      </x:c>
      <x:c r="E623" s="7" t="str">
        <x:v>East</x:v>
      </x:c>
      <x:c r="F623" s="7" t="n">
        <x:v>2</x:v>
      </x:c>
      <x:c r="G623" s="7" t="n">
        <x:v>200</x:v>
      </x:c>
      <x:c r="H623" s="9" t="n">
        <x:v>0</x:v>
      </x:c>
      <x:c r="I623" s="7" t="n">
        <x:v>400</x:v>
      </x:c>
    </x:row>
    <x:row r="624" ht="23" customHeight="1">
      <x:c r="A624" s="7" t="str">
        <x:v>INV00619</x:v>
      </x:c>
      <x:c r="B624" s="15" t="d">
        <x:v>2026-02-26T00:00:00.000Z</x:v>
      </x:c>
      <x:c r="C624" s="14" t="d">
        <x:v>2026-02-01T00:00:00.000Z</x:v>
      </x:c>
      <x:c r="D624" s="34" t="str">
        <x:v>0004</x:v>
      </x:c>
      <x:c r="E624" s="7" t="str">
        <x:v>East</x:v>
      </x:c>
      <x:c r="F624" s="7" t="n">
        <x:v>5</x:v>
      </x:c>
      <x:c r="G624" s="7" t="n">
        <x:v>220</x:v>
      </x:c>
      <x:c r="H624" s="9" t="n">
        <x:v>0.02</x:v>
      </x:c>
      <x:c r="I624" s="7" t="n">
        <x:v>1078</x:v>
      </x:c>
    </x:row>
    <x:row r="625" ht="23" customHeight="1">
      <x:c r="A625" s="7" t="str">
        <x:v>INV00620</x:v>
      </x:c>
      <x:c r="B625" s="15" t="d">
        <x:v>2026-02-27T00:00:00.000Z</x:v>
      </x:c>
      <x:c r="C625" s="14" t="d">
        <x:v>2026-02-01T00:00:00.000Z</x:v>
      </x:c>
      <x:c r="D625" s="34" t="str">
        <x:v>0005</x:v>
      </x:c>
      <x:c r="E625" s="7" t="str">
        <x:v>East</x:v>
      </x:c>
      <x:c r="F625" s="7" t="n">
        <x:v>1</x:v>
      </x:c>
      <x:c r="G625" s="7" t="n">
        <x:v>240</x:v>
      </x:c>
      <x:c r="H625" s="9" t="n">
        <x:v>0.05</x:v>
      </x:c>
      <x:c r="I625" s="7" t="n">
        <x:v>228</x:v>
      </x:c>
    </x:row>
    <x:row r="626" ht="23" customHeight="1">
      <x:c r="A626" s="7" t="str">
        <x:v>INV00621</x:v>
      </x:c>
      <x:c r="B626" s="15" t="d">
        <x:v>2026-02-01T00:00:00.000Z</x:v>
      </x:c>
      <x:c r="C626" s="14" t="d">
        <x:v>2026-02-01T00:00:00.000Z</x:v>
      </x:c>
      <x:c r="D626" s="34" t="str">
        <x:v>0006</x:v>
      </x:c>
      <x:c r="E626" s="7" t="str">
        <x:v>East</x:v>
      </x:c>
      <x:c r="F626" s="7" t="n">
        <x:v>3</x:v>
      </x:c>
      <x:c r="G626" s="7" t="n">
        <x:v>260</x:v>
      </x:c>
      <x:c r="H626" s="9" t="n">
        <x:v>0</x:v>
      </x:c>
      <x:c r="I626" s="7" t="n">
        <x:v>780</x:v>
      </x:c>
    </x:row>
    <x:row r="627" ht="23" customHeight="1">
      <x:c r="A627" s="7" t="str">
        <x:v>INV00622</x:v>
      </x:c>
      <x:c r="B627" s="15" t="d">
        <x:v>2026-02-02T00:00:00.000Z</x:v>
      </x:c>
      <x:c r="C627" s="14" t="d">
        <x:v>2026-02-01T00:00:00.000Z</x:v>
      </x:c>
      <x:c r="D627" s="34" t="str">
        <x:v>0007</x:v>
      </x:c>
      <x:c r="E627" s="7" t="str">
        <x:v>East</x:v>
      </x:c>
      <x:c r="F627" s="7" t="n">
        <x:v>1</x:v>
      </x:c>
      <x:c r="G627" s="7" t="n">
        <x:v>280</x:v>
      </x:c>
      <x:c r="H627" s="9" t="n">
        <x:v>0.02</x:v>
      </x:c>
      <x:c r="I627" s="7" t="n">
        <x:v>274.4</x:v>
      </x:c>
    </x:row>
    <x:row r="628" ht="23" customHeight="1">
      <x:c r="A628" s="7" t="str">
        <x:v>INV00623</x:v>
      </x:c>
      <x:c r="B628" s="15" t="d">
        <x:v>2026-02-03T00:00:00.000Z</x:v>
      </x:c>
      <x:c r="C628" s="14" t="d">
        <x:v>2026-02-01T00:00:00.000Z</x:v>
      </x:c>
      <x:c r="D628" s="34" t="str">
        <x:v>0008</x:v>
      </x:c>
      <x:c r="E628" s="7" t="str">
        <x:v>East</x:v>
      </x:c>
      <x:c r="F628" s="7" t="n">
        <x:v>1</x:v>
      </x:c>
      <x:c r="G628" s="7" t="n">
        <x:v>300</x:v>
      </x:c>
      <x:c r="H628" s="9" t="n">
        <x:v>0.05</x:v>
      </x:c>
      <x:c r="I628" s="7" t="n">
        <x:v>285</x:v>
      </x:c>
    </x:row>
    <x:row r="629" ht="23" customHeight="1">
      <x:c r="A629" s="7" t="str">
        <x:v>INV00624</x:v>
      </x:c>
      <x:c r="B629" s="15" t="d">
        <x:v>2026-02-04T00:00:00.000Z</x:v>
      </x:c>
      <x:c r="C629" s="14" t="d">
        <x:v>2026-02-01T00:00:00.000Z</x:v>
      </x:c>
      <x:c r="D629" s="34" t="str">
        <x:v>0001</x:v>
      </x:c>
      <x:c r="E629" s="7" t="str">
        <x:v>West</x:v>
      </x:c>
      <x:c r="F629" s="7" t="n">
        <x:v>7</x:v>
      </x:c>
      <x:c r="G629" s="7" t="n">
        <x:v>160</x:v>
      </x:c>
      <x:c r="H629" s="9" t="n">
        <x:v>0</x:v>
      </x:c>
      <x:c r="I629" s="7" t="n">
        <x:v>1120</x:v>
      </x:c>
    </x:row>
    <x:row r="630" ht="23" customHeight="1">
      <x:c r="A630" s="7" t="str">
        <x:v>INV00625</x:v>
      </x:c>
      <x:c r="B630" s="15" t="d">
        <x:v>2026-02-05T00:00:00.000Z</x:v>
      </x:c>
      <x:c r="C630" s="14" t="d">
        <x:v>2026-02-01T00:00:00.000Z</x:v>
      </x:c>
      <x:c r="D630" s="34" t="str">
        <x:v>0002</x:v>
      </x:c>
      <x:c r="E630" s="7" t="str">
        <x:v>West</x:v>
      </x:c>
      <x:c r="F630" s="7" t="n">
        <x:v>6</x:v>
      </x:c>
      <x:c r="G630" s="7" t="n">
        <x:v>180</x:v>
      </x:c>
      <x:c r="H630" s="9" t="n">
        <x:v>0.02</x:v>
      </x:c>
      <x:c r="I630" s="7" t="n">
        <x:v>1058.4</x:v>
      </x:c>
    </x:row>
    <x:row r="631" ht="23" customHeight="1">
      <x:c r="A631" s="7" t="str">
        <x:v>INV00626</x:v>
      </x:c>
      <x:c r="B631" s="15" t="d">
        <x:v>2026-02-06T00:00:00.000Z</x:v>
      </x:c>
      <x:c r="C631" s="14" t="d">
        <x:v>2026-02-01T00:00:00.000Z</x:v>
      </x:c>
      <x:c r="D631" s="34" t="str">
        <x:v>0003</x:v>
      </x:c>
      <x:c r="E631" s="7" t="str">
        <x:v>West</x:v>
      </x:c>
      <x:c r="F631" s="7" t="n">
        <x:v>4</x:v>
      </x:c>
      <x:c r="G631" s="7" t="n">
        <x:v>200</x:v>
      </x:c>
      <x:c r="H631" s="9" t="n">
        <x:v>0.05</x:v>
      </x:c>
      <x:c r="I631" s="7" t="n">
        <x:v>760</x:v>
      </x:c>
    </x:row>
    <x:row r="632" ht="23" customHeight="1">
      <x:c r="A632" s="7" t="str">
        <x:v>INV00627</x:v>
      </x:c>
      <x:c r="B632" s="15" t="d">
        <x:v>2026-02-07T00:00:00.000Z</x:v>
      </x:c>
      <x:c r="C632" s="14" t="d">
        <x:v>2026-02-01T00:00:00.000Z</x:v>
      </x:c>
      <x:c r="D632" s="34" t="str">
        <x:v>0004</x:v>
      </x:c>
      <x:c r="E632" s="7" t="str">
        <x:v>West</x:v>
      </x:c>
      <x:c r="F632" s="7" t="n">
        <x:v>2</x:v>
      </x:c>
      <x:c r="G632" s="7" t="n">
        <x:v>220</x:v>
      </x:c>
      <x:c r="H632" s="9" t="n">
        <x:v>0</x:v>
      </x:c>
      <x:c r="I632" s="7" t="n">
        <x:v>440</x:v>
      </x:c>
    </x:row>
    <x:row r="633" ht="23" customHeight="1">
      <x:c r="A633" s="7" t="str">
        <x:v>INV00628</x:v>
      </x:c>
      <x:c r="B633" s="15" t="d">
        <x:v>2026-02-08T00:00:00.000Z</x:v>
      </x:c>
      <x:c r="C633" s="14" t="d">
        <x:v>2026-02-01T00:00:00.000Z</x:v>
      </x:c>
      <x:c r="D633" s="34" t="str">
        <x:v>0005</x:v>
      </x:c>
      <x:c r="E633" s="7" t="str">
        <x:v>West</x:v>
      </x:c>
      <x:c r="F633" s="7" t="n">
        <x:v>6</x:v>
      </x:c>
      <x:c r="G633" s="7" t="n">
        <x:v>240</x:v>
      </x:c>
      <x:c r="H633" s="9" t="n">
        <x:v>0.02</x:v>
      </x:c>
      <x:c r="I633" s="7" t="n">
        <x:v>1411.2</x:v>
      </x:c>
    </x:row>
    <x:row r="634" ht="23" customHeight="1">
      <x:c r="A634" s="7" t="str">
        <x:v>INV00629</x:v>
      </x:c>
      <x:c r="B634" s="15" t="d">
        <x:v>2026-02-09T00:00:00.000Z</x:v>
      </x:c>
      <x:c r="C634" s="14" t="d">
        <x:v>2026-02-01T00:00:00.000Z</x:v>
      </x:c>
      <x:c r="D634" s="34" t="str">
        <x:v>0006</x:v>
      </x:c>
      <x:c r="E634" s="7" t="str">
        <x:v>West</x:v>
      </x:c>
      <x:c r="F634" s="7" t="n">
        <x:v>6</x:v>
      </x:c>
      <x:c r="G634" s="7" t="n">
        <x:v>260</x:v>
      </x:c>
      <x:c r="H634" s="9" t="n">
        <x:v>0.05</x:v>
      </x:c>
      <x:c r="I634" s="7" t="n">
        <x:v>1482</x:v>
      </x:c>
    </x:row>
    <x:row r="635" ht="23" customHeight="1">
      <x:c r="A635" s="7" t="str">
        <x:v>INV00630</x:v>
      </x:c>
      <x:c r="B635" s="15" t="d">
        <x:v>2026-02-10T00:00:00.000Z</x:v>
      </x:c>
      <x:c r="C635" s="14" t="d">
        <x:v>2026-02-01T00:00:00.000Z</x:v>
      </x:c>
      <x:c r="D635" s="34" t="str">
        <x:v>0007</x:v>
      </x:c>
      <x:c r="E635" s="7" t="str">
        <x:v>West</x:v>
      </x:c>
      <x:c r="F635" s="7" t="n">
        <x:v>3</x:v>
      </x:c>
      <x:c r="G635" s="7" t="n">
        <x:v>280</x:v>
      </x:c>
      <x:c r="H635" s="9" t="n">
        <x:v>0</x:v>
      </x:c>
      <x:c r="I635" s="7" t="n">
        <x:v>840</x:v>
      </x:c>
    </x:row>
    <x:row r="636" ht="23" customHeight="1">
      <x:c r="A636" s="7" t="str">
        <x:v>INV00631</x:v>
      </x:c>
      <x:c r="B636" s="15" t="d">
        <x:v>2026-02-11T00:00:00.000Z</x:v>
      </x:c>
      <x:c r="C636" s="14" t="d">
        <x:v>2026-02-01T00:00:00.000Z</x:v>
      </x:c>
      <x:c r="D636" s="34" t="str">
        <x:v>0008</x:v>
      </x:c>
      <x:c r="E636" s="7" t="str">
        <x:v>West</x:v>
      </x:c>
      <x:c r="F636" s="7" t="n">
        <x:v>5</x:v>
      </x:c>
      <x:c r="G636" s="7" t="n">
        <x:v>300</x:v>
      </x:c>
      <x:c r="H636" s="9" t="n">
        <x:v>0.02</x:v>
      </x:c>
      <x:c r="I636" s="7" t="n">
        <x:v>1470</x:v>
      </x:c>
    </x:row>
    <x:row r="637" ht="23" customHeight="1">
      <x:c r="A637" s="7" t="str">
        <x:v>INV00632</x:v>
      </x:c>
      <x:c r="B637" s="15" t="d">
        <x:v>2026-02-12T00:00:00.000Z</x:v>
      </x:c>
      <x:c r="C637" s="14" t="d">
        <x:v>2026-02-01T00:00:00.000Z</x:v>
      </x:c>
      <x:c r="D637" s="34" t="str">
        <x:v>0001</x:v>
      </x:c>
      <x:c r="E637" s="7" t="str">
        <x:v>North</x:v>
      </x:c>
      <x:c r="F637" s="7" t="n">
        <x:v>7</x:v>
      </x:c>
      <x:c r="G637" s="7" t="n">
        <x:v>160</x:v>
      </x:c>
      <x:c r="H637" s="9" t="n">
        <x:v>0.05</x:v>
      </x:c>
      <x:c r="I637" s="7" t="n">
        <x:v>1064</x:v>
      </x:c>
    </x:row>
    <x:row r="638" ht="23" customHeight="1">
      <x:c r="A638" s="7" t="str">
        <x:v>INV00633</x:v>
      </x:c>
      <x:c r="B638" s="15" t="d">
        <x:v>2026-02-13T00:00:00.000Z</x:v>
      </x:c>
      <x:c r="C638" s="14" t="d">
        <x:v>2026-02-01T00:00:00.000Z</x:v>
      </x:c>
      <x:c r="D638" s="34" t="str">
        <x:v>0002</x:v>
      </x:c>
      <x:c r="E638" s="7" t="str">
        <x:v>North</x:v>
      </x:c>
      <x:c r="F638" s="7" t="n">
        <x:v>4</x:v>
      </x:c>
      <x:c r="G638" s="7" t="n">
        <x:v>180</x:v>
      </x:c>
      <x:c r="H638" s="9" t="n">
        <x:v>0</x:v>
      </x:c>
      <x:c r="I638" s="7" t="n">
        <x:v>720</x:v>
      </x:c>
    </x:row>
    <x:row r="639" ht="23" customHeight="1">
      <x:c r="A639" s="7" t="str">
        <x:v>INV00634</x:v>
      </x:c>
      <x:c r="B639" s="15" t="d">
        <x:v>2026-02-14T00:00:00.000Z</x:v>
      </x:c>
      <x:c r="C639" s="14" t="d">
        <x:v>2026-02-01T00:00:00.000Z</x:v>
      </x:c>
      <x:c r="D639" s="34" t="str">
        <x:v>0003</x:v>
      </x:c>
      <x:c r="E639" s="7" t="str">
        <x:v>North</x:v>
      </x:c>
      <x:c r="F639" s="7" t="n">
        <x:v>1</x:v>
      </x:c>
      <x:c r="G639" s="7" t="n">
        <x:v>200</x:v>
      </x:c>
      <x:c r="H639" s="9" t="n">
        <x:v>0.02</x:v>
      </x:c>
      <x:c r="I639" s="7" t="n">
        <x:v>196</x:v>
      </x:c>
    </x:row>
    <x:row r="640" ht="23" customHeight="1">
      <x:c r="A640" s="7" t="str">
        <x:v>INV00635</x:v>
      </x:c>
      <x:c r="B640" s="15" t="d">
        <x:v>2026-02-15T00:00:00.000Z</x:v>
      </x:c>
      <x:c r="C640" s="14" t="d">
        <x:v>2026-02-01T00:00:00.000Z</x:v>
      </x:c>
      <x:c r="D640" s="34" t="str">
        <x:v>0004</x:v>
      </x:c>
      <x:c r="E640" s="7" t="str">
        <x:v>North</x:v>
      </x:c>
      <x:c r="F640" s="7" t="n">
        <x:v>7</x:v>
      </x:c>
      <x:c r="G640" s="7" t="n">
        <x:v>220</x:v>
      </x:c>
      <x:c r="H640" s="9" t="n">
        <x:v>0.05</x:v>
      </x:c>
      <x:c r="I640" s="7" t="n">
        <x:v>1463</x:v>
      </x:c>
    </x:row>
    <x:row r="641" ht="23" customHeight="1">
      <x:c r="A641" s="7" t="str">
        <x:v>INV00636</x:v>
      </x:c>
      <x:c r="B641" s="15" t="d">
        <x:v>2026-02-16T00:00:00.000Z</x:v>
      </x:c>
      <x:c r="C641" s="14" t="d">
        <x:v>2026-02-01T00:00:00.000Z</x:v>
      </x:c>
      <x:c r="D641" s="34" t="str">
        <x:v>0005</x:v>
      </x:c>
      <x:c r="E641" s="7" t="str">
        <x:v>North</x:v>
      </x:c>
      <x:c r="F641" s="7" t="n">
        <x:v>7</x:v>
      </x:c>
      <x:c r="G641" s="7" t="n">
        <x:v>240</x:v>
      </x:c>
      <x:c r="H641" s="9" t="n">
        <x:v>0</x:v>
      </x:c>
      <x:c r="I641" s="7" t="n">
        <x:v>1680</x:v>
      </x:c>
    </x:row>
    <x:row r="642" ht="23" customHeight="1">
      <x:c r="A642" s="7" t="str">
        <x:v>INV00637</x:v>
      </x:c>
      <x:c r="B642" s="15" t="d">
        <x:v>2026-02-17T00:00:00.000Z</x:v>
      </x:c>
      <x:c r="C642" s="14" t="d">
        <x:v>2026-02-01T00:00:00.000Z</x:v>
      </x:c>
      <x:c r="D642" s="34" t="str">
        <x:v>0006</x:v>
      </x:c>
      <x:c r="E642" s="7" t="str">
        <x:v>North</x:v>
      </x:c>
      <x:c r="F642" s="7" t="n">
        <x:v>1</x:v>
      </x:c>
      <x:c r="G642" s="7" t="n">
        <x:v>260</x:v>
      </x:c>
      <x:c r="H642" s="9" t="n">
        <x:v>0.02</x:v>
      </x:c>
      <x:c r="I642" s="7" t="n">
        <x:v>254.8</x:v>
      </x:c>
    </x:row>
    <x:row r="643" ht="23" customHeight="1">
      <x:c r="A643" s="7" t="str">
        <x:v>INV00638</x:v>
      </x:c>
      <x:c r="B643" s="15" t="d">
        <x:v>2026-02-18T00:00:00.000Z</x:v>
      </x:c>
      <x:c r="C643" s="14" t="d">
        <x:v>2026-02-01T00:00:00.000Z</x:v>
      </x:c>
      <x:c r="D643" s="34" t="str">
        <x:v>0007</x:v>
      </x:c>
      <x:c r="E643" s="7" t="str">
        <x:v>North</x:v>
      </x:c>
      <x:c r="F643" s="7" t="n">
        <x:v>3</x:v>
      </x:c>
      <x:c r="G643" s="7" t="n">
        <x:v>280</x:v>
      </x:c>
      <x:c r="H643" s="9" t="n">
        <x:v>0.05</x:v>
      </x:c>
      <x:c r="I643" s="7" t="n">
        <x:v>798</x:v>
      </x:c>
    </x:row>
    <x:row r="644" ht="23" customHeight="1">
      <x:c r="A644" s="7" t="str">
        <x:v>INV00639</x:v>
      </x:c>
      <x:c r="B644" s="15" t="d">
        <x:v>2026-02-19T00:00:00.000Z</x:v>
      </x:c>
      <x:c r="C644" s="14" t="d">
        <x:v>2026-02-01T00:00:00.000Z</x:v>
      </x:c>
      <x:c r="D644" s="34" t="str">
        <x:v>0008</x:v>
      </x:c>
      <x:c r="E644" s="7" t="str">
        <x:v>North</x:v>
      </x:c>
      <x:c r="F644" s="7" t="n">
        <x:v>6</x:v>
      </x:c>
      <x:c r="G644" s="7" t="n">
        <x:v>300</x:v>
      </x:c>
      <x:c r="H644" s="9" t="n">
        <x:v>0</x:v>
      </x:c>
      <x:c r="I644" s="7" t="n">
        <x:v>1800</x:v>
      </x:c>
    </x:row>
    <x:row r="645" ht="23" customHeight="1">
      <x:c r="A645" s="7" t="str">
        <x:v>INV00640</x:v>
      </x:c>
      <x:c r="B645" s="15" t="d">
        <x:v>2026-03-20T00:00:00.000Z</x:v>
      </x:c>
      <x:c r="C645" s="14" t="d">
        <x:v>2026-03-01T00:00:00.000Z</x:v>
      </x:c>
      <x:c r="D645" s="34" t="str">
        <x:v>0001</x:v>
      </x:c>
      <x:c r="E645" s="7" t="str">
        <x:v>Central</x:v>
      </x:c>
      <x:c r="F645" s="7" t="n">
        <x:v>2</x:v>
      </x:c>
      <x:c r="G645" s="7" t="n">
        <x:v>160</x:v>
      </x:c>
      <x:c r="H645" s="9" t="n">
        <x:v>0.02</x:v>
      </x:c>
      <x:c r="I645" s="7" t="n">
        <x:v>313.6</x:v>
      </x:c>
    </x:row>
    <x:row r="646" ht="23" customHeight="1">
      <x:c r="A646" s="7" t="str">
        <x:v>INV00641</x:v>
      </x:c>
      <x:c r="B646" s="15" t="d">
        <x:v>2026-03-21T00:00:00.000Z</x:v>
      </x:c>
      <x:c r="C646" s="14" t="d">
        <x:v>2026-03-01T00:00:00.000Z</x:v>
      </x:c>
      <x:c r="D646" s="34" t="str">
        <x:v>0002</x:v>
      </x:c>
      <x:c r="E646" s="7" t="str">
        <x:v>Central</x:v>
      </x:c>
      <x:c r="F646" s="7" t="n">
        <x:v>6</x:v>
      </x:c>
      <x:c r="G646" s="7" t="n">
        <x:v>180</x:v>
      </x:c>
      <x:c r="H646" s="9" t="n">
        <x:v>0.05</x:v>
      </x:c>
      <x:c r="I646" s="7" t="n">
        <x:v>1026</x:v>
      </x:c>
    </x:row>
    <x:row r="647" ht="23" customHeight="1">
      <x:c r="A647" s="7" t="str">
        <x:v>INV00642</x:v>
      </x:c>
      <x:c r="B647" s="15" t="d">
        <x:v>2026-03-22T00:00:00.000Z</x:v>
      </x:c>
      <x:c r="C647" s="14" t="d">
        <x:v>2026-03-01T00:00:00.000Z</x:v>
      </x:c>
      <x:c r="D647" s="34" t="str">
        <x:v>0003</x:v>
      </x:c>
      <x:c r="E647" s="7" t="str">
        <x:v>Central</x:v>
      </x:c>
      <x:c r="F647" s="7" t="n">
        <x:v>1</x:v>
      </x:c>
      <x:c r="G647" s="7" t="n">
        <x:v>200</x:v>
      </x:c>
      <x:c r="H647" s="9" t="n">
        <x:v>0</x:v>
      </x:c>
      <x:c r="I647" s="7" t="n">
        <x:v>200</x:v>
      </x:c>
    </x:row>
    <x:row r="648" ht="23" customHeight="1">
      <x:c r="A648" s="7" t="str">
        <x:v>INV00643</x:v>
      </x:c>
      <x:c r="B648" s="15" t="d">
        <x:v>2026-03-23T00:00:00.000Z</x:v>
      </x:c>
      <x:c r="C648" s="14" t="d">
        <x:v>2026-03-01T00:00:00.000Z</x:v>
      </x:c>
      <x:c r="D648" s="34" t="str">
        <x:v>0004</x:v>
      </x:c>
      <x:c r="E648" s="7" t="str">
        <x:v>Central</x:v>
      </x:c>
      <x:c r="F648" s="7" t="n">
        <x:v>2</x:v>
      </x:c>
      <x:c r="G648" s="7" t="n">
        <x:v>220</x:v>
      </x:c>
      <x:c r="H648" s="9" t="n">
        <x:v>0.02</x:v>
      </x:c>
      <x:c r="I648" s="7" t="n">
        <x:v>431.2</x:v>
      </x:c>
    </x:row>
    <x:row r="649" ht="23" customHeight="1">
      <x:c r="A649" s="7" t="str">
        <x:v>INV00644</x:v>
      </x:c>
      <x:c r="B649" s="15" t="d">
        <x:v>2026-03-24T00:00:00.000Z</x:v>
      </x:c>
      <x:c r="C649" s="14" t="d">
        <x:v>2026-03-01T00:00:00.000Z</x:v>
      </x:c>
      <x:c r="D649" s="34" t="str">
        <x:v>0005</x:v>
      </x:c>
      <x:c r="E649" s="7" t="str">
        <x:v>Central</x:v>
      </x:c>
      <x:c r="F649" s="7" t="n">
        <x:v>1</x:v>
      </x:c>
      <x:c r="G649" s="7" t="n">
        <x:v>240</x:v>
      </x:c>
      <x:c r="H649" s="9" t="n">
        <x:v>0.05</x:v>
      </x:c>
      <x:c r="I649" s="7" t="n">
        <x:v>228</x:v>
      </x:c>
    </x:row>
    <x:row r="650" ht="23" customHeight="1">
      <x:c r="A650" s="7" t="str">
        <x:v>INV00645</x:v>
      </x:c>
      <x:c r="B650" s="15" t="d">
        <x:v>2026-03-25T00:00:00.000Z</x:v>
      </x:c>
      <x:c r="C650" s="14" t="d">
        <x:v>2026-03-01T00:00:00.000Z</x:v>
      </x:c>
      <x:c r="D650" s="34" t="str">
        <x:v>0006</x:v>
      </x:c>
      <x:c r="E650" s="7" t="str">
        <x:v>Central</x:v>
      </x:c>
      <x:c r="F650" s="7" t="n">
        <x:v>3</x:v>
      </x:c>
      <x:c r="G650" s="7" t="n">
        <x:v>260</x:v>
      </x:c>
      <x:c r="H650" s="9" t="n">
        <x:v>0</x:v>
      </x:c>
      <x:c r="I650" s="7" t="n">
        <x:v>780</x:v>
      </x:c>
    </x:row>
    <x:row r="651" ht="23" customHeight="1">
      <x:c r="A651" s="7" t="str">
        <x:v>INV00646</x:v>
      </x:c>
      <x:c r="B651" s="15" t="d">
        <x:v>2026-03-26T00:00:00.000Z</x:v>
      </x:c>
      <x:c r="C651" s="14" t="d">
        <x:v>2026-03-01T00:00:00.000Z</x:v>
      </x:c>
      <x:c r="D651" s="34" t="str">
        <x:v>0007</x:v>
      </x:c>
      <x:c r="E651" s="7" t="str">
        <x:v>Central</x:v>
      </x:c>
      <x:c r="F651" s="7" t="n">
        <x:v>2</x:v>
      </x:c>
      <x:c r="G651" s="7" t="n">
        <x:v>280</x:v>
      </x:c>
      <x:c r="H651" s="9" t="n">
        <x:v>0.02</x:v>
      </x:c>
      <x:c r="I651" s="7" t="n">
        <x:v>548.8</x:v>
      </x:c>
    </x:row>
    <x:row r="652" ht="23" customHeight="1">
      <x:c r="A652" s="7" t="str">
        <x:v>INV00647</x:v>
      </x:c>
      <x:c r="B652" s="15" t="d">
        <x:v>2026-03-27T00:00:00.000Z</x:v>
      </x:c>
      <x:c r="C652" s="14" t="d">
        <x:v>2026-03-01T00:00:00.000Z</x:v>
      </x:c>
      <x:c r="D652" s="34" t="str">
        <x:v>0008</x:v>
      </x:c>
      <x:c r="E652" s="7" t="str">
        <x:v>Central</x:v>
      </x:c>
      <x:c r="F652" s="7" t="n">
        <x:v>2</x:v>
      </x:c>
      <x:c r="G652" s="7" t="n">
        <x:v>300</x:v>
      </x:c>
      <x:c r="H652" s="9" t="n">
        <x:v>0.05</x:v>
      </x:c>
      <x:c r="I652" s="7" t="n">
        <x:v>570</x:v>
      </x:c>
    </x:row>
    <x:row r="653" ht="23" customHeight="1">
      <x:c r="A653" s="7" t="str">
        <x:v>INV00648</x:v>
      </x:c>
      <x:c r="B653" s="15" t="d">
        <x:v>2026-03-01T00:00:00.000Z</x:v>
      </x:c>
      <x:c r="C653" s="14" t="d">
        <x:v>2026-03-01T00:00:00.000Z</x:v>
      </x:c>
      <x:c r="D653" s="34" t="str">
        <x:v>0001</x:v>
      </x:c>
      <x:c r="E653" s="7" t="str">
        <x:v>East</x:v>
      </x:c>
      <x:c r="F653" s="7" t="n">
        <x:v>7</x:v>
      </x:c>
      <x:c r="G653" s="7" t="n">
        <x:v>160</x:v>
      </x:c>
      <x:c r="H653" s="9" t="n">
        <x:v>0</x:v>
      </x:c>
      <x:c r="I653" s="7" t="n">
        <x:v>1120</x:v>
      </x:c>
    </x:row>
    <x:row r="654" ht="23" customHeight="1">
      <x:c r="A654" s="7" t="str">
        <x:v>INV00649</x:v>
      </x:c>
      <x:c r="B654" s="15" t="d">
        <x:v>2026-03-02T00:00:00.000Z</x:v>
      </x:c>
      <x:c r="C654" s="14" t="d">
        <x:v>2026-03-01T00:00:00.000Z</x:v>
      </x:c>
      <x:c r="D654" s="34" t="str">
        <x:v>0002</x:v>
      </x:c>
      <x:c r="E654" s="7" t="str">
        <x:v>East</x:v>
      </x:c>
      <x:c r="F654" s="7" t="n">
        <x:v>5</x:v>
      </x:c>
      <x:c r="G654" s="7" t="n">
        <x:v>180</x:v>
      </x:c>
      <x:c r="H654" s="9" t="n">
        <x:v>0.02</x:v>
      </x:c>
      <x:c r="I654" s="7" t="n">
        <x:v>882</x:v>
      </x:c>
    </x:row>
    <x:row r="655" ht="23" customHeight="1">
      <x:c r="A655" s="7" t="str">
        <x:v>INV00650</x:v>
      </x:c>
      <x:c r="B655" s="15" t="d">
        <x:v>2026-03-03T00:00:00.000Z</x:v>
      </x:c>
      <x:c r="C655" s="14" t="d">
        <x:v>2026-03-01T00:00:00.000Z</x:v>
      </x:c>
      <x:c r="D655" s="34" t="str">
        <x:v>0003</x:v>
      </x:c>
      <x:c r="E655" s="7" t="str">
        <x:v>East</x:v>
      </x:c>
      <x:c r="F655" s="7" t="n">
        <x:v>6</x:v>
      </x:c>
      <x:c r="G655" s="7" t="n">
        <x:v>200</x:v>
      </x:c>
      <x:c r="H655" s="9" t="n">
        <x:v>0.05</x:v>
      </x:c>
      <x:c r="I655" s="7" t="n">
        <x:v>1140</x:v>
      </x:c>
    </x:row>
    <x:row r="656" ht="23" customHeight="1">
      <x:c r="A656" s="7" t="str">
        <x:v>INV00651</x:v>
      </x:c>
      <x:c r="B656" s="15" t="d">
        <x:v>2026-03-04T00:00:00.000Z</x:v>
      </x:c>
      <x:c r="C656" s="14" t="d">
        <x:v>2026-03-01T00:00:00.000Z</x:v>
      </x:c>
      <x:c r="D656" s="34" t="str">
        <x:v>0004</x:v>
      </x:c>
      <x:c r="E656" s="7" t="str">
        <x:v>East</x:v>
      </x:c>
      <x:c r="F656" s="7" t="n">
        <x:v>6</x:v>
      </x:c>
      <x:c r="G656" s="7" t="n">
        <x:v>220</x:v>
      </x:c>
      <x:c r="H656" s="9" t="n">
        <x:v>0</x:v>
      </x:c>
      <x:c r="I656" s="7" t="n">
        <x:v>1320</x:v>
      </x:c>
    </x:row>
    <x:row r="657" ht="23" customHeight="1">
      <x:c r="A657" s="7" t="str">
        <x:v>INV00652</x:v>
      </x:c>
      <x:c r="B657" s="15" t="d">
        <x:v>2026-03-05T00:00:00.000Z</x:v>
      </x:c>
      <x:c r="C657" s="14" t="d">
        <x:v>2026-03-01T00:00:00.000Z</x:v>
      </x:c>
      <x:c r="D657" s="34" t="str">
        <x:v>0005</x:v>
      </x:c>
      <x:c r="E657" s="7" t="str">
        <x:v>East</x:v>
      </x:c>
      <x:c r="F657" s="7" t="n">
        <x:v>2</x:v>
      </x:c>
      <x:c r="G657" s="7" t="n">
        <x:v>240</x:v>
      </x:c>
      <x:c r="H657" s="9" t="n">
        <x:v>0.02</x:v>
      </x:c>
      <x:c r="I657" s="7" t="n">
        <x:v>470.4</x:v>
      </x:c>
    </x:row>
    <x:row r="658" ht="23" customHeight="1">
      <x:c r="A658" s="7" t="str">
        <x:v>INV00653</x:v>
      </x:c>
      <x:c r="B658" s="15" t="d">
        <x:v>2026-03-06T00:00:00.000Z</x:v>
      </x:c>
      <x:c r="C658" s="14" t="d">
        <x:v>2026-03-01T00:00:00.000Z</x:v>
      </x:c>
      <x:c r="D658" s="34" t="str">
        <x:v>0006</x:v>
      </x:c>
      <x:c r="E658" s="7" t="str">
        <x:v>East</x:v>
      </x:c>
      <x:c r="F658" s="7" t="n">
        <x:v>2</x:v>
      </x:c>
      <x:c r="G658" s="7" t="n">
        <x:v>260</x:v>
      </x:c>
      <x:c r="H658" s="9" t="n">
        <x:v>0.05</x:v>
      </x:c>
      <x:c r="I658" s="7" t="n">
        <x:v>494</x:v>
      </x:c>
    </x:row>
    <x:row r="659" ht="23" customHeight="1">
      <x:c r="A659" s="7" t="str">
        <x:v>INV00654</x:v>
      </x:c>
      <x:c r="B659" s="15" t="d">
        <x:v>2026-03-07T00:00:00.000Z</x:v>
      </x:c>
      <x:c r="C659" s="14" t="d">
        <x:v>2026-03-01T00:00:00.000Z</x:v>
      </x:c>
      <x:c r="D659" s="34" t="str">
        <x:v>0007</x:v>
      </x:c>
      <x:c r="E659" s="7" t="str">
        <x:v>East</x:v>
      </x:c>
      <x:c r="F659" s="7" t="n">
        <x:v>2</x:v>
      </x:c>
      <x:c r="G659" s="7" t="n">
        <x:v>280</x:v>
      </x:c>
      <x:c r="H659" s="9" t="n">
        <x:v>0</x:v>
      </x:c>
      <x:c r="I659" s="7" t="n">
        <x:v>560</x:v>
      </x:c>
    </x:row>
    <x:row r="660" ht="23" customHeight="1">
      <x:c r="A660" s="7" t="str">
        <x:v>INV00655</x:v>
      </x:c>
      <x:c r="B660" s="15" t="d">
        <x:v>2026-03-08T00:00:00.000Z</x:v>
      </x:c>
      <x:c r="C660" s="14" t="d">
        <x:v>2026-03-01T00:00:00.000Z</x:v>
      </x:c>
      <x:c r="D660" s="34" t="str">
        <x:v>0008</x:v>
      </x:c>
      <x:c r="E660" s="7" t="str">
        <x:v>East</x:v>
      </x:c>
      <x:c r="F660" s="7" t="n">
        <x:v>3</x:v>
      </x:c>
      <x:c r="G660" s="7" t="n">
        <x:v>300</x:v>
      </x:c>
      <x:c r="H660" s="9" t="n">
        <x:v>0.02</x:v>
      </x:c>
      <x:c r="I660" s="7" t="n">
        <x:v>882</x:v>
      </x:c>
    </x:row>
    <x:row r="661" ht="23" customHeight="1">
      <x:c r="A661" s="7" t="str">
        <x:v>INV00656</x:v>
      </x:c>
      <x:c r="B661" s="15" t="d">
        <x:v>2026-03-09T00:00:00.000Z</x:v>
      </x:c>
      <x:c r="C661" s="14" t="d">
        <x:v>2026-03-01T00:00:00.000Z</x:v>
      </x:c>
      <x:c r="D661" s="34" t="str">
        <x:v>0001</x:v>
      </x:c>
      <x:c r="E661" s="7" t="str">
        <x:v>West</x:v>
      </x:c>
      <x:c r="F661" s="7" t="n">
        <x:v>-7</x:v>
      </x:c>
      <x:c r="G661" s="7" t="n">
        <x:v>160</x:v>
      </x:c>
      <x:c r="H661" s="9" t="n">
        <x:v>0.05</x:v>
      </x:c>
      <x:c r="I661" s="7" t="n">
        <x:v>-1064</x:v>
      </x:c>
    </x:row>
    <x:row r="662" ht="23" customHeight="1">
      <x:c r="A662" s="7" t="str">
        <x:v>INV00657</x:v>
      </x:c>
      <x:c r="B662" s="15" t="d">
        <x:v>2026-03-10T00:00:00.000Z</x:v>
      </x:c>
      <x:c r="C662" s="14" t="d">
        <x:v>2026-03-01T00:00:00.000Z</x:v>
      </x:c>
      <x:c r="D662" s="34" t="str">
        <x:v>0002</x:v>
      </x:c>
      <x:c r="E662" s="7" t="str">
        <x:v>West</x:v>
      </x:c>
      <x:c r="F662" s="7" t="n">
        <x:v>1</x:v>
      </x:c>
      <x:c r="G662" s="7" t="n">
        <x:v>180</x:v>
      </x:c>
      <x:c r="H662" s="9" t="n">
        <x:v>0</x:v>
      </x:c>
      <x:c r="I662" s="7" t="n">
        <x:v>180</x:v>
      </x:c>
    </x:row>
    <x:row r="663" ht="23" customHeight="1">
      <x:c r="A663" s="7" t="str">
        <x:v>INV00658</x:v>
      </x:c>
      <x:c r="B663" s="15" t="d">
        <x:v>2026-03-11T00:00:00.000Z</x:v>
      </x:c>
      <x:c r="C663" s="14" t="d">
        <x:v>2026-03-01T00:00:00.000Z</x:v>
      </x:c>
      <x:c r="D663" s="34" t="str">
        <x:v>0003</x:v>
      </x:c>
      <x:c r="E663" s="7" t="str">
        <x:v>West</x:v>
      </x:c>
      <x:c r="F663" s="7" t="n">
        <x:v>6</x:v>
      </x:c>
      <x:c r="G663" s="7" t="n">
        <x:v>200</x:v>
      </x:c>
      <x:c r="H663" s="9" t="n">
        <x:v>0.02</x:v>
      </x:c>
      <x:c r="I663" s="7" t="n">
        <x:v>1176</x:v>
      </x:c>
    </x:row>
    <x:row r="664" ht="23" customHeight="1">
      <x:c r="A664" s="7" t="str">
        <x:v>INV00659</x:v>
      </x:c>
      <x:c r="B664" s="15" t="d">
        <x:v>2026-03-12T00:00:00.000Z</x:v>
      </x:c>
      <x:c r="C664" s="14" t="d">
        <x:v>2026-03-01T00:00:00.000Z</x:v>
      </x:c>
      <x:c r="D664" s="34" t="str">
        <x:v>0004</x:v>
      </x:c>
      <x:c r="E664" s="7" t="str">
        <x:v>West</x:v>
      </x:c>
      <x:c r="F664" s="7" t="n">
        <x:v>7</x:v>
      </x:c>
      <x:c r="G664" s="7" t="n">
        <x:v>220</x:v>
      </x:c>
      <x:c r="H664" s="9" t="n">
        <x:v>0.05</x:v>
      </x:c>
      <x:c r="I664" s="7" t="n">
        <x:v>1463</x:v>
      </x:c>
    </x:row>
    <x:row r="665" ht="23" customHeight="1">
      <x:c r="A665" s="7" t="str">
        <x:v>INV00660</x:v>
      </x:c>
      <x:c r="B665" s="15" t="d">
        <x:v>2026-03-13T00:00:00.000Z</x:v>
      </x:c>
      <x:c r="C665" s="14" t="d">
        <x:v>2026-03-01T00:00:00.000Z</x:v>
      </x:c>
      <x:c r="D665" s="34" t="str">
        <x:v>0005</x:v>
      </x:c>
      <x:c r="E665" s="7" t="str">
        <x:v>West</x:v>
      </x:c>
      <x:c r="F665" s="7" t="n">
        <x:v>2</x:v>
      </x:c>
      <x:c r="G665" s="7" t="n">
        <x:v>240</x:v>
      </x:c>
      <x:c r="H665" s="9" t="n">
        <x:v>0</x:v>
      </x:c>
      <x:c r="I665" s="7" t="n">
        <x:v>480</x:v>
      </x:c>
    </x:row>
    <x:row r="666" ht="23" customHeight="1">
      <x:c r="A666" s="7" t="str">
        <x:v>INV00661</x:v>
      </x:c>
      <x:c r="B666" s="15" t="d">
        <x:v>2026-03-14T00:00:00.000Z</x:v>
      </x:c>
      <x:c r="C666" s="14" t="d">
        <x:v>2026-03-01T00:00:00.000Z</x:v>
      </x:c>
      <x:c r="D666" s="34" t="str">
        <x:v>0006</x:v>
      </x:c>
      <x:c r="E666" s="7" t="str">
        <x:v>West</x:v>
      </x:c>
      <x:c r="F666" s="7" t="n">
        <x:v>5</x:v>
      </x:c>
      <x:c r="G666" s="7" t="n">
        <x:v>260</x:v>
      </x:c>
      <x:c r="H666" s="9" t="n">
        <x:v>0.02</x:v>
      </x:c>
      <x:c r="I666" s="7" t="n">
        <x:v>1274</x:v>
      </x:c>
    </x:row>
    <x:row r="667" ht="23" customHeight="1">
      <x:c r="A667" s="7" t="str">
        <x:v>INV00662</x:v>
      </x:c>
      <x:c r="B667" s="15" t="d">
        <x:v>2026-03-15T00:00:00.000Z</x:v>
      </x:c>
      <x:c r="C667" s="14" t="d">
        <x:v>2026-03-01T00:00:00.000Z</x:v>
      </x:c>
      <x:c r="D667" s="34" t="str">
        <x:v>0007</x:v>
      </x:c>
      <x:c r="E667" s="7" t="str">
        <x:v>West</x:v>
      </x:c>
      <x:c r="F667" s="7" t="n">
        <x:v>5</x:v>
      </x:c>
      <x:c r="G667" s="7" t="n">
        <x:v>280</x:v>
      </x:c>
      <x:c r="H667" s="9" t="n">
        <x:v>0.05</x:v>
      </x:c>
      <x:c r="I667" s="7" t="n">
        <x:v>1330</x:v>
      </x:c>
    </x:row>
    <x:row r="668" ht="23" customHeight="1">
      <x:c r="A668" s="7" t="str">
        <x:v>INV00663</x:v>
      </x:c>
      <x:c r="B668" s="15" t="d">
        <x:v>2026-03-16T00:00:00.000Z</x:v>
      </x:c>
      <x:c r="C668" s="14" t="d">
        <x:v>2026-03-01T00:00:00.000Z</x:v>
      </x:c>
      <x:c r="D668" s="34" t="str">
        <x:v>0008</x:v>
      </x:c>
      <x:c r="E668" s="7" t="str">
        <x:v>West</x:v>
      </x:c>
      <x:c r="F668" s="7" t="n">
        <x:v>5</x:v>
      </x:c>
      <x:c r="G668" s="7" t="n">
        <x:v>300</x:v>
      </x:c>
      <x:c r="H668" s="9" t="n">
        <x:v>0</x:v>
      </x:c>
      <x:c r="I668" s="7" t="n">
        <x:v>1500</x:v>
      </x:c>
    </x:row>
    <x:row r="669" ht="23" customHeight="1">
      <x:c r="A669" s="7" t="str">
        <x:v>INV00664</x:v>
      </x:c>
      <x:c r="B669" s="15" t="d">
        <x:v>2026-03-17T00:00:00.000Z</x:v>
      </x:c>
      <x:c r="C669" s="14" t="d">
        <x:v>2026-03-01T00:00:00.000Z</x:v>
      </x:c>
      <x:c r="D669" s="34" t="str">
        <x:v>0001</x:v>
      </x:c>
      <x:c r="E669" s="7" t="str">
        <x:v>North</x:v>
      </x:c>
      <x:c r="F669" s="7" t="n">
        <x:v>7</x:v>
      </x:c>
      <x:c r="G669" s="7" t="n">
        <x:v>160</x:v>
      </x:c>
      <x:c r="H669" s="9" t="n">
        <x:v>0.02</x:v>
      </x:c>
      <x:c r="I669" s="7" t="n">
        <x:v>1097.6</x:v>
      </x:c>
    </x:row>
    <x:row r="670" ht="23" customHeight="1">
      <x:c r="A670" s="7" t="str">
        <x:v>INV00665</x:v>
      </x:c>
      <x:c r="B670" s="15" t="d">
        <x:v>2026-03-18T00:00:00.000Z</x:v>
      </x:c>
      <x:c r="C670" s="14" t="d">
        <x:v>2026-03-01T00:00:00.000Z</x:v>
      </x:c>
      <x:c r="D670" s="34" t="str">
        <x:v>0002</x:v>
      </x:c>
      <x:c r="E670" s="7" t="str">
        <x:v>North</x:v>
      </x:c>
      <x:c r="F670" s="7" t="n">
        <x:v>1</x:v>
      </x:c>
      <x:c r="G670" s="7" t="n">
        <x:v>180</x:v>
      </x:c>
      <x:c r="H670" s="9" t="n">
        <x:v>0.05</x:v>
      </x:c>
      <x:c r="I670" s="7" t="n">
        <x:v>171</x:v>
      </x:c>
    </x:row>
    <x:row r="671" ht="23" customHeight="1">
      <x:c r="A671" s="7" t="str">
        <x:v>INV00666</x:v>
      </x:c>
      <x:c r="B671" s="15" t="d">
        <x:v>2026-03-19T00:00:00.000Z</x:v>
      </x:c>
      <x:c r="C671" s="14" t="d">
        <x:v>2026-03-01T00:00:00.000Z</x:v>
      </x:c>
      <x:c r="D671" s="34" t="str">
        <x:v>0003</x:v>
      </x:c>
      <x:c r="E671" s="7" t="str">
        <x:v>North</x:v>
      </x:c>
      <x:c r="F671" s="7" t="n">
        <x:v>2</x:v>
      </x:c>
      <x:c r="G671" s="7" t="n">
        <x:v>200</x:v>
      </x:c>
      <x:c r="H671" s="9" t="n">
        <x:v>0</x:v>
      </x:c>
      <x:c r="I671" s="7" t="n">
        <x:v>400</x:v>
      </x:c>
    </x:row>
    <x:row r="672" ht="23" customHeight="1">
      <x:c r="A672" s="7" t="str">
        <x:v>INV00667</x:v>
      </x:c>
      <x:c r="B672" s="15" t="d">
        <x:v>2026-03-20T00:00:00.000Z</x:v>
      </x:c>
      <x:c r="C672" s="14" t="d">
        <x:v>2026-03-01T00:00:00.000Z</x:v>
      </x:c>
      <x:c r="D672" s="34" t="str">
        <x:v>0004</x:v>
      </x:c>
      <x:c r="E672" s="7" t="str">
        <x:v>North</x:v>
      </x:c>
      <x:c r="F672" s="7" t="n">
        <x:v>6</x:v>
      </x:c>
      <x:c r="G672" s="7" t="n">
        <x:v>220</x:v>
      </x:c>
      <x:c r="H672" s="9" t="n">
        <x:v>0.02</x:v>
      </x:c>
      <x:c r="I672" s="7" t="n">
        <x:v>1293.6</x:v>
      </x:c>
    </x:row>
    <x:row r="673" ht="23" customHeight="1">
      <x:c r="A673" s="7" t="str">
        <x:v>INV00668</x:v>
      </x:c>
      <x:c r="B673" s="15" t="d">
        <x:v>2026-03-21T00:00:00.000Z</x:v>
      </x:c>
      <x:c r="C673" s="14" t="d">
        <x:v>2026-03-01T00:00:00.000Z</x:v>
      </x:c>
      <x:c r="D673" s="34" t="str">
        <x:v>0005</x:v>
      </x:c>
      <x:c r="E673" s="7" t="str">
        <x:v>North</x:v>
      </x:c>
      <x:c r="F673" s="7" t="n">
        <x:v>2</x:v>
      </x:c>
      <x:c r="G673" s="7" t="n">
        <x:v>240</x:v>
      </x:c>
      <x:c r="H673" s="9" t="n">
        <x:v>0.05</x:v>
      </x:c>
      <x:c r="I673" s="7" t="n">
        <x:v>456</x:v>
      </x:c>
    </x:row>
    <x:row r="674" ht="23" customHeight="1">
      <x:c r="A674" s="7" t="str">
        <x:v>INV00669</x:v>
      </x:c>
      <x:c r="B674" s="15" t="d">
        <x:v>2026-03-22T00:00:00.000Z</x:v>
      </x:c>
      <x:c r="C674" s="14" t="d">
        <x:v>2026-03-01T00:00:00.000Z</x:v>
      </x:c>
      <x:c r="D674" s="34" t="str">
        <x:v>0006</x:v>
      </x:c>
      <x:c r="E674" s="7" t="str">
        <x:v>North</x:v>
      </x:c>
      <x:c r="F674" s="7" t="n">
        <x:v>1</x:v>
      </x:c>
      <x:c r="G674" s="7" t="n">
        <x:v>260</x:v>
      </x:c>
      <x:c r="H674" s="9" t="n">
        <x:v>0</x:v>
      </x:c>
      <x:c r="I674" s="7" t="n">
        <x:v>260</x:v>
      </x:c>
    </x:row>
    <x:row r="675" ht="23" customHeight="1">
      <x:c r="A675" s="7" t="str">
        <x:v>INV00670</x:v>
      </x:c>
      <x:c r="B675" s="15" t="d">
        <x:v>2026-03-23T00:00:00.000Z</x:v>
      </x:c>
      <x:c r="C675" s="14" t="d">
        <x:v>2026-03-01T00:00:00.000Z</x:v>
      </x:c>
      <x:c r="D675" s="34" t="str">
        <x:v>0007</x:v>
      </x:c>
      <x:c r="E675" s="7" t="str">
        <x:v>North</x:v>
      </x:c>
      <x:c r="F675" s="7" t="n">
        <x:v>7</x:v>
      </x:c>
      <x:c r="G675" s="7" t="n">
        <x:v>280</x:v>
      </x:c>
      <x:c r="H675" s="9" t="n">
        <x:v>0.02</x:v>
      </x:c>
      <x:c r="I675" s="7" t="n">
        <x:v>1920.8</x:v>
      </x:c>
    </x:row>
    <x:row r="676" ht="23" customHeight="1">
      <x:c r="A676" s="7" t="str">
        <x:v>INV00671</x:v>
      </x:c>
      <x:c r="B676" s="15" t="d">
        <x:v>2026-03-24T00:00:00.000Z</x:v>
      </x:c>
      <x:c r="C676" s="14" t="d">
        <x:v>2026-03-01T00:00:00.000Z</x:v>
      </x:c>
      <x:c r="D676" s="34" t="str">
        <x:v>0008</x:v>
      </x:c>
      <x:c r="E676" s="7" t="str">
        <x:v>North</x:v>
      </x:c>
      <x:c r="F676" s="7" t="n">
        <x:v>3</x:v>
      </x:c>
      <x:c r="G676" s="7" t="n">
        <x:v>300</x:v>
      </x:c>
      <x:c r="H676" s="9" t="n">
        <x:v>0.05</x:v>
      </x:c>
      <x:c r="I676" s="7" t="n">
        <x:v>855</x:v>
      </x:c>
    </x:row>
    <x:row r="677" ht="23" customHeight="1">
      <x:c r="A677" s="7" t="str">
        <x:v>INV00672</x:v>
      </x:c>
      <x:c r="B677" s="15" t="d">
        <x:v>2026-04-25T00:00:00.000Z</x:v>
      </x:c>
      <x:c r="C677" s="14" t="d">
        <x:v>2026-04-01T00:00:00.000Z</x:v>
      </x:c>
      <x:c r="D677" s="34" t="str">
        <x:v>0001</x:v>
      </x:c>
      <x:c r="E677" s="7" t="str">
        <x:v>Central</x:v>
      </x:c>
      <x:c r="F677" s="7" t="n">
        <x:v>6</x:v>
      </x:c>
      <x:c r="G677" s="7" t="n">
        <x:v>160</x:v>
      </x:c>
      <x:c r="H677" s="9" t="n">
        <x:v>0</x:v>
      </x:c>
      <x:c r="I677" s="7" t="n">
        <x:v>960</x:v>
      </x:c>
    </x:row>
    <x:row r="678" ht="23" customHeight="1">
      <x:c r="A678" s="7" t="str">
        <x:v>INV00673</x:v>
      </x:c>
      <x:c r="B678" s="15" t="d">
        <x:v>2026-04-26T00:00:00.000Z</x:v>
      </x:c>
      <x:c r="C678" s="14" t="d">
        <x:v>2026-04-01T00:00:00.000Z</x:v>
      </x:c>
      <x:c r="D678" s="34" t="str">
        <x:v>0002</x:v>
      </x:c>
      <x:c r="E678" s="7" t="str">
        <x:v>Central</x:v>
      </x:c>
      <x:c r="F678" s="7" t="n">
        <x:v>2</x:v>
      </x:c>
      <x:c r="G678" s="7" t="n">
        <x:v>180</x:v>
      </x:c>
      <x:c r="H678" s="9" t="n">
        <x:v>0.02</x:v>
      </x:c>
      <x:c r="I678" s="7" t="n">
        <x:v>352.8</x:v>
      </x:c>
    </x:row>
    <x:row r="679" ht="23" customHeight="1">
      <x:c r="A679" s="7" t="str">
        <x:v>INV00674</x:v>
      </x:c>
      <x:c r="B679" s="15" t="d">
        <x:v>2026-04-27T00:00:00.000Z</x:v>
      </x:c>
      <x:c r="C679" s="14" t="d">
        <x:v>2026-04-01T00:00:00.000Z</x:v>
      </x:c>
      <x:c r="D679" s="34" t="str">
        <x:v>0003</x:v>
      </x:c>
      <x:c r="E679" s="7" t="str">
        <x:v>Central</x:v>
      </x:c>
      <x:c r="F679" s="7" t="n">
        <x:v>2</x:v>
      </x:c>
      <x:c r="G679" s="7" t="n">
        <x:v>200</x:v>
      </x:c>
      <x:c r="H679" s="9" t="n">
        <x:v>0.05</x:v>
      </x:c>
      <x:c r="I679" s="7" t="n">
        <x:v>380</x:v>
      </x:c>
    </x:row>
    <x:row r="680" ht="23" customHeight="1">
      <x:c r="A680" s="7" t="str">
        <x:v>INV00675</x:v>
      </x:c>
      <x:c r="B680" s="15" t="d">
        <x:v>2026-04-01T00:00:00.000Z</x:v>
      </x:c>
      <x:c r="C680" s="14" t="d">
        <x:v>2026-04-01T00:00:00.000Z</x:v>
      </x:c>
      <x:c r="D680" s="34" t="str">
        <x:v>0004</x:v>
      </x:c>
      <x:c r="E680" s="7" t="str">
        <x:v>Central</x:v>
      </x:c>
      <x:c r="F680" s="7" t="n">
        <x:v>5</x:v>
      </x:c>
      <x:c r="G680" s="7" t="n">
        <x:v>220</x:v>
      </x:c>
      <x:c r="H680" s="9" t="n">
        <x:v>0</x:v>
      </x:c>
      <x:c r="I680" s="7" t="n">
        <x:v>1100</x:v>
      </x:c>
    </x:row>
    <x:row r="681" ht="23" customHeight="1">
      <x:c r="A681" s="7" t="str">
        <x:v>INV00676</x:v>
      </x:c>
      <x:c r="B681" s="15" t="d">
        <x:v>2026-04-02T00:00:00.000Z</x:v>
      </x:c>
      <x:c r="C681" s="14" t="d">
        <x:v>2026-04-01T00:00:00.000Z</x:v>
      </x:c>
      <x:c r="D681" s="34" t="str">
        <x:v>0005</x:v>
      </x:c>
      <x:c r="E681" s="7" t="str">
        <x:v>Central</x:v>
      </x:c>
      <x:c r="F681" s="7" t="n">
        <x:v>2</x:v>
      </x:c>
      <x:c r="G681" s="7" t="n">
        <x:v>240</x:v>
      </x:c>
      <x:c r="H681" s="9" t="n">
        <x:v>0.02</x:v>
      </x:c>
      <x:c r="I681" s="7" t="n">
        <x:v>470.4</x:v>
      </x:c>
    </x:row>
    <x:row r="682" ht="23" customHeight="1">
      <x:c r="A682" s="7" t="str">
        <x:v>INV00677</x:v>
      </x:c>
      <x:c r="B682" s="15" t="d">
        <x:v>2026-04-03T00:00:00.000Z</x:v>
      </x:c>
      <x:c r="C682" s="14" t="d">
        <x:v>2026-04-01T00:00:00.000Z</x:v>
      </x:c>
      <x:c r="D682" s="34" t="str">
        <x:v>0006</x:v>
      </x:c>
      <x:c r="E682" s="7" t="str">
        <x:v>Central</x:v>
      </x:c>
      <x:c r="F682" s="7" t="n">
        <x:v>2</x:v>
      </x:c>
      <x:c r="G682" s="7" t="n">
        <x:v>260</x:v>
      </x:c>
      <x:c r="H682" s="9" t="n">
        <x:v>0.05</x:v>
      </x:c>
      <x:c r="I682" s="7" t="n">
        <x:v>494</x:v>
      </x:c>
    </x:row>
    <x:row r="683" ht="23" customHeight="1">
      <x:c r="A683" s="7" t="str">
        <x:v>INV00678</x:v>
      </x:c>
      <x:c r="B683" s="15" t="d">
        <x:v>2026-04-04T00:00:00.000Z</x:v>
      </x:c>
      <x:c r="C683" s="14" t="d">
        <x:v>2026-04-01T00:00:00.000Z</x:v>
      </x:c>
      <x:c r="D683" s="34" t="str">
        <x:v>0007</x:v>
      </x:c>
      <x:c r="E683" s="7" t="str">
        <x:v>Central</x:v>
      </x:c>
      <x:c r="F683" s="7" t="n">
        <x:v>1</x:v>
      </x:c>
      <x:c r="G683" s="7" t="n">
        <x:v>280</x:v>
      </x:c>
      <x:c r="H683" s="9" t="n">
        <x:v>0</x:v>
      </x:c>
      <x:c r="I683" s="7" t="n">
        <x:v>280</x:v>
      </x:c>
    </x:row>
    <x:row r="684" ht="23" customHeight="1">
      <x:c r="A684" s="7" t="str">
        <x:v>INV00679</x:v>
      </x:c>
      <x:c r="B684" s="15" t="d">
        <x:v>2026-04-05T00:00:00.000Z</x:v>
      </x:c>
      <x:c r="C684" s="14" t="d">
        <x:v>2026-04-01T00:00:00.000Z</x:v>
      </x:c>
      <x:c r="D684" s="34" t="str">
        <x:v>0008</x:v>
      </x:c>
      <x:c r="E684" s="7" t="str">
        <x:v>Central</x:v>
      </x:c>
      <x:c r="F684" s="7" t="n">
        <x:v>3</x:v>
      </x:c>
      <x:c r="G684" s="7" t="n">
        <x:v>300</x:v>
      </x:c>
      <x:c r="H684" s="9" t="n">
        <x:v>0.02</x:v>
      </x:c>
      <x:c r="I684" s="7" t="n">
        <x:v>882</x:v>
      </x:c>
    </x:row>
    <x:row r="685" ht="23" customHeight="1">
      <x:c r="A685" s="7" t="str">
        <x:v>INV00680</x:v>
      </x:c>
      <x:c r="B685" s="15" t="d">
        <x:v>2026-04-06T00:00:00.000Z</x:v>
      </x:c>
      <x:c r="C685" s="14" t="d">
        <x:v>2026-04-01T00:00:00.000Z</x:v>
      </x:c>
      <x:c r="D685" s="34" t="str">
        <x:v>0001</x:v>
      </x:c>
      <x:c r="E685" s="7" t="str">
        <x:v>East</x:v>
      </x:c>
      <x:c r="F685" s="7" t="n">
        <x:v>2</x:v>
      </x:c>
      <x:c r="G685" s="7" t="n">
        <x:v>160</x:v>
      </x:c>
      <x:c r="H685" s="9" t="n">
        <x:v>0.05</x:v>
      </x:c>
      <x:c r="I685" s="7" t="n">
        <x:v>304</x:v>
      </x:c>
    </x:row>
    <x:row r="686" ht="23" customHeight="1">
      <x:c r="A686" s="7" t="str">
        <x:v>INV00681</x:v>
      </x:c>
      <x:c r="B686" s="15" t="d">
        <x:v>2026-04-07T00:00:00.000Z</x:v>
      </x:c>
      <x:c r="C686" s="14" t="d">
        <x:v>2026-04-01T00:00:00.000Z</x:v>
      </x:c>
      <x:c r="D686" s="34" t="str">
        <x:v>0002</x:v>
      </x:c>
      <x:c r="E686" s="7" t="str">
        <x:v>East</x:v>
      </x:c>
      <x:c r="F686" s="7" t="n">
        <x:v>4</x:v>
      </x:c>
      <x:c r="G686" s="7" t="n">
        <x:v>180</x:v>
      </x:c>
      <x:c r="H686" s="9" t="n">
        <x:v>0</x:v>
      </x:c>
      <x:c r="I686" s="7" t="n">
        <x:v>720</x:v>
      </x:c>
    </x:row>
    <x:row r="687" ht="23" customHeight="1">
      <x:c r="A687" s="7" t="str">
        <x:v>INV00682</x:v>
      </x:c>
      <x:c r="B687" s="15" t="d">
        <x:v>2026-04-08T00:00:00.000Z</x:v>
      </x:c>
      <x:c r="C687" s="14" t="d">
        <x:v>2026-04-01T00:00:00.000Z</x:v>
      </x:c>
      <x:c r="D687" s="34" t="str">
        <x:v>0003</x:v>
      </x:c>
      <x:c r="E687" s="7" t="str">
        <x:v>East</x:v>
      </x:c>
      <x:c r="F687" s="7" t="n">
        <x:v>5</x:v>
      </x:c>
      <x:c r="G687" s="7" t="n">
        <x:v>200</x:v>
      </x:c>
      <x:c r="H687" s="9" t="n">
        <x:v>0.02</x:v>
      </x:c>
      <x:c r="I687" s="7" t="n">
        <x:v>980</x:v>
      </x:c>
    </x:row>
    <x:row r="688" ht="23" customHeight="1">
      <x:c r="A688" s="7" t="str">
        <x:v>INV00683</x:v>
      </x:c>
      <x:c r="B688" s="15" t="d">
        <x:v>2026-04-09T00:00:00.000Z</x:v>
      </x:c>
      <x:c r="C688" s="14" t="d">
        <x:v>2026-04-01T00:00:00.000Z</x:v>
      </x:c>
      <x:c r="D688" s="34" t="str">
        <x:v>0004</x:v>
      </x:c>
      <x:c r="E688" s="7" t="str">
        <x:v>East</x:v>
      </x:c>
      <x:c r="F688" s="7" t="n">
        <x:v>2</x:v>
      </x:c>
      <x:c r="G688" s="7" t="n">
        <x:v>220</x:v>
      </x:c>
      <x:c r="H688" s="9" t="n">
        <x:v>0.05</x:v>
      </x:c>
      <x:c r="I688" s="7" t="n">
        <x:v>418</x:v>
      </x:c>
    </x:row>
    <x:row r="689" ht="23" customHeight="1">
      <x:c r="A689" s="7" t="str">
        <x:v>INV00684</x:v>
      </x:c>
      <x:c r="B689" s="15" t="d">
        <x:v>2026-04-10T00:00:00.000Z</x:v>
      </x:c>
      <x:c r="C689" s="14" t="d">
        <x:v>2026-04-01T00:00:00.000Z</x:v>
      </x:c>
      <x:c r="D689" s="34" t="str">
        <x:v>0005</x:v>
      </x:c>
      <x:c r="E689" s="7" t="str">
        <x:v>East</x:v>
      </x:c>
      <x:c r="F689" s="7" t="n">
        <x:v>5</x:v>
      </x:c>
      <x:c r="G689" s="7" t="n">
        <x:v>240</x:v>
      </x:c>
      <x:c r="H689" s="9" t="n">
        <x:v>0</x:v>
      </x:c>
      <x:c r="I689" s="7" t="n">
        <x:v>1200</x:v>
      </x:c>
    </x:row>
    <x:row r="690" ht="23" customHeight="1">
      <x:c r="A690" s="7" t="str">
        <x:v>INV00685</x:v>
      </x:c>
      <x:c r="B690" s="15" t="d">
        <x:v>2026-04-11T00:00:00.000Z</x:v>
      </x:c>
      <x:c r="C690" s="14" t="d">
        <x:v>2026-04-01T00:00:00.000Z</x:v>
      </x:c>
      <x:c r="D690" s="34" t="str">
        <x:v>0006</x:v>
      </x:c>
      <x:c r="E690" s="7" t="str">
        <x:v>East</x:v>
      </x:c>
      <x:c r="F690" s="7" t="n">
        <x:v>5</x:v>
      </x:c>
      <x:c r="G690" s="7" t="n">
        <x:v>260</x:v>
      </x:c>
      <x:c r="H690" s="9" t="n">
        <x:v>0.02</x:v>
      </x:c>
      <x:c r="I690" s="7" t="n">
        <x:v>1274</x:v>
      </x:c>
    </x:row>
    <x:row r="691" ht="23" customHeight="1">
      <x:c r="A691" s="7" t="str">
        <x:v>INV00686</x:v>
      </x:c>
      <x:c r="B691" s="15" t="d">
        <x:v>2026-04-12T00:00:00.000Z</x:v>
      </x:c>
      <x:c r="C691" s="14" t="d">
        <x:v>2026-04-01T00:00:00.000Z</x:v>
      </x:c>
      <x:c r="D691" s="34" t="str">
        <x:v>0007</x:v>
      </x:c>
      <x:c r="E691" s="7" t="str">
        <x:v>East</x:v>
      </x:c>
      <x:c r="F691" s="7" t="n">
        <x:v>2</x:v>
      </x:c>
      <x:c r="G691" s="7" t="n">
        <x:v>280</x:v>
      </x:c>
      <x:c r="H691" s="9" t="n">
        <x:v>0.05</x:v>
      </x:c>
      <x:c r="I691" s="7" t="n">
        <x:v>532</x:v>
      </x:c>
    </x:row>
    <x:row r="692" ht="23" customHeight="1">
      <x:c r="A692" s="7" t="str">
        <x:v>INV00687</x:v>
      </x:c>
      <x:c r="B692" s="15" t="d">
        <x:v>2026-04-13T00:00:00.000Z</x:v>
      </x:c>
      <x:c r="C692" s="14" t="d">
        <x:v>2026-04-01T00:00:00.000Z</x:v>
      </x:c>
      <x:c r="D692" s="34" t="str">
        <x:v>0008</x:v>
      </x:c>
      <x:c r="E692" s="7" t="str">
        <x:v>East</x:v>
      </x:c>
      <x:c r="F692" s="7" t="n">
        <x:v>3</x:v>
      </x:c>
      <x:c r="G692" s="7" t="n">
        <x:v>300</x:v>
      </x:c>
      <x:c r="H692" s="9" t="n">
        <x:v>0</x:v>
      </x:c>
      <x:c r="I692" s="7" t="n">
        <x:v>900</x:v>
      </x:c>
    </x:row>
    <x:row r="693" ht="23" customHeight="1">
      <x:c r="A693" s="7" t="str">
        <x:v>INV00688</x:v>
      </x:c>
      <x:c r="B693" s="15" t="d">
        <x:v>2026-04-14T00:00:00.000Z</x:v>
      </x:c>
      <x:c r="C693" s="14" t="d">
        <x:v>2026-04-01T00:00:00.000Z</x:v>
      </x:c>
      <x:c r="D693" s="34" t="str">
        <x:v>0001</x:v>
      </x:c>
      <x:c r="E693" s="7" t="str">
        <x:v>West</x:v>
      </x:c>
      <x:c r="F693" s="7" t="n">
        <x:v>5</x:v>
      </x:c>
      <x:c r="G693" s="7" t="n">
        <x:v>160</x:v>
      </x:c>
      <x:c r="H693" s="9" t="n">
        <x:v>0.02</x:v>
      </x:c>
      <x:c r="I693" s="7" t="n">
        <x:v>784</x:v>
      </x:c>
    </x:row>
    <x:row r="694" ht="23" customHeight="1">
      <x:c r="A694" s="7" t="str">
        <x:v>INV00689</x:v>
      </x:c>
      <x:c r="B694" s="15" t="d">
        <x:v>2026-04-15T00:00:00.000Z</x:v>
      </x:c>
      <x:c r="C694" s="14" t="d">
        <x:v>2026-04-01T00:00:00.000Z</x:v>
      </x:c>
      <x:c r="D694" s="34" t="str">
        <x:v>0002</x:v>
      </x:c>
      <x:c r="E694" s="7" t="str">
        <x:v>West</x:v>
      </x:c>
      <x:c r="F694" s="7" t="n">
        <x:v>7</x:v>
      </x:c>
      <x:c r="G694" s="7" t="n">
        <x:v>180</x:v>
      </x:c>
      <x:c r="H694" s="9" t="n">
        <x:v>0.05</x:v>
      </x:c>
      <x:c r="I694" s="7" t="n">
        <x:v>1197</x:v>
      </x:c>
    </x:row>
    <x:row r="695" ht="23" customHeight="1">
      <x:c r="A695" s="7" t="str">
        <x:v>INV00690</x:v>
      </x:c>
      <x:c r="B695" s="15" t="d">
        <x:v>2026-04-16T00:00:00.000Z</x:v>
      </x:c>
      <x:c r="C695" s="14" t="d">
        <x:v>2026-04-01T00:00:00.000Z</x:v>
      </x:c>
      <x:c r="D695" s="34" t="str">
        <x:v>0003</x:v>
      </x:c>
      <x:c r="E695" s="7" t="str">
        <x:v>West</x:v>
      </x:c>
      <x:c r="F695" s="7" t="n">
        <x:v>7</x:v>
      </x:c>
      <x:c r="G695" s="7" t="n">
        <x:v>200</x:v>
      </x:c>
      <x:c r="H695" s="9" t="n">
        <x:v>0</x:v>
      </x:c>
      <x:c r="I695" s="7" t="n">
        <x:v>1400</x:v>
      </x:c>
    </x:row>
    <x:row r="696" ht="23" customHeight="1">
      <x:c r="A696" s="7" t="str">
        <x:v>INV00691</x:v>
      </x:c>
      <x:c r="B696" s="15" t="d">
        <x:v>2026-04-17T00:00:00.000Z</x:v>
      </x:c>
      <x:c r="C696" s="14" t="d">
        <x:v>2026-04-01T00:00:00.000Z</x:v>
      </x:c>
      <x:c r="D696" s="34" t="str">
        <x:v>0004</x:v>
      </x:c>
      <x:c r="E696" s="7" t="str">
        <x:v>West</x:v>
      </x:c>
      <x:c r="F696" s="7" t="n">
        <x:v>6</x:v>
      </x:c>
      <x:c r="G696" s="7" t="n">
        <x:v>220</x:v>
      </x:c>
      <x:c r="H696" s="9" t="n">
        <x:v>0.02</x:v>
      </x:c>
      <x:c r="I696" s="7" t="n">
        <x:v>1293.6</x:v>
      </x:c>
    </x:row>
    <x:row r="697" ht="23" customHeight="1">
      <x:c r="A697" s="7" t="str">
        <x:v>INV00692</x:v>
      </x:c>
      <x:c r="B697" s="15" t="d">
        <x:v>2026-04-18T00:00:00.000Z</x:v>
      </x:c>
      <x:c r="C697" s="14" t="d">
        <x:v>2026-04-01T00:00:00.000Z</x:v>
      </x:c>
      <x:c r="D697" s="34" t="str">
        <x:v>0005</x:v>
      </x:c>
      <x:c r="E697" s="7" t="str">
        <x:v>West</x:v>
      </x:c>
      <x:c r="F697" s="7" t="n">
        <x:v>7</x:v>
      </x:c>
      <x:c r="G697" s="7" t="n">
        <x:v>240</x:v>
      </x:c>
      <x:c r="H697" s="9" t="n">
        <x:v>0.05</x:v>
      </x:c>
      <x:c r="I697" s="7" t="n">
        <x:v>1596</x:v>
      </x:c>
    </x:row>
    <x:row r="698" ht="23" customHeight="1">
      <x:c r="A698" s="7" t="str">
        <x:v>INV00693</x:v>
      </x:c>
      <x:c r="B698" s="15" t="d">
        <x:v>2026-04-19T00:00:00.000Z</x:v>
      </x:c>
      <x:c r="C698" s="14" t="d">
        <x:v>2026-04-01T00:00:00.000Z</x:v>
      </x:c>
      <x:c r="D698" s="34" t="str">
        <x:v>0006</x:v>
      </x:c>
      <x:c r="E698" s="7" t="str">
        <x:v>West</x:v>
      </x:c>
      <x:c r="F698" s="7" t="n">
        <x:v>6</x:v>
      </x:c>
      <x:c r="G698" s="7" t="n">
        <x:v>260</x:v>
      </x:c>
      <x:c r="H698" s="9" t="n">
        <x:v>0</x:v>
      </x:c>
      <x:c r="I698" s="7" t="n">
        <x:v>1560</x:v>
      </x:c>
    </x:row>
    <x:row r="699" ht="23" customHeight="1">
      <x:c r="A699" s="7" t="str">
        <x:v>INV00694</x:v>
      </x:c>
      <x:c r="B699" s="15" t="d">
        <x:v>2026-04-20T00:00:00.000Z</x:v>
      </x:c>
      <x:c r="C699" s="14" t="d">
        <x:v>2026-04-01T00:00:00.000Z</x:v>
      </x:c>
      <x:c r="D699" s="34" t="str">
        <x:v>0007</x:v>
      </x:c>
      <x:c r="E699" s="7" t="str">
        <x:v>West</x:v>
      </x:c>
      <x:c r="F699" s="7" t="n">
        <x:v>4</x:v>
      </x:c>
      <x:c r="G699" s="7" t="n">
        <x:v>280</x:v>
      </x:c>
      <x:c r="H699" s="9" t="n">
        <x:v>0.02</x:v>
      </x:c>
      <x:c r="I699" s="7" t="n">
        <x:v>1097.6</x:v>
      </x:c>
    </x:row>
    <x:row r="700" ht="23" customHeight="1">
      <x:c r="A700" s="7" t="str">
        <x:v>INV00695</x:v>
      </x:c>
      <x:c r="B700" s="15" t="d">
        <x:v>2026-04-21T00:00:00.000Z</x:v>
      </x:c>
      <x:c r="C700" s="14" t="d">
        <x:v>2026-04-01T00:00:00.000Z</x:v>
      </x:c>
      <x:c r="D700" s="34" t="str">
        <x:v>0008</x:v>
      </x:c>
      <x:c r="E700" s="7" t="str">
        <x:v>West</x:v>
      </x:c>
      <x:c r="F700" s="7" t="n">
        <x:v>4</x:v>
      </x:c>
      <x:c r="G700" s="7" t="n">
        <x:v>300</x:v>
      </x:c>
      <x:c r="H700" s="9" t="n">
        <x:v>0.05</x:v>
      </x:c>
      <x:c r="I700" s="7" t="n">
        <x:v>1140</x:v>
      </x:c>
    </x:row>
    <x:row r="701" ht="23" customHeight="1">
      <x:c r="A701" s="7" t="str">
        <x:v>INV00696</x:v>
      </x:c>
      <x:c r="B701" s="15" t="d">
        <x:v>2026-04-22T00:00:00.000Z</x:v>
      </x:c>
      <x:c r="C701" s="14" t="d">
        <x:v>2026-04-01T00:00:00.000Z</x:v>
      </x:c>
      <x:c r="D701" s="34" t="str">
        <x:v>0001</x:v>
      </x:c>
      <x:c r="E701" s="7" t="str">
        <x:v>North</x:v>
      </x:c>
      <x:c r="F701" s="7" t="n">
        <x:v>6</x:v>
      </x:c>
      <x:c r="G701" s="7" t="n">
        <x:v>160</x:v>
      </x:c>
      <x:c r="H701" s="9" t="n">
        <x:v>0</x:v>
      </x:c>
      <x:c r="I701" s="7" t="n">
        <x:v>960</x:v>
      </x:c>
    </x:row>
    <x:row r="702" ht="23" customHeight="1">
      <x:c r="A702" s="7" t="str">
        <x:v>INV00697</x:v>
      </x:c>
      <x:c r="B702" s="15" t="d">
        <x:v>2026-04-23T00:00:00.000Z</x:v>
      </x:c>
      <x:c r="C702" s="14" t="d">
        <x:v>2026-04-01T00:00:00.000Z</x:v>
      </x:c>
      <x:c r="D702" s="34" t="str">
        <x:v>0002</x:v>
      </x:c>
      <x:c r="E702" s="7" t="str">
        <x:v>North</x:v>
      </x:c>
      <x:c r="F702" s="7" t="n">
        <x:v>-3</x:v>
      </x:c>
      <x:c r="G702" s="7" t="n">
        <x:v>180</x:v>
      </x:c>
      <x:c r="H702" s="9" t="n">
        <x:v>0.02</x:v>
      </x:c>
      <x:c r="I702" s="7" t="n">
        <x:v>-529.2</x:v>
      </x:c>
    </x:row>
    <x:row r="703" ht="23" customHeight="1">
      <x:c r="A703" s="7" t="str">
        <x:v>INV00698</x:v>
      </x:c>
      <x:c r="B703" s="15" t="d">
        <x:v>2026-04-24T00:00:00.000Z</x:v>
      </x:c>
      <x:c r="C703" s="14" t="d">
        <x:v>2026-04-01T00:00:00.000Z</x:v>
      </x:c>
      <x:c r="D703" s="34" t="str">
        <x:v>0003</x:v>
      </x:c>
      <x:c r="E703" s="7" t="str">
        <x:v>North</x:v>
      </x:c>
      <x:c r="F703" s="7" t="n">
        <x:v>7</x:v>
      </x:c>
      <x:c r="G703" s="7" t="n">
        <x:v>200</x:v>
      </x:c>
      <x:c r="H703" s="9" t="n">
        <x:v>0.05</x:v>
      </x:c>
      <x:c r="I703" s="7" t="n">
        <x:v>1330</x:v>
      </x:c>
    </x:row>
    <x:row r="704" ht="23" customHeight="1">
      <x:c r="A704" s="7" t="str">
        <x:v>INV00699</x:v>
      </x:c>
      <x:c r="B704" s="15" t="d">
        <x:v>2026-04-25T00:00:00.000Z</x:v>
      </x:c>
      <x:c r="C704" s="14" t="d">
        <x:v>2026-04-01T00:00:00.000Z</x:v>
      </x:c>
      <x:c r="D704" s="34" t="str">
        <x:v>0004</x:v>
      </x:c>
      <x:c r="E704" s="7" t="str">
        <x:v>North</x:v>
      </x:c>
      <x:c r="F704" s="7" t="n">
        <x:v>7</x:v>
      </x:c>
      <x:c r="G704" s="7" t="n">
        <x:v>220</x:v>
      </x:c>
      <x:c r="H704" s="9" t="n">
        <x:v>0</x:v>
      </x:c>
      <x:c r="I704" s="7" t="n">
        <x:v>1540</x:v>
      </x:c>
    </x:row>
    <x:row r="705" ht="23" customHeight="1">
      <x:c r="A705" s="7" t="str">
        <x:v>INV00700</x:v>
      </x:c>
      <x:c r="B705" s="15" t="d">
        <x:v>2026-04-26T00:00:00.000Z</x:v>
      </x:c>
      <x:c r="C705" s="14" t="d">
        <x:v>2026-04-01T00:00:00.000Z</x:v>
      </x:c>
      <x:c r="D705" s="34" t="str">
        <x:v>0005</x:v>
      </x:c>
      <x:c r="E705" s="7" t="str">
        <x:v>North</x:v>
      </x:c>
      <x:c r="F705" s="7" t="n">
        <x:v>7</x:v>
      </x:c>
      <x:c r="G705" s="7" t="n">
        <x:v>240</x:v>
      </x:c>
      <x:c r="H705" s="9" t="n">
        <x:v>0.02</x:v>
      </x:c>
      <x:c r="I705" s="7" t="n">
        <x:v>1646.4</x:v>
      </x:c>
    </x:row>
    <x:row r="706" ht="23" customHeight="1">
      <x:c r="A706" s="7" t="str">
        <x:v>INV00701</x:v>
      </x:c>
      <x:c r="B706" s="15" t="d">
        <x:v>2026-04-27T00:00:00.000Z</x:v>
      </x:c>
      <x:c r="C706" s="14" t="d">
        <x:v>2026-04-01T00:00:00.000Z</x:v>
      </x:c>
      <x:c r="D706" s="34" t="str">
        <x:v>0006</x:v>
      </x:c>
      <x:c r="E706" s="7" t="str">
        <x:v>North</x:v>
      </x:c>
      <x:c r="F706" s="7" t="n">
        <x:v>1</x:v>
      </x:c>
      <x:c r="G706" s="7" t="n">
        <x:v>260</x:v>
      </x:c>
      <x:c r="H706" s="9" t="n">
        <x:v>0.05</x:v>
      </x:c>
      <x:c r="I706" s="7" t="n">
        <x:v>247</x:v>
      </x:c>
    </x:row>
    <x:row r="707" ht="23" customHeight="1">
      <x:c r="A707" s="7" t="str">
        <x:v>INV00702</x:v>
      </x:c>
      <x:c r="B707" s="15" t="d">
        <x:v>2026-04-01T00:00:00.000Z</x:v>
      </x:c>
      <x:c r="C707" s="14" t="d">
        <x:v>2026-04-01T00:00:00.000Z</x:v>
      </x:c>
      <x:c r="D707" s="34" t="str">
        <x:v>0007</x:v>
      </x:c>
      <x:c r="E707" s="7" t="str">
        <x:v>North</x:v>
      </x:c>
      <x:c r="F707" s="7" t="n">
        <x:v>6</x:v>
      </x:c>
      <x:c r="G707" s="7" t="n">
        <x:v>280</x:v>
      </x:c>
      <x:c r="H707" s="9" t="n">
        <x:v>0</x:v>
      </x:c>
      <x:c r="I707" s="7" t="n">
        <x:v>1680</x:v>
      </x:c>
    </x:row>
    <x:row r="708" ht="23" customHeight="1">
      <x:c r="A708" s="7" t="str">
        <x:v>INV00703</x:v>
      </x:c>
      <x:c r="B708" s="15" t="d">
        <x:v>2026-04-02T00:00:00.000Z</x:v>
      </x:c>
      <x:c r="C708" s="14" t="d">
        <x:v>2026-04-01T00:00:00.000Z</x:v>
      </x:c>
      <x:c r="D708" s="34" t="str">
        <x:v>0008</x:v>
      </x:c>
      <x:c r="E708" s="7" t="str">
        <x:v>North</x:v>
      </x:c>
      <x:c r="F708" s="7" t="n">
        <x:v>4</x:v>
      </x:c>
      <x:c r="G708" s="7" t="n">
        <x:v>300</x:v>
      </x:c>
      <x:c r="H708" s="9" t="n">
        <x:v>0.02</x:v>
      </x:c>
      <x:c r="I708" s="7" t="n">
        <x:v>1176</x:v>
      </x:c>
    </x:row>
    <x:row r="709" ht="23" customHeight="1">
      <x:c r="A709" s="7" t="str">
        <x:v>INV00704</x:v>
      </x:c>
      <x:c r="B709" s="15" t="d">
        <x:v>2026-05-03T00:00:00.000Z</x:v>
      </x:c>
      <x:c r="C709" s="14" t="d">
        <x:v>2026-05-01T00:00:00.000Z</x:v>
      </x:c>
      <x:c r="D709" s="34" t="str">
        <x:v>0001</x:v>
      </x:c>
      <x:c r="E709" s="7" t="str">
        <x:v>Central</x:v>
      </x:c>
      <x:c r="F709" s="7" t="n">
        <x:v>7</x:v>
      </x:c>
      <x:c r="G709" s="7" t="n">
        <x:v>160</x:v>
      </x:c>
      <x:c r="H709" s="9" t="n">
        <x:v>0.05</x:v>
      </x:c>
      <x:c r="I709" s="7" t="n">
        <x:v>1064</x:v>
      </x:c>
    </x:row>
    <x:row r="710" ht="23" customHeight="1">
      <x:c r="A710" s="7" t="str">
        <x:v>INV00705</x:v>
      </x:c>
      <x:c r="B710" s="15" t="d">
        <x:v>2026-05-04T00:00:00.000Z</x:v>
      </x:c>
      <x:c r="C710" s="14" t="d">
        <x:v>2026-05-01T00:00:00.000Z</x:v>
      </x:c>
      <x:c r="D710" s="34" t="str">
        <x:v>0002</x:v>
      </x:c>
      <x:c r="E710" s="7" t="str">
        <x:v>Central</x:v>
      </x:c>
      <x:c r="F710" s="7" t="n">
        <x:v>2</x:v>
      </x:c>
      <x:c r="G710" s="7" t="n">
        <x:v>180</x:v>
      </x:c>
      <x:c r="H710" s="9" t="n">
        <x:v>0</x:v>
      </x:c>
      <x:c r="I710" s="7" t="n">
        <x:v>360</x:v>
      </x:c>
    </x:row>
    <x:row r="711" ht="23" customHeight="1">
      <x:c r="A711" s="7" t="str">
        <x:v>INV00706</x:v>
      </x:c>
      <x:c r="B711" s="15" t="d">
        <x:v>2026-05-05T00:00:00.000Z</x:v>
      </x:c>
      <x:c r="C711" s="14" t="d">
        <x:v>2026-05-01T00:00:00.000Z</x:v>
      </x:c>
      <x:c r="D711" s="34" t="str">
        <x:v>0003</x:v>
      </x:c>
      <x:c r="E711" s="7" t="str">
        <x:v>Central</x:v>
      </x:c>
      <x:c r="F711" s="7" t="n">
        <x:v>4</x:v>
      </x:c>
      <x:c r="G711" s="7" t="n">
        <x:v>200</x:v>
      </x:c>
      <x:c r="H711" s="9" t="n">
        <x:v>0.02</x:v>
      </x:c>
      <x:c r="I711" s="7" t="n">
        <x:v>784</x:v>
      </x:c>
    </x:row>
    <x:row r="712" ht="23" customHeight="1">
      <x:c r="A712" s="7" t="str">
        <x:v>INV00707</x:v>
      </x:c>
      <x:c r="B712" s="15" t="d">
        <x:v>2026-05-06T00:00:00.000Z</x:v>
      </x:c>
      <x:c r="C712" s="14" t="d">
        <x:v>2026-05-01T00:00:00.000Z</x:v>
      </x:c>
      <x:c r="D712" s="34" t="str">
        <x:v>0004</x:v>
      </x:c>
      <x:c r="E712" s="7" t="str">
        <x:v>Central</x:v>
      </x:c>
      <x:c r="F712" s="7" t="n">
        <x:v>5</x:v>
      </x:c>
      <x:c r="G712" s="7" t="n">
        <x:v>220</x:v>
      </x:c>
      <x:c r="H712" s="9" t="n">
        <x:v>0.05</x:v>
      </x:c>
      <x:c r="I712" s="7" t="n">
        <x:v>1045</x:v>
      </x:c>
    </x:row>
    <x:row r="713" ht="23" customHeight="1">
      <x:c r="A713" s="7" t="str">
        <x:v>INV00708</x:v>
      </x:c>
      <x:c r="B713" s="15" t="d">
        <x:v>2026-05-07T00:00:00.000Z</x:v>
      </x:c>
      <x:c r="C713" s="14" t="d">
        <x:v>2026-05-01T00:00:00.000Z</x:v>
      </x:c>
      <x:c r="D713" s="34" t="str">
        <x:v>0005</x:v>
      </x:c>
      <x:c r="E713" s="7" t="str">
        <x:v>Central</x:v>
      </x:c>
      <x:c r="F713" s="7" t="n">
        <x:v>4</x:v>
      </x:c>
      <x:c r="G713" s="7" t="n">
        <x:v>240</x:v>
      </x:c>
      <x:c r="H713" s="9" t="n">
        <x:v>0</x:v>
      </x:c>
      <x:c r="I713" s="7" t="n">
        <x:v>960</x:v>
      </x:c>
    </x:row>
    <x:row r="714" ht="23" customHeight="1">
      <x:c r="A714" s="7" t="str">
        <x:v>INV00709</x:v>
      </x:c>
      <x:c r="B714" s="15" t="d">
        <x:v>2026-05-08T00:00:00.000Z</x:v>
      </x:c>
      <x:c r="C714" s="14" t="d">
        <x:v>2026-05-01T00:00:00.000Z</x:v>
      </x:c>
      <x:c r="D714" s="34" t="str">
        <x:v>0006</x:v>
      </x:c>
      <x:c r="E714" s="7" t="str">
        <x:v>Central</x:v>
      </x:c>
      <x:c r="F714" s="7" t="n">
        <x:v>1</x:v>
      </x:c>
      <x:c r="G714" s="7" t="n">
        <x:v>260</x:v>
      </x:c>
      <x:c r="H714" s="9" t="n">
        <x:v>0.02</x:v>
      </x:c>
      <x:c r="I714" s="7" t="n">
        <x:v>254.8</x:v>
      </x:c>
    </x:row>
    <x:row r="715" ht="23" customHeight="1">
      <x:c r="A715" s="7" t="str">
        <x:v>INV00710</x:v>
      </x:c>
      <x:c r="B715" s="15" t="d">
        <x:v>2026-05-09T00:00:00.000Z</x:v>
      </x:c>
      <x:c r="C715" s="14" t="d">
        <x:v>2026-05-01T00:00:00.000Z</x:v>
      </x:c>
      <x:c r="D715" s="34" t="str">
        <x:v>0007</x:v>
      </x:c>
      <x:c r="E715" s="7" t="str">
        <x:v>Central</x:v>
      </x:c>
      <x:c r="F715" s="7" t="n">
        <x:v>1</x:v>
      </x:c>
      <x:c r="G715" s="7" t="n">
        <x:v>280</x:v>
      </x:c>
      <x:c r="H715" s="9" t="n">
        <x:v>0.05</x:v>
      </x:c>
      <x:c r="I715" s="7" t="n">
        <x:v>266</x:v>
      </x:c>
    </x:row>
    <x:row r="716" ht="23" customHeight="1">
      <x:c r="A716" s="7" t="str">
        <x:v>INV00711</x:v>
      </x:c>
      <x:c r="B716" s="15" t="d">
        <x:v>2026-05-10T00:00:00.000Z</x:v>
      </x:c>
      <x:c r="C716" s="14" t="d">
        <x:v>2026-05-01T00:00:00.000Z</x:v>
      </x:c>
      <x:c r="D716" s="34" t="str">
        <x:v>0008</x:v>
      </x:c>
      <x:c r="E716" s="7" t="str">
        <x:v>Central</x:v>
      </x:c>
      <x:c r="F716" s="7" t="n">
        <x:v>5</x:v>
      </x:c>
      <x:c r="G716" s="7" t="n">
        <x:v>300</x:v>
      </x:c>
      <x:c r="H716" s="9" t="n">
        <x:v>0</x:v>
      </x:c>
      <x:c r="I716" s="7" t="n">
        <x:v>1500</x:v>
      </x:c>
    </x:row>
    <x:row r="717" ht="23" customHeight="1">
      <x:c r="A717" s="7" t="str">
        <x:v>INV00712</x:v>
      </x:c>
      <x:c r="B717" s="15" t="d">
        <x:v>2026-05-11T00:00:00.000Z</x:v>
      </x:c>
      <x:c r="C717" s="14" t="d">
        <x:v>2026-05-01T00:00:00.000Z</x:v>
      </x:c>
      <x:c r="D717" s="34" t="str">
        <x:v>0001</x:v>
      </x:c>
      <x:c r="E717" s="7" t="str">
        <x:v>East</x:v>
      </x:c>
      <x:c r="F717" s="7" t="n">
        <x:v>3</x:v>
      </x:c>
      <x:c r="G717" s="7" t="n">
        <x:v>160</x:v>
      </x:c>
      <x:c r="H717" s="9" t="n">
        <x:v>0.02</x:v>
      </x:c>
      <x:c r="I717" s="7" t="n">
        <x:v>470.4</x:v>
      </x:c>
    </x:row>
    <x:row r="718" ht="23" customHeight="1">
      <x:c r="A718" s="7" t="str">
        <x:v>INV00713</x:v>
      </x:c>
      <x:c r="B718" s="15" t="d">
        <x:v>2026-05-12T00:00:00.000Z</x:v>
      </x:c>
      <x:c r="C718" s="14" t="d">
        <x:v>2026-05-01T00:00:00.000Z</x:v>
      </x:c>
      <x:c r="D718" s="34" t="str">
        <x:v>0002</x:v>
      </x:c>
      <x:c r="E718" s="7" t="str">
        <x:v>East</x:v>
      </x:c>
      <x:c r="F718" s="7" t="n">
        <x:v>7</x:v>
      </x:c>
      <x:c r="G718" s="7" t="n">
        <x:v>180</x:v>
      </x:c>
      <x:c r="H718" s="9" t="n">
        <x:v>0.05</x:v>
      </x:c>
      <x:c r="I718" s="7" t="n">
        <x:v>1197</x:v>
      </x:c>
    </x:row>
    <x:row r="719" ht="23" customHeight="1">
      <x:c r="A719" s="7" t="str">
        <x:v>INV00714</x:v>
      </x:c>
      <x:c r="B719" s="15" t="d">
        <x:v>2026-05-13T00:00:00.000Z</x:v>
      </x:c>
      <x:c r="C719" s="14" t="d">
        <x:v>2026-05-01T00:00:00.000Z</x:v>
      </x:c>
      <x:c r="D719" s="34" t="str">
        <x:v>0003</x:v>
      </x:c>
      <x:c r="E719" s="7" t="str">
        <x:v>East</x:v>
      </x:c>
      <x:c r="F719" s="7" t="n">
        <x:v>6</x:v>
      </x:c>
      <x:c r="G719" s="7" t="n">
        <x:v>200</x:v>
      </x:c>
      <x:c r="H719" s="9" t="n">
        <x:v>0</x:v>
      </x:c>
      <x:c r="I719" s="7" t="n">
        <x:v>1200</x:v>
      </x:c>
    </x:row>
    <x:row r="720" ht="23" customHeight="1">
      <x:c r="A720" s="7" t="str">
        <x:v>INV00715</x:v>
      </x:c>
      <x:c r="B720" s="15" t="d">
        <x:v>2026-05-14T00:00:00.000Z</x:v>
      </x:c>
      <x:c r="C720" s="14" t="d">
        <x:v>2026-05-01T00:00:00.000Z</x:v>
      </x:c>
      <x:c r="D720" s="34" t="str">
        <x:v>0004</x:v>
      </x:c>
      <x:c r="E720" s="7" t="str">
        <x:v>East</x:v>
      </x:c>
      <x:c r="F720" s="7" t="n">
        <x:v>3</x:v>
      </x:c>
      <x:c r="G720" s="7" t="n">
        <x:v>220</x:v>
      </x:c>
      <x:c r="H720" s="9" t="n">
        <x:v>0.02</x:v>
      </x:c>
      <x:c r="I720" s="7" t="n">
        <x:v>646.8</x:v>
      </x:c>
    </x:row>
    <x:row r="721" ht="23" customHeight="1">
      <x:c r="A721" s="7" t="str">
        <x:v>INV00716</x:v>
      </x:c>
      <x:c r="B721" s="15" t="d">
        <x:v>2026-05-15T00:00:00.000Z</x:v>
      </x:c>
      <x:c r="C721" s="14" t="d">
        <x:v>2026-05-01T00:00:00.000Z</x:v>
      </x:c>
      <x:c r="D721" s="34" t="str">
        <x:v>0005</x:v>
      </x:c>
      <x:c r="E721" s="7" t="str">
        <x:v>East</x:v>
      </x:c>
      <x:c r="F721" s="7" t="n">
        <x:v>6</x:v>
      </x:c>
      <x:c r="G721" s="7" t="n">
        <x:v>240</x:v>
      </x:c>
      <x:c r="H721" s="9" t="n">
        <x:v>0.05</x:v>
      </x:c>
      <x:c r="I721" s="7" t="n">
        <x:v>1368</x:v>
      </x:c>
    </x:row>
    <x:row r="722" ht="23" customHeight="1">
      <x:c r="A722" s="7" t="str">
        <x:v>INV00717</x:v>
      </x:c>
      <x:c r="B722" s="15" t="d">
        <x:v>2026-05-16T00:00:00.000Z</x:v>
      </x:c>
      <x:c r="C722" s="14" t="d">
        <x:v>2026-05-01T00:00:00.000Z</x:v>
      </x:c>
      <x:c r="D722" s="34" t="str">
        <x:v>0006</x:v>
      </x:c>
      <x:c r="E722" s="7" t="str">
        <x:v>East</x:v>
      </x:c>
      <x:c r="F722" s="7" t="n">
        <x:v>4</x:v>
      </x:c>
      <x:c r="G722" s="7" t="n">
        <x:v>260</x:v>
      </x:c>
      <x:c r="H722" s="9" t="n">
        <x:v>0</x:v>
      </x:c>
      <x:c r="I722" s="7" t="n">
        <x:v>1040</x:v>
      </x:c>
    </x:row>
    <x:row r="723" ht="23" customHeight="1">
      <x:c r="A723" s="7" t="str">
        <x:v>INV00718</x:v>
      </x:c>
      <x:c r="B723" s="15" t="d">
        <x:v>2026-05-17T00:00:00.000Z</x:v>
      </x:c>
      <x:c r="C723" s="14" t="d">
        <x:v>2026-05-01T00:00:00.000Z</x:v>
      </x:c>
      <x:c r="D723" s="34" t="str">
        <x:v>0007</x:v>
      </x:c>
      <x:c r="E723" s="7" t="str">
        <x:v>East</x:v>
      </x:c>
      <x:c r="F723" s="7" t="n">
        <x:v>2</x:v>
      </x:c>
      <x:c r="G723" s="7" t="n">
        <x:v>280</x:v>
      </x:c>
      <x:c r="H723" s="9" t="n">
        <x:v>0.02</x:v>
      </x:c>
      <x:c r="I723" s="7" t="n">
        <x:v>548.8</x:v>
      </x:c>
    </x:row>
    <x:row r="724" ht="23" customHeight="1">
      <x:c r="A724" s="7" t="str">
        <x:v>INV00719</x:v>
      </x:c>
      <x:c r="B724" s="15" t="d">
        <x:v>2026-05-18T00:00:00.000Z</x:v>
      </x:c>
      <x:c r="C724" s="14" t="d">
        <x:v>2026-05-01T00:00:00.000Z</x:v>
      </x:c>
      <x:c r="D724" s="34" t="str">
        <x:v>0008</x:v>
      </x:c>
      <x:c r="E724" s="7" t="str">
        <x:v>East</x:v>
      </x:c>
      <x:c r="F724" s="7" t="n">
        <x:v>2</x:v>
      </x:c>
      <x:c r="G724" s="7" t="n">
        <x:v>300</x:v>
      </x:c>
      <x:c r="H724" s="9" t="n">
        <x:v>0.05</x:v>
      </x:c>
      <x:c r="I724" s="7" t="n">
        <x:v>570</x:v>
      </x:c>
    </x:row>
    <x:row r="725" ht="23" customHeight="1">
      <x:c r="A725" s="7" t="str">
        <x:v>INV00720</x:v>
      </x:c>
      <x:c r="B725" s="15" t="d">
        <x:v>2026-05-19T00:00:00.000Z</x:v>
      </x:c>
      <x:c r="C725" s="14" t="d">
        <x:v>2026-05-01T00:00:00.000Z</x:v>
      </x:c>
      <x:c r="D725" s="34" t="str">
        <x:v>0001</x:v>
      </x:c>
      <x:c r="E725" s="7" t="str">
        <x:v>West</x:v>
      </x:c>
      <x:c r="F725" s="7" t="n">
        <x:v>2</x:v>
      </x:c>
      <x:c r="G725" s="7" t="n">
        <x:v>160</x:v>
      </x:c>
      <x:c r="H725" s="9" t="n">
        <x:v>0</x:v>
      </x:c>
      <x:c r="I725" s="7" t="n">
        <x:v>320</x:v>
      </x:c>
    </x:row>
    <x:row r="726" ht="23" customHeight="1">
      <x:c r="A726" s="7" t="str">
        <x:v>INV00721</x:v>
      </x:c>
      <x:c r="B726" s="15" t="d">
        <x:v>2026-05-20T00:00:00.000Z</x:v>
      </x:c>
      <x:c r="C726" s="14" t="d">
        <x:v>2026-05-01T00:00:00.000Z</x:v>
      </x:c>
      <x:c r="D726" s="34" t="str">
        <x:v>0002</x:v>
      </x:c>
      <x:c r="E726" s="7" t="str">
        <x:v>West</x:v>
      </x:c>
      <x:c r="F726" s="7" t="n">
        <x:v>6</x:v>
      </x:c>
      <x:c r="G726" s="7" t="n">
        <x:v>180</x:v>
      </x:c>
      <x:c r="H726" s="9" t="n">
        <x:v>0.02</x:v>
      </x:c>
      <x:c r="I726" s="7" t="n">
        <x:v>1058.4</x:v>
      </x:c>
    </x:row>
    <x:row r="727" ht="23" customHeight="1">
      <x:c r="A727" s="7" t="str">
        <x:v>INV00722</x:v>
      </x:c>
      <x:c r="B727" s="15" t="d">
        <x:v>2026-05-21T00:00:00.000Z</x:v>
      </x:c>
      <x:c r="C727" s="14" t="d">
        <x:v>2026-05-01T00:00:00.000Z</x:v>
      </x:c>
      <x:c r="D727" s="34" t="str">
        <x:v>0003</x:v>
      </x:c>
      <x:c r="E727" s="7" t="str">
        <x:v>West</x:v>
      </x:c>
      <x:c r="F727" s="7" t="n">
        <x:v>3</x:v>
      </x:c>
      <x:c r="G727" s="7" t="n">
        <x:v>200</x:v>
      </x:c>
      <x:c r="H727" s="9" t="n">
        <x:v>0.05</x:v>
      </x:c>
      <x:c r="I727" s="7" t="n">
        <x:v>570</x:v>
      </x:c>
    </x:row>
    <x:row r="728" ht="23" customHeight="1">
      <x:c r="A728" s="7" t="str">
        <x:v>INV00723</x:v>
      </x:c>
      <x:c r="B728" s="15" t="d">
        <x:v>2026-05-22T00:00:00.000Z</x:v>
      </x:c>
      <x:c r="C728" s="14" t="d">
        <x:v>2026-05-01T00:00:00.000Z</x:v>
      </x:c>
      <x:c r="D728" s="34" t="str">
        <x:v>0004</x:v>
      </x:c>
      <x:c r="E728" s="7" t="str">
        <x:v>West</x:v>
      </x:c>
      <x:c r="F728" s="7" t="n">
        <x:v>1</x:v>
      </x:c>
      <x:c r="G728" s="7" t="n">
        <x:v>220</x:v>
      </x:c>
      <x:c r="H728" s="9" t="n">
        <x:v>0</x:v>
      </x:c>
      <x:c r="I728" s="7" t="n">
        <x:v>220</x:v>
      </x:c>
    </x:row>
    <x:row r="729" ht="23" customHeight="1">
      <x:c r="A729" s="7" t="str">
        <x:v>INV00724</x:v>
      </x:c>
      <x:c r="B729" s="15" t="d">
        <x:v>2026-05-23T00:00:00.000Z</x:v>
      </x:c>
      <x:c r="C729" s="14" t="d">
        <x:v>2026-05-01T00:00:00.000Z</x:v>
      </x:c>
      <x:c r="D729" s="34" t="str">
        <x:v>0005</x:v>
      </x:c>
      <x:c r="E729" s="7" t="str">
        <x:v>West</x:v>
      </x:c>
      <x:c r="F729" s="7" t="n">
        <x:v>7</x:v>
      </x:c>
      <x:c r="G729" s="7" t="n">
        <x:v>240</x:v>
      </x:c>
      <x:c r="H729" s="9" t="n">
        <x:v>0.02</x:v>
      </x:c>
      <x:c r="I729" s="7" t="n">
        <x:v>1646.4</x:v>
      </x:c>
    </x:row>
    <x:row r="730" ht="23" customHeight="1">
      <x:c r="A730" s="7" t="str">
        <x:v>INV00725</x:v>
      </x:c>
      <x:c r="B730" s="15" t="d">
        <x:v>2026-05-24T00:00:00.000Z</x:v>
      </x:c>
      <x:c r="C730" s="14" t="d">
        <x:v>2026-05-01T00:00:00.000Z</x:v>
      </x:c>
      <x:c r="D730" s="34" t="str">
        <x:v>0006</x:v>
      </x:c>
      <x:c r="E730" s="7" t="str">
        <x:v>West</x:v>
      </x:c>
      <x:c r="F730" s="7" t="n">
        <x:v>4</x:v>
      </x:c>
      <x:c r="G730" s="7" t="n">
        <x:v>260</x:v>
      </x:c>
      <x:c r="H730" s="9" t="n">
        <x:v>0.05</x:v>
      </x:c>
      <x:c r="I730" s="7" t="n">
        <x:v>988</x:v>
      </x:c>
    </x:row>
    <x:row r="731" ht="23" customHeight="1">
      <x:c r="A731" s="7" t="str">
        <x:v>INV00726</x:v>
      </x:c>
      <x:c r="B731" s="15" t="d">
        <x:v>2026-05-25T00:00:00.000Z</x:v>
      </x:c>
      <x:c r="C731" s="14" t="d">
        <x:v>2026-05-01T00:00:00.000Z</x:v>
      </x:c>
      <x:c r="D731" s="34" t="str">
        <x:v>0007</x:v>
      </x:c>
      <x:c r="E731" s="7" t="str">
        <x:v>West</x:v>
      </x:c>
      <x:c r="F731" s="7" t="n">
        <x:v>5</x:v>
      </x:c>
      <x:c r="G731" s="7" t="n">
        <x:v>280</x:v>
      </x:c>
      <x:c r="H731" s="9" t="n">
        <x:v>0</x:v>
      </x:c>
      <x:c r="I731" s="7" t="n">
        <x:v>1400</x:v>
      </x:c>
    </x:row>
    <x:row r="732" ht="23" customHeight="1">
      <x:c r="A732" s="7" t="str">
        <x:v>INV00727</x:v>
      </x:c>
      <x:c r="B732" s="15" t="d">
        <x:v>2026-05-26T00:00:00.000Z</x:v>
      </x:c>
      <x:c r="C732" s="14" t="d">
        <x:v>2026-05-01T00:00:00.000Z</x:v>
      </x:c>
      <x:c r="D732" s="34" t="str">
        <x:v>0008</x:v>
      </x:c>
      <x:c r="E732" s="7" t="str">
        <x:v>West</x:v>
      </x:c>
      <x:c r="F732" s="7" t="n">
        <x:v>1</x:v>
      </x:c>
      <x:c r="G732" s="7" t="n">
        <x:v>300</x:v>
      </x:c>
      <x:c r="H732" s="9" t="n">
        <x:v>0.02</x:v>
      </x:c>
      <x:c r="I732" s="7" t="n">
        <x:v>294</x:v>
      </x:c>
    </x:row>
    <x:row r="733" ht="23" customHeight="1">
      <x:c r="A733" s="7" t="str">
        <x:v>INV00728</x:v>
      </x:c>
      <x:c r="B733" s="15" t="d">
        <x:v>2026-05-27T00:00:00.000Z</x:v>
      </x:c>
      <x:c r="C733" s="14" t="d">
        <x:v>2026-05-01T00:00:00.000Z</x:v>
      </x:c>
      <x:c r="D733" s="34" t="str">
        <x:v>0001</x:v>
      </x:c>
      <x:c r="E733" s="7" t="str">
        <x:v>North</x:v>
      </x:c>
      <x:c r="F733" s="7" t="n">
        <x:v>5</x:v>
      </x:c>
      <x:c r="G733" s="7" t="n">
        <x:v>160</x:v>
      </x:c>
      <x:c r="H733" s="9" t="n">
        <x:v>0.05</x:v>
      </x:c>
      <x:c r="I733" s="7" t="n">
        <x:v>760</x:v>
      </x:c>
    </x:row>
    <x:row r="734" ht="23" customHeight="1">
      <x:c r="A734" s="7" t="str">
        <x:v>INV00729</x:v>
      </x:c>
      <x:c r="B734" s="15" t="d">
        <x:v>2026-05-01T00:00:00.000Z</x:v>
      </x:c>
      <x:c r="C734" s="14" t="d">
        <x:v>2026-05-01T00:00:00.000Z</x:v>
      </x:c>
      <x:c r="D734" s="34" t="str">
        <x:v>0002</x:v>
      </x:c>
      <x:c r="E734" s="7" t="str">
        <x:v>North</x:v>
      </x:c>
      <x:c r="F734" s="7" t="n">
        <x:v>7</x:v>
      </x:c>
      <x:c r="G734" s="7" t="n">
        <x:v>180</x:v>
      </x:c>
      <x:c r="H734" s="9" t="n">
        <x:v>0</x:v>
      </x:c>
      <x:c r="I734" s="7" t="n">
        <x:v>1260</x:v>
      </x:c>
    </x:row>
    <x:row r="735" ht="23" customHeight="1">
      <x:c r="A735" s="7" t="str">
        <x:v>INV00730</x:v>
      </x:c>
      <x:c r="B735" s="15" t="d">
        <x:v>2026-05-02T00:00:00.000Z</x:v>
      </x:c>
      <x:c r="C735" s="14" t="d">
        <x:v>2026-05-01T00:00:00.000Z</x:v>
      </x:c>
      <x:c r="D735" s="34" t="str">
        <x:v>0003</x:v>
      </x:c>
      <x:c r="E735" s="7" t="str">
        <x:v>North</x:v>
      </x:c>
      <x:c r="F735" s="7" t="n">
        <x:v>5</x:v>
      </x:c>
      <x:c r="G735" s="7" t="n">
        <x:v>200</x:v>
      </x:c>
      <x:c r="H735" s="9" t="n">
        <x:v>0.02</x:v>
      </x:c>
      <x:c r="I735" s="7" t="n">
        <x:v>980</x:v>
      </x:c>
    </x:row>
    <x:row r="736" ht="23" customHeight="1">
      <x:c r="A736" s="7" t="str">
        <x:v>INV00731</x:v>
      </x:c>
      <x:c r="B736" s="15" t="d">
        <x:v>2026-05-03T00:00:00.000Z</x:v>
      </x:c>
      <x:c r="C736" s="14" t="d">
        <x:v>2026-05-01T00:00:00.000Z</x:v>
      </x:c>
      <x:c r="D736" s="34" t="str">
        <x:v>0004</x:v>
      </x:c>
      <x:c r="E736" s="7" t="str">
        <x:v>North</x:v>
      </x:c>
      <x:c r="F736" s="7" t="n">
        <x:v>7</x:v>
      </x:c>
      <x:c r="G736" s="7" t="n">
        <x:v>220</x:v>
      </x:c>
      <x:c r="H736" s="9" t="n">
        <x:v>0.05</x:v>
      </x:c>
      <x:c r="I736" s="7" t="n">
        <x:v>1463</x:v>
      </x:c>
    </x:row>
    <x:row r="737" ht="23" customHeight="1">
      <x:c r="A737" s="7" t="str">
        <x:v>INV00732</x:v>
      </x:c>
      <x:c r="B737" s="15" t="d">
        <x:v>2026-05-04T00:00:00.000Z</x:v>
      </x:c>
      <x:c r="C737" s="14" t="d">
        <x:v>2026-05-01T00:00:00.000Z</x:v>
      </x:c>
      <x:c r="D737" s="34" t="str">
        <x:v>0005</x:v>
      </x:c>
      <x:c r="E737" s="7" t="str">
        <x:v>North</x:v>
      </x:c>
      <x:c r="F737" s="7" t="n">
        <x:v>4</x:v>
      </x:c>
      <x:c r="G737" s="7" t="n">
        <x:v>240</x:v>
      </x:c>
      <x:c r="H737" s="9" t="n">
        <x:v>0</x:v>
      </x:c>
      <x:c r="I737" s="7" t="n">
        <x:v>960</x:v>
      </x:c>
    </x:row>
    <x:row r="738" ht="23" customHeight="1">
      <x:c r="A738" s="7" t="str">
        <x:v>INV00733</x:v>
      </x:c>
      <x:c r="B738" s="15" t="d">
        <x:v>2026-05-05T00:00:00.000Z</x:v>
      </x:c>
      <x:c r="C738" s="14" t="d">
        <x:v>2026-05-01T00:00:00.000Z</x:v>
      </x:c>
      <x:c r="D738" s="34" t="str">
        <x:v>0006</x:v>
      </x:c>
      <x:c r="E738" s="7" t="str">
        <x:v>North</x:v>
      </x:c>
      <x:c r="F738" s="7" t="n">
        <x:v>3</x:v>
      </x:c>
      <x:c r="G738" s="7" t="n">
        <x:v>260</x:v>
      </x:c>
      <x:c r="H738" s="9" t="n">
        <x:v>0.02</x:v>
      </x:c>
      <x:c r="I738" s="7" t="n">
        <x:v>764.4</x:v>
      </x:c>
    </x:row>
    <x:row r="739" ht="23" customHeight="1">
      <x:c r="A739" s="7" t="str">
        <x:v>INV00734</x:v>
      </x:c>
      <x:c r="B739" s="15" t="d">
        <x:v>2026-05-06T00:00:00.000Z</x:v>
      </x:c>
      <x:c r="C739" s="14" t="d">
        <x:v>2026-05-01T00:00:00.000Z</x:v>
      </x:c>
      <x:c r="D739" s="34" t="str">
        <x:v>0007</x:v>
      </x:c>
      <x:c r="E739" s="7" t="str">
        <x:v>North</x:v>
      </x:c>
      <x:c r="F739" s="7" t="n">
        <x:v>5</x:v>
      </x:c>
      <x:c r="G739" s="7" t="n">
        <x:v>280</x:v>
      </x:c>
      <x:c r="H739" s="9" t="n">
        <x:v>0.05</x:v>
      </x:c>
      <x:c r="I739" s="7" t="n">
        <x:v>1330</x:v>
      </x:c>
    </x:row>
    <x:row r="740" ht="23" customHeight="1">
      <x:c r="A740" s="7" t="str">
        <x:v>INV00735</x:v>
      </x:c>
      <x:c r="B740" s="15" t="d">
        <x:v>2026-05-07T00:00:00.000Z</x:v>
      </x:c>
      <x:c r="C740" s="14" t="d">
        <x:v>2026-05-01T00:00:00.000Z</x:v>
      </x:c>
      <x:c r="D740" s="34" t="str">
        <x:v>0008</x:v>
      </x:c>
      <x:c r="E740" s="7" t="str">
        <x:v>North</x:v>
      </x:c>
      <x:c r="F740" s="7" t="n">
        <x:v>3</x:v>
      </x:c>
      <x:c r="G740" s="7" t="n">
        <x:v>300</x:v>
      </x:c>
      <x:c r="H740" s="9" t="n">
        <x:v>0</x:v>
      </x:c>
      <x:c r="I740" s="7" t="n">
        <x:v>900</x:v>
      </x:c>
    </x:row>
    <x:row r="741" ht="23" customHeight="1">
      <x:c r="A741" s="7" t="str">
        <x:v>INV00736</x:v>
      </x:c>
      <x:c r="B741" s="15" t="d">
        <x:v>2026-06-08T00:00:00.000Z</x:v>
      </x:c>
      <x:c r="C741" s="14" t="d">
        <x:v>2026-06-01T00:00:00.000Z</x:v>
      </x:c>
      <x:c r="D741" s="34" t="str">
        <x:v>0001</x:v>
      </x:c>
      <x:c r="E741" s="7" t="str">
        <x:v>Central</x:v>
      </x:c>
      <x:c r="F741" s="7" t="n">
        <x:v>5</x:v>
      </x:c>
      <x:c r="G741" s="7" t="n">
        <x:v>160</x:v>
      </x:c>
      <x:c r="H741" s="9" t="n">
        <x:v>0.02</x:v>
      </x:c>
      <x:c r="I741" s="7" t="n">
        <x:v>784</x:v>
      </x:c>
    </x:row>
    <x:row r="742" ht="23" customHeight="1">
      <x:c r="A742" s="7" t="str">
        <x:v>INV00737</x:v>
      </x:c>
      <x:c r="B742" s="15" t="d">
        <x:v>2026-06-09T00:00:00.000Z</x:v>
      </x:c>
      <x:c r="C742" s="14" t="d">
        <x:v>2026-06-01T00:00:00.000Z</x:v>
      </x:c>
      <x:c r="D742" s="34" t="str">
        <x:v>0002</x:v>
      </x:c>
      <x:c r="E742" s="7" t="str">
        <x:v>Central</x:v>
      </x:c>
      <x:c r="F742" s="7" t="n">
        <x:v>2</x:v>
      </x:c>
      <x:c r="G742" s="7" t="n">
        <x:v>180</x:v>
      </x:c>
      <x:c r="H742" s="9" t="n">
        <x:v>0.05</x:v>
      </x:c>
      <x:c r="I742" s="7" t="n">
        <x:v>342</x:v>
      </x:c>
    </x:row>
    <x:row r="743" ht="23" customHeight="1">
      <x:c r="A743" s="7" t="str">
        <x:v>INV00738</x:v>
      </x:c>
      <x:c r="B743" s="15" t="d">
        <x:v>2026-06-10T00:00:00.000Z</x:v>
      </x:c>
      <x:c r="C743" s="14" t="d">
        <x:v>2026-06-01T00:00:00.000Z</x:v>
      </x:c>
      <x:c r="D743" s="34" t="str">
        <x:v>0003</x:v>
      </x:c>
      <x:c r="E743" s="7" t="str">
        <x:v>Central</x:v>
      </x:c>
      <x:c r="F743" s="7" t="n">
        <x:v>-4</x:v>
      </x:c>
      <x:c r="G743" s="7" t="n">
        <x:v>200</x:v>
      </x:c>
      <x:c r="H743" s="9" t="n">
        <x:v>0</x:v>
      </x:c>
      <x:c r="I743" s="7" t="n">
        <x:v>-800</x:v>
      </x:c>
    </x:row>
    <x:row r="744" ht="23" customHeight="1">
      <x:c r="A744" s="7" t="str">
        <x:v>INV00739</x:v>
      </x:c>
      <x:c r="B744" s="15" t="d">
        <x:v>2026-06-11T00:00:00.000Z</x:v>
      </x:c>
      <x:c r="C744" s="14" t="d">
        <x:v>2026-06-01T00:00:00.000Z</x:v>
      </x:c>
      <x:c r="D744" s="34" t="str">
        <x:v>0004</x:v>
      </x:c>
      <x:c r="E744" s="7" t="str">
        <x:v>Central</x:v>
      </x:c>
      <x:c r="F744" s="7" t="n">
        <x:v>2</x:v>
      </x:c>
      <x:c r="G744" s="7" t="n">
        <x:v>220</x:v>
      </x:c>
      <x:c r="H744" s="9" t="n">
        <x:v>0.02</x:v>
      </x:c>
      <x:c r="I744" s="7" t="n">
        <x:v>431.2</x:v>
      </x:c>
    </x:row>
    <x:row r="745" ht="23" customHeight="1">
      <x:c r="A745" s="7" t="str">
        <x:v>INV00740</x:v>
      </x:c>
      <x:c r="B745" s="15" t="d">
        <x:v>2026-06-12T00:00:00.000Z</x:v>
      </x:c>
      <x:c r="C745" s="14" t="d">
        <x:v>2026-06-01T00:00:00.000Z</x:v>
      </x:c>
      <x:c r="D745" s="34" t="str">
        <x:v>0005</x:v>
      </x:c>
      <x:c r="E745" s="7" t="str">
        <x:v>Central</x:v>
      </x:c>
      <x:c r="F745" s="7" t="n">
        <x:v>1</x:v>
      </x:c>
      <x:c r="G745" s="7" t="n">
        <x:v>240</x:v>
      </x:c>
      <x:c r="H745" s="9" t="n">
        <x:v>0.05</x:v>
      </x:c>
      <x:c r="I745" s="7" t="n">
        <x:v>228</x:v>
      </x:c>
    </x:row>
    <x:row r="746" ht="23" customHeight="1">
      <x:c r="A746" s="7" t="str">
        <x:v>INV00741</x:v>
      </x:c>
      <x:c r="B746" s="15" t="d">
        <x:v>2026-06-13T00:00:00.000Z</x:v>
      </x:c>
      <x:c r="C746" s="14" t="d">
        <x:v>2026-06-01T00:00:00.000Z</x:v>
      </x:c>
      <x:c r="D746" s="34" t="str">
        <x:v>0006</x:v>
      </x:c>
      <x:c r="E746" s="7" t="str">
        <x:v>Central</x:v>
      </x:c>
      <x:c r="F746" s="7" t="n">
        <x:v>3</x:v>
      </x:c>
      <x:c r="G746" s="7" t="n">
        <x:v>260</x:v>
      </x:c>
      <x:c r="H746" s="9" t="n">
        <x:v>0</x:v>
      </x:c>
      <x:c r="I746" s="7" t="n">
        <x:v>780</x:v>
      </x:c>
    </x:row>
    <x:row r="747" ht="23" customHeight="1">
      <x:c r="A747" s="7" t="str">
        <x:v>INV00742</x:v>
      </x:c>
      <x:c r="B747" s="15" t="d">
        <x:v>2026-06-14T00:00:00.000Z</x:v>
      </x:c>
      <x:c r="C747" s="14" t="d">
        <x:v>2026-06-01T00:00:00.000Z</x:v>
      </x:c>
      <x:c r="D747" s="34" t="str">
        <x:v>0007</x:v>
      </x:c>
      <x:c r="E747" s="7" t="str">
        <x:v>Central</x:v>
      </x:c>
      <x:c r="F747" s="7" t="n">
        <x:v>2</x:v>
      </x:c>
      <x:c r="G747" s="7" t="n">
        <x:v>280</x:v>
      </x:c>
      <x:c r="H747" s="9" t="n">
        <x:v>0.02</x:v>
      </x:c>
      <x:c r="I747" s="7" t="n">
        <x:v>548.8</x:v>
      </x:c>
    </x:row>
    <x:row r="748" ht="23" customHeight="1">
      <x:c r="A748" s="7" t="str">
        <x:v>INV00743</x:v>
      </x:c>
      <x:c r="B748" s="15" t="d">
        <x:v>2026-06-15T00:00:00.000Z</x:v>
      </x:c>
      <x:c r="C748" s="14" t="d">
        <x:v>2026-06-01T00:00:00.000Z</x:v>
      </x:c>
      <x:c r="D748" s="34" t="str">
        <x:v>0008</x:v>
      </x:c>
      <x:c r="E748" s="7" t="str">
        <x:v>Central</x:v>
      </x:c>
      <x:c r="F748" s="7" t="n">
        <x:v>7</x:v>
      </x:c>
      <x:c r="G748" s="7" t="n">
        <x:v>300</x:v>
      </x:c>
      <x:c r="H748" s="9" t="n">
        <x:v>0.05</x:v>
      </x:c>
      <x:c r="I748" s="7" t="n">
        <x:v>1995</x:v>
      </x:c>
    </x:row>
    <x:row r="749" ht="23" customHeight="1">
      <x:c r="A749" s="7" t="str">
        <x:v>INV00744</x:v>
      </x:c>
      <x:c r="B749" s="15" t="d">
        <x:v>2026-06-16T00:00:00.000Z</x:v>
      </x:c>
      <x:c r="C749" s="14" t="d">
        <x:v>2026-06-01T00:00:00.000Z</x:v>
      </x:c>
      <x:c r="D749" s="34" t="str">
        <x:v>0001</x:v>
      </x:c>
      <x:c r="E749" s="7" t="str">
        <x:v>East</x:v>
      </x:c>
      <x:c r="F749" s="7" t="n">
        <x:v>5</x:v>
      </x:c>
      <x:c r="G749" s="7" t="n">
        <x:v>160</x:v>
      </x:c>
      <x:c r="H749" s="9" t="n">
        <x:v>0</x:v>
      </x:c>
      <x:c r="I749" s="7" t="n">
        <x:v>800</x:v>
      </x:c>
    </x:row>
    <x:row r="750" ht="23" customHeight="1">
      <x:c r="A750" s="7" t="str">
        <x:v>INV00745</x:v>
      </x:c>
      <x:c r="B750" s="15" t="d">
        <x:v>2026-06-17T00:00:00.000Z</x:v>
      </x:c>
      <x:c r="C750" s="14" t="d">
        <x:v>2026-06-01T00:00:00.000Z</x:v>
      </x:c>
      <x:c r="D750" s="34" t="str">
        <x:v>0002</x:v>
      </x:c>
      <x:c r="E750" s="7" t="str">
        <x:v>East</x:v>
      </x:c>
      <x:c r="F750" s="7" t="n">
        <x:v>3</x:v>
      </x:c>
      <x:c r="G750" s="7" t="n">
        <x:v>180</x:v>
      </x:c>
      <x:c r="H750" s="9" t="n">
        <x:v>0.02</x:v>
      </x:c>
      <x:c r="I750" s="7" t="n">
        <x:v>529.2</x:v>
      </x:c>
    </x:row>
    <x:row r="751" ht="23" customHeight="1">
      <x:c r="A751" s="7" t="str">
        <x:v>INV00746</x:v>
      </x:c>
      <x:c r="B751" s="15" t="d">
        <x:v>2026-06-18T00:00:00.000Z</x:v>
      </x:c>
      <x:c r="C751" s="14" t="d">
        <x:v>2026-06-01T00:00:00.000Z</x:v>
      </x:c>
      <x:c r="D751" s="34" t="str">
        <x:v>0003</x:v>
      </x:c>
      <x:c r="E751" s="7" t="str">
        <x:v>East</x:v>
      </x:c>
      <x:c r="F751" s="7" t="n">
        <x:v>7</x:v>
      </x:c>
      <x:c r="G751" s="7" t="n">
        <x:v>200</x:v>
      </x:c>
      <x:c r="H751" s="9" t="n">
        <x:v>0.05</x:v>
      </x:c>
      <x:c r="I751" s="7" t="n">
        <x:v>1330</x:v>
      </x:c>
    </x:row>
    <x:row r="752" ht="23" customHeight="1">
      <x:c r="A752" s="7" t="str">
        <x:v>INV00747</x:v>
      </x:c>
      <x:c r="B752" s="15" t="d">
        <x:v>2026-06-19T00:00:00.000Z</x:v>
      </x:c>
      <x:c r="C752" s="14" t="d">
        <x:v>2026-06-01T00:00:00.000Z</x:v>
      </x:c>
      <x:c r="D752" s="34" t="str">
        <x:v>0004</x:v>
      </x:c>
      <x:c r="E752" s="7" t="str">
        <x:v>East</x:v>
      </x:c>
      <x:c r="F752" s="7" t="n">
        <x:v>2</x:v>
      </x:c>
      <x:c r="G752" s="7" t="n">
        <x:v>220</x:v>
      </x:c>
      <x:c r="H752" s="9" t="n">
        <x:v>0</x:v>
      </x:c>
      <x:c r="I752" s="7" t="n">
        <x:v>440</x:v>
      </x:c>
    </x:row>
    <x:row r="753" ht="23" customHeight="1">
      <x:c r="A753" s="7" t="str">
        <x:v>INV00748</x:v>
      </x:c>
      <x:c r="B753" s="15" t="d">
        <x:v>2026-06-20T00:00:00.000Z</x:v>
      </x:c>
      <x:c r="C753" s="14" t="d">
        <x:v>2026-06-01T00:00:00.000Z</x:v>
      </x:c>
      <x:c r="D753" s="34" t="str">
        <x:v>0005</x:v>
      </x:c>
      <x:c r="E753" s="7" t="str">
        <x:v>East</x:v>
      </x:c>
      <x:c r="F753" s="7" t="n">
        <x:v>1</x:v>
      </x:c>
      <x:c r="G753" s="7" t="n">
        <x:v>240</x:v>
      </x:c>
      <x:c r="H753" s="9" t="n">
        <x:v>0.02</x:v>
      </x:c>
      <x:c r="I753" s="7" t="n">
        <x:v>235.2</x:v>
      </x:c>
    </x:row>
    <x:row r="754" ht="23" customHeight="1">
      <x:c r="A754" s="7" t="str">
        <x:v>INV00749</x:v>
      </x:c>
      <x:c r="B754" s="15" t="d">
        <x:v>2026-06-21T00:00:00.000Z</x:v>
      </x:c>
      <x:c r="C754" s="14" t="d">
        <x:v>2026-06-01T00:00:00.000Z</x:v>
      </x:c>
      <x:c r="D754" s="34" t="str">
        <x:v>0006</x:v>
      </x:c>
      <x:c r="E754" s="7" t="str">
        <x:v>East</x:v>
      </x:c>
      <x:c r="F754" s="7" t="n">
        <x:v>5</x:v>
      </x:c>
      <x:c r="G754" s="7" t="n">
        <x:v>260</x:v>
      </x:c>
      <x:c r="H754" s="9" t="n">
        <x:v>0.05</x:v>
      </x:c>
      <x:c r="I754" s="7" t="n">
        <x:v>1235</x:v>
      </x:c>
    </x:row>
    <x:row r="755" ht="23" customHeight="1">
      <x:c r="A755" s="7" t="str">
        <x:v>INV00750</x:v>
      </x:c>
      <x:c r="B755" s="15" t="d">
        <x:v>2026-06-22T00:00:00.000Z</x:v>
      </x:c>
      <x:c r="C755" s="14" t="d">
        <x:v>2026-06-01T00:00:00.000Z</x:v>
      </x:c>
      <x:c r="D755" s="34" t="str">
        <x:v>0007</x:v>
      </x:c>
      <x:c r="E755" s="7" t="str">
        <x:v>East</x:v>
      </x:c>
      <x:c r="F755" s="7" t="n">
        <x:v>1</x:v>
      </x:c>
      <x:c r="G755" s="7" t="n">
        <x:v>280</x:v>
      </x:c>
      <x:c r="H755" s="9" t="n">
        <x:v>0</x:v>
      </x:c>
      <x:c r="I755" s="7" t="n">
        <x:v>280</x:v>
      </x:c>
    </x:row>
    <x:row r="756" ht="23" customHeight="1">
      <x:c r="A756" s="7" t="str">
        <x:v>INV00751</x:v>
      </x:c>
      <x:c r="B756" s="15" t="d">
        <x:v>2026-06-23T00:00:00.000Z</x:v>
      </x:c>
      <x:c r="C756" s="14" t="d">
        <x:v>2026-06-01T00:00:00.000Z</x:v>
      </x:c>
      <x:c r="D756" s="34" t="str">
        <x:v>0008</x:v>
      </x:c>
      <x:c r="E756" s="7" t="str">
        <x:v>East</x:v>
      </x:c>
      <x:c r="F756" s="7" t="n">
        <x:v>7</x:v>
      </x:c>
      <x:c r="G756" s="7" t="n">
        <x:v>300</x:v>
      </x:c>
      <x:c r="H756" s="9" t="n">
        <x:v>0.02</x:v>
      </x:c>
      <x:c r="I756" s="7" t="n">
        <x:v>2058</x:v>
      </x:c>
    </x:row>
    <x:row r="757" ht="23" customHeight="1">
      <x:c r="A757" s="7" t="str">
        <x:v>INV00752</x:v>
      </x:c>
      <x:c r="B757" s="15" t="d">
        <x:v>2026-06-24T00:00:00.000Z</x:v>
      </x:c>
      <x:c r="C757" s="14" t="d">
        <x:v>2026-06-01T00:00:00.000Z</x:v>
      </x:c>
      <x:c r="D757" s="34" t="str">
        <x:v>0001</x:v>
      </x:c>
      <x:c r="E757" s="7" t="str">
        <x:v>West</x:v>
      </x:c>
      <x:c r="F757" s="7" t="n">
        <x:v>3</x:v>
      </x:c>
      <x:c r="G757" s="7" t="n">
        <x:v>160</x:v>
      </x:c>
      <x:c r="H757" s="9" t="n">
        <x:v>0.05</x:v>
      </x:c>
      <x:c r="I757" s="7" t="n">
        <x:v>456</x:v>
      </x:c>
    </x:row>
    <x:row r="758" ht="23" customHeight="1">
      <x:c r="A758" s="7" t="str">
        <x:v>INV00753</x:v>
      </x:c>
      <x:c r="B758" s="15" t="d">
        <x:v>2026-06-25T00:00:00.000Z</x:v>
      </x:c>
      <x:c r="C758" s="14" t="d">
        <x:v>2026-06-01T00:00:00.000Z</x:v>
      </x:c>
      <x:c r="D758" s="34" t="str">
        <x:v>0002</x:v>
      </x:c>
      <x:c r="E758" s="7" t="str">
        <x:v>West</x:v>
      </x:c>
      <x:c r="F758" s="7" t="n">
        <x:v>7</x:v>
      </x:c>
      <x:c r="G758" s="7" t="n">
        <x:v>180</x:v>
      </x:c>
      <x:c r="H758" s="9" t="n">
        <x:v>0</x:v>
      </x:c>
      <x:c r="I758" s="7" t="n">
        <x:v>1260</x:v>
      </x:c>
    </x:row>
    <x:row r="759" ht="23" customHeight="1">
      <x:c r="A759" s="7" t="str">
        <x:v>INV00754</x:v>
      </x:c>
      <x:c r="B759" s="15" t="d">
        <x:v>2026-06-26T00:00:00.000Z</x:v>
      </x:c>
      <x:c r="C759" s="14" t="d">
        <x:v>2026-06-01T00:00:00.000Z</x:v>
      </x:c>
      <x:c r="D759" s="34" t="str">
        <x:v>0003</x:v>
      </x:c>
      <x:c r="E759" s="7" t="str">
        <x:v>West</x:v>
      </x:c>
      <x:c r="F759" s="7" t="n">
        <x:v>4</x:v>
      </x:c>
      <x:c r="G759" s="7" t="n">
        <x:v>200</x:v>
      </x:c>
      <x:c r="H759" s="9" t="n">
        <x:v>0.02</x:v>
      </x:c>
      <x:c r="I759" s="7" t="n">
        <x:v>784</x:v>
      </x:c>
    </x:row>
    <x:row r="760" ht="23" customHeight="1">
      <x:c r="A760" s="7" t="str">
        <x:v>INV00755</x:v>
      </x:c>
      <x:c r="B760" s="15" t="d">
        <x:v>2026-06-27T00:00:00.000Z</x:v>
      </x:c>
      <x:c r="C760" s="14" t="d">
        <x:v>2026-06-01T00:00:00.000Z</x:v>
      </x:c>
      <x:c r="D760" s="34" t="str">
        <x:v>0004</x:v>
      </x:c>
      <x:c r="E760" s="7" t="str">
        <x:v>West</x:v>
      </x:c>
      <x:c r="F760" s="7" t="n">
        <x:v>2</x:v>
      </x:c>
      <x:c r="G760" s="7" t="n">
        <x:v>220</x:v>
      </x:c>
      <x:c r="H760" s="9" t="n">
        <x:v>0.05</x:v>
      </x:c>
      <x:c r="I760" s="7" t="n">
        <x:v>418</x:v>
      </x:c>
    </x:row>
    <x:row r="761" ht="23" customHeight="1">
      <x:c r="A761" s="7" t="str">
        <x:v>INV00756</x:v>
      </x:c>
      <x:c r="B761" s="15" t="d">
        <x:v>2026-06-01T00:00:00.000Z</x:v>
      </x:c>
      <x:c r="C761" s="14" t="d">
        <x:v>2026-06-01T00:00:00.000Z</x:v>
      </x:c>
      <x:c r="D761" s="34" t="str">
        <x:v>0005</x:v>
      </x:c>
      <x:c r="E761" s="7" t="str">
        <x:v>West</x:v>
      </x:c>
      <x:c r="F761" s="7" t="n">
        <x:v>5</x:v>
      </x:c>
      <x:c r="G761" s="7" t="n">
        <x:v>240</x:v>
      </x:c>
      <x:c r="H761" s="9" t="n">
        <x:v>0</x:v>
      </x:c>
      <x:c r="I761" s="7" t="n">
        <x:v>1200</x:v>
      </x:c>
    </x:row>
    <x:row r="762" ht="23" customHeight="1">
      <x:c r="A762" s="7" t="str">
        <x:v>INV00757</x:v>
      </x:c>
      <x:c r="B762" s="15" t="d">
        <x:v>2026-06-02T00:00:00.000Z</x:v>
      </x:c>
      <x:c r="C762" s="14" t="d">
        <x:v>2026-06-01T00:00:00.000Z</x:v>
      </x:c>
      <x:c r="D762" s="34" t="str">
        <x:v>0006</x:v>
      </x:c>
      <x:c r="E762" s="7" t="str">
        <x:v>West</x:v>
      </x:c>
      <x:c r="F762" s="7" t="n">
        <x:v>3</x:v>
      </x:c>
      <x:c r="G762" s="7" t="n">
        <x:v>260</x:v>
      </x:c>
      <x:c r="H762" s="9" t="n">
        <x:v>0.02</x:v>
      </x:c>
      <x:c r="I762" s="7" t="n">
        <x:v>764.4</x:v>
      </x:c>
    </x:row>
    <x:row r="763" ht="23" customHeight="1">
      <x:c r="A763" s="7" t="str">
        <x:v>INV00758</x:v>
      </x:c>
      <x:c r="B763" s="15" t="d">
        <x:v>2026-06-03T00:00:00.000Z</x:v>
      </x:c>
      <x:c r="C763" s="14" t="d">
        <x:v>2026-06-01T00:00:00.000Z</x:v>
      </x:c>
      <x:c r="D763" s="34" t="str">
        <x:v>0007</x:v>
      </x:c>
      <x:c r="E763" s="7" t="str">
        <x:v>West</x:v>
      </x:c>
      <x:c r="F763" s="7" t="n">
        <x:v>2</x:v>
      </x:c>
      <x:c r="G763" s="7" t="n">
        <x:v>280</x:v>
      </x:c>
      <x:c r="H763" s="9" t="n">
        <x:v>0.05</x:v>
      </x:c>
      <x:c r="I763" s="7" t="n">
        <x:v>532</x:v>
      </x:c>
    </x:row>
    <x:row r="764" ht="23" customHeight="1">
      <x:c r="A764" s="7" t="str">
        <x:v>INV00759</x:v>
      </x:c>
      <x:c r="B764" s="15" t="d">
        <x:v>2026-06-04T00:00:00.000Z</x:v>
      </x:c>
      <x:c r="C764" s="14" t="d">
        <x:v>2026-06-01T00:00:00.000Z</x:v>
      </x:c>
      <x:c r="D764" s="34" t="str">
        <x:v>0008</x:v>
      </x:c>
      <x:c r="E764" s="7" t="str">
        <x:v>West</x:v>
      </x:c>
      <x:c r="F764" s="7" t="n">
        <x:v>2</x:v>
      </x:c>
      <x:c r="G764" s="7" t="n">
        <x:v>300</x:v>
      </x:c>
      <x:c r="H764" s="9" t="n">
        <x:v>0</x:v>
      </x:c>
      <x:c r="I764" s="7" t="n">
        <x:v>600</x:v>
      </x:c>
    </x:row>
    <x:row r="765" ht="23" customHeight="1">
      <x:c r="A765" s="7" t="str">
        <x:v>INV00760</x:v>
      </x:c>
      <x:c r="B765" s="15" t="d">
        <x:v>2026-06-05T00:00:00.000Z</x:v>
      </x:c>
      <x:c r="C765" s="14" t="d">
        <x:v>2026-06-01T00:00:00.000Z</x:v>
      </x:c>
      <x:c r="D765" s="34" t="str">
        <x:v>0001</x:v>
      </x:c>
      <x:c r="E765" s="7" t="str">
        <x:v>North</x:v>
      </x:c>
      <x:c r="F765" s="7" t="n">
        <x:v>2</x:v>
      </x:c>
      <x:c r="G765" s="7" t="n">
        <x:v>160</x:v>
      </x:c>
      <x:c r="H765" s="9" t="n">
        <x:v>0.02</x:v>
      </x:c>
      <x:c r="I765" s="7" t="n">
        <x:v>313.6</x:v>
      </x:c>
    </x:row>
    <x:row r="766" ht="23" customHeight="1">
      <x:c r="A766" s="7" t="str">
        <x:v>INV00761</x:v>
      </x:c>
      <x:c r="B766" s="15" t="d">
        <x:v>2026-06-06T00:00:00.000Z</x:v>
      </x:c>
      <x:c r="C766" s="14" t="d">
        <x:v>2026-06-01T00:00:00.000Z</x:v>
      </x:c>
      <x:c r="D766" s="34" t="str">
        <x:v>0002</x:v>
      </x:c>
      <x:c r="E766" s="7" t="str">
        <x:v>North</x:v>
      </x:c>
      <x:c r="F766" s="7" t="n">
        <x:v>1</x:v>
      </x:c>
      <x:c r="G766" s="7" t="n">
        <x:v>180</x:v>
      </x:c>
      <x:c r="H766" s="9" t="n">
        <x:v>0.05</x:v>
      </x:c>
      <x:c r="I766" s="7" t="n">
        <x:v>171</x:v>
      </x:c>
    </x:row>
    <x:row r="767" ht="23" customHeight="1">
      <x:c r="A767" s="7" t="str">
        <x:v>INV00762</x:v>
      </x:c>
      <x:c r="B767" s="15" t="d">
        <x:v>2026-06-07T00:00:00.000Z</x:v>
      </x:c>
      <x:c r="C767" s="14" t="d">
        <x:v>2026-06-01T00:00:00.000Z</x:v>
      </x:c>
      <x:c r="D767" s="34" t="str">
        <x:v>0003</x:v>
      </x:c>
      <x:c r="E767" s="7" t="str">
        <x:v>North</x:v>
      </x:c>
      <x:c r="F767" s="7" t="n">
        <x:v>4</x:v>
      </x:c>
      <x:c r="G767" s="7" t="n">
        <x:v>200</x:v>
      </x:c>
      <x:c r="H767" s="9" t="n">
        <x:v>0</x:v>
      </x:c>
      <x:c r="I767" s="7" t="n">
        <x:v>800</x:v>
      </x:c>
    </x:row>
    <x:row r="768" ht="23" customHeight="1">
      <x:c r="A768" s="7" t="str">
        <x:v>INV00763</x:v>
      </x:c>
      <x:c r="B768" s="15" t="d">
        <x:v>2026-06-08T00:00:00.000Z</x:v>
      </x:c>
      <x:c r="C768" s="14" t="d">
        <x:v>2026-06-01T00:00:00.000Z</x:v>
      </x:c>
      <x:c r="D768" s="34" t="str">
        <x:v>0004</x:v>
      </x:c>
      <x:c r="E768" s="7" t="str">
        <x:v>North</x:v>
      </x:c>
      <x:c r="F768" s="7" t="n">
        <x:v>5</x:v>
      </x:c>
      <x:c r="G768" s="7" t="n">
        <x:v>220</x:v>
      </x:c>
      <x:c r="H768" s="9" t="n">
        <x:v>0.02</x:v>
      </x:c>
      <x:c r="I768" s="7" t="n">
        <x:v>1078</x:v>
      </x:c>
    </x:row>
    <x:row r="769" ht="23" customHeight="1">
      <x:c r="A769" s="7" t="str">
        <x:v>INV00764</x:v>
      </x:c>
      <x:c r="B769" s="15" t="d">
        <x:v>2026-06-09T00:00:00.000Z</x:v>
      </x:c>
      <x:c r="C769" s="14" t="d">
        <x:v>2026-06-01T00:00:00.000Z</x:v>
      </x:c>
      <x:c r="D769" s="34" t="str">
        <x:v>0005</x:v>
      </x:c>
      <x:c r="E769" s="7" t="str">
        <x:v>North</x:v>
      </x:c>
      <x:c r="F769" s="7" t="n">
        <x:v>3</x:v>
      </x:c>
      <x:c r="G769" s="7" t="n">
        <x:v>240</x:v>
      </x:c>
      <x:c r="H769" s="9" t="n">
        <x:v>0.05</x:v>
      </x:c>
      <x:c r="I769" s="7" t="n">
        <x:v>684</x:v>
      </x:c>
    </x:row>
    <x:row r="770" ht="23" customHeight="1">
      <x:c r="A770" s="7" t="str">
        <x:v>INV00765</x:v>
      </x:c>
      <x:c r="B770" s="15" t="d">
        <x:v>2026-06-10T00:00:00.000Z</x:v>
      </x:c>
      <x:c r="C770" s="14" t="d">
        <x:v>2026-06-01T00:00:00.000Z</x:v>
      </x:c>
      <x:c r="D770" s="34" t="str">
        <x:v>0006</x:v>
      </x:c>
      <x:c r="E770" s="7" t="str">
        <x:v>North</x:v>
      </x:c>
      <x:c r="F770" s="7" t="n">
        <x:v>7</x:v>
      </x:c>
      <x:c r="G770" s="7" t="n">
        <x:v>260</x:v>
      </x:c>
      <x:c r="H770" s="9" t="n">
        <x:v>0</x:v>
      </x:c>
      <x:c r="I770" s="7" t="n">
        <x:v>1820</x:v>
      </x:c>
    </x:row>
    <x:row r="771" ht="23" customHeight="1">
      <x:c r="A771" s="7" t="str">
        <x:v>INV00766</x:v>
      </x:c>
      <x:c r="B771" s="15" t="d">
        <x:v>2026-06-11T00:00:00.000Z</x:v>
      </x:c>
      <x:c r="C771" s="14" t="d">
        <x:v>2026-06-01T00:00:00.000Z</x:v>
      </x:c>
      <x:c r="D771" s="34" t="str">
        <x:v>0007</x:v>
      </x:c>
      <x:c r="E771" s="7" t="str">
        <x:v>North</x:v>
      </x:c>
      <x:c r="F771" s="7" t="n">
        <x:v>2</x:v>
      </x:c>
      <x:c r="G771" s="7" t="n">
        <x:v>280</x:v>
      </x:c>
      <x:c r="H771" s="9" t="n">
        <x:v>0.02</x:v>
      </x:c>
      <x:c r="I771" s="7" t="n">
        <x:v>548.8</x:v>
      </x:c>
    </x:row>
    <x:row r="772" ht="23" customHeight="1">
      <x:c r="A772" s="7" t="str">
        <x:v>INV00767</x:v>
      </x:c>
      <x:c r="B772" s="15" t="d">
        <x:v>2026-06-12T00:00:00.000Z</x:v>
      </x:c>
      <x:c r="C772" s="14" t="d">
        <x:v>2026-06-01T00:00:00.000Z</x:v>
      </x:c>
      <x:c r="D772" s="34" t="str">
        <x:v>0008</x:v>
      </x:c>
      <x:c r="E772" s="7" t="str">
        <x:v>North</x:v>
      </x:c>
      <x:c r="F772" s="7" t="n">
        <x:v>5</x:v>
      </x:c>
      <x:c r="G772" s="7" t="n">
        <x:v>300</x:v>
      </x:c>
      <x:c r="H772" s="9" t="n">
        <x:v>0.05</x:v>
      </x:c>
      <x:c r="I772" s="7" t="n">
        <x:v>1425</x:v>
      </x:c>
    </x:row>
    <x:row r="773" ht="23" customHeight="1">
      <x:c r="A773" s="7" t="str">
        <x:v>INV00768</x:v>
      </x:c>
      <x:c r="B773" s="15" t="d">
        <x:v>2026-01-13T00:00:00.000Z</x:v>
      </x:c>
      <x:c r="C773" s="14" t="d">
        <x:v>2026-01-01T00:00:00.000Z</x:v>
      </x:c>
      <x:c r="D773" s="34" t="str">
        <x:v>0001</x:v>
      </x:c>
      <x:c r="E773" s="7" t="str">
        <x:v>Central</x:v>
      </x:c>
      <x:c r="F773" s="7" t="n">
        <x:v>3</x:v>
      </x:c>
      <x:c r="G773" s="7" t="n">
        <x:v>160</x:v>
      </x:c>
      <x:c r="H773" s="9" t="n">
        <x:v>0</x:v>
      </x:c>
      <x:c r="I773" s="7" t="n">
        <x:v>480</x:v>
      </x:c>
    </x:row>
    <x:row r="774" ht="23" customHeight="1">
      <x:c r="A774" s="7" t="str">
        <x:v>INV00769</x:v>
      </x:c>
      <x:c r="B774" s="15" t="d">
        <x:v>2026-01-14T00:00:00.000Z</x:v>
      </x:c>
      <x:c r="C774" s="14" t="d">
        <x:v>2026-01-01T00:00:00.000Z</x:v>
      </x:c>
      <x:c r="D774" s="34" t="str">
        <x:v>0002</x:v>
      </x:c>
      <x:c r="E774" s="7" t="str">
        <x:v>Central</x:v>
      </x:c>
      <x:c r="F774" s="7" t="n">
        <x:v>3</x:v>
      </x:c>
      <x:c r="G774" s="7" t="n">
        <x:v>180</x:v>
      </x:c>
      <x:c r="H774" s="9" t="n">
        <x:v>0.02</x:v>
      </x:c>
      <x:c r="I774" s="7" t="n">
        <x:v>529.2</x:v>
      </x:c>
    </x:row>
    <x:row r="775" ht="23" customHeight="1">
      <x:c r="A775" s="7" t="str">
        <x:v>INV00770</x:v>
      </x:c>
      <x:c r="B775" s="15" t="d">
        <x:v>2026-01-15T00:00:00.000Z</x:v>
      </x:c>
      <x:c r="C775" s="14" t="d">
        <x:v>2026-01-01T00:00:00.000Z</x:v>
      </x:c>
      <x:c r="D775" s="34" t="str">
        <x:v>0003</x:v>
      </x:c>
      <x:c r="E775" s="7" t="str">
        <x:v>Central</x:v>
      </x:c>
      <x:c r="F775" s="7" t="n">
        <x:v>1</x:v>
      </x:c>
      <x:c r="G775" s="7" t="n">
        <x:v>200</x:v>
      </x:c>
      <x:c r="H775" s="9" t="n">
        <x:v>0.05</x:v>
      </x:c>
      <x:c r="I775" s="7" t="n">
        <x:v>190</x:v>
      </x:c>
    </x:row>
    <x:row r="776" ht="23" customHeight="1">
      <x:c r="A776" s="7" t="str">
        <x:v>INV00771</x:v>
      </x:c>
      <x:c r="B776" s="15" t="d">
        <x:v>2026-01-16T00:00:00.000Z</x:v>
      </x:c>
      <x:c r="C776" s="14" t="d">
        <x:v>2026-01-01T00:00:00.000Z</x:v>
      </x:c>
      <x:c r="D776" s="34" t="str">
        <x:v>0004</x:v>
      </x:c>
      <x:c r="E776" s="7" t="str">
        <x:v>Central</x:v>
      </x:c>
      <x:c r="F776" s="7" t="n">
        <x:v>1</x:v>
      </x:c>
      <x:c r="G776" s="7" t="n">
        <x:v>220</x:v>
      </x:c>
      <x:c r="H776" s="9" t="n">
        <x:v>0</x:v>
      </x:c>
      <x:c r="I776" s="7" t="n">
        <x:v>220</x:v>
      </x:c>
    </x:row>
    <x:row r="777" ht="23" customHeight="1">
      <x:c r="A777" s="7" t="str">
        <x:v>INV00772</x:v>
      </x:c>
      <x:c r="B777" s="15" t="d">
        <x:v>2026-01-17T00:00:00.000Z</x:v>
      </x:c>
      <x:c r="C777" s="14" t="d">
        <x:v>2026-01-01T00:00:00.000Z</x:v>
      </x:c>
      <x:c r="D777" s="34" t="str">
        <x:v>0005</x:v>
      </x:c>
      <x:c r="E777" s="7" t="str">
        <x:v>Central</x:v>
      </x:c>
      <x:c r="F777" s="7" t="n">
        <x:v>2</x:v>
      </x:c>
      <x:c r="G777" s="7" t="n">
        <x:v>240</x:v>
      </x:c>
      <x:c r="H777" s="9" t="n">
        <x:v>0.02</x:v>
      </x:c>
      <x:c r="I777" s="7" t="n">
        <x:v>470.4</x:v>
      </x:c>
    </x:row>
    <x:row r="778" ht="23" customHeight="1">
      <x:c r="A778" s="7" t="str">
        <x:v>INV00773</x:v>
      </x:c>
      <x:c r="B778" s="15" t="d">
        <x:v>2026-01-18T00:00:00.000Z</x:v>
      </x:c>
      <x:c r="C778" s="14" t="d">
        <x:v>2026-01-01T00:00:00.000Z</x:v>
      </x:c>
      <x:c r="D778" s="34" t="str">
        <x:v>0006</x:v>
      </x:c>
      <x:c r="E778" s="7" t="str">
        <x:v>Central</x:v>
      </x:c>
      <x:c r="F778" s="7" t="n">
        <x:v>6</x:v>
      </x:c>
      <x:c r="G778" s="7" t="n">
        <x:v>260</x:v>
      </x:c>
      <x:c r="H778" s="9" t="n">
        <x:v>0.05</x:v>
      </x:c>
      <x:c r="I778" s="7" t="n">
        <x:v>1482</x:v>
      </x:c>
    </x:row>
    <x:row r="779" ht="23" customHeight="1">
      <x:c r="A779" s="7" t="str">
        <x:v>INV00774</x:v>
      </x:c>
      <x:c r="B779" s="15" t="d">
        <x:v>2026-01-19T00:00:00.000Z</x:v>
      </x:c>
      <x:c r="C779" s="14" t="d">
        <x:v>2026-01-01T00:00:00.000Z</x:v>
      </x:c>
      <x:c r="D779" s="34" t="str">
        <x:v>0007</x:v>
      </x:c>
      <x:c r="E779" s="7" t="str">
        <x:v>Central</x:v>
      </x:c>
      <x:c r="F779" s="7" t="n">
        <x:v>3</x:v>
      </x:c>
      <x:c r="G779" s="7" t="n">
        <x:v>280</x:v>
      </x:c>
      <x:c r="H779" s="9" t="n">
        <x:v>0</x:v>
      </x:c>
      <x:c r="I779" s="7" t="n">
        <x:v>840</x:v>
      </x:c>
    </x:row>
    <x:row r="780" ht="23" customHeight="1">
      <x:c r="A780" s="7" t="str">
        <x:v>INV00775</x:v>
      </x:c>
      <x:c r="B780" s="15" t="d">
        <x:v>2026-01-20T00:00:00.000Z</x:v>
      </x:c>
      <x:c r="C780" s="14" t="d">
        <x:v>2026-01-01T00:00:00.000Z</x:v>
      </x:c>
      <x:c r="D780" s="34" t="str">
        <x:v>0008</x:v>
      </x:c>
      <x:c r="E780" s="7" t="str">
        <x:v>Central</x:v>
      </x:c>
      <x:c r="F780" s="7" t="n">
        <x:v>5</x:v>
      </x:c>
      <x:c r="G780" s="7" t="n">
        <x:v>300</x:v>
      </x:c>
      <x:c r="H780" s="9" t="n">
        <x:v>0.02</x:v>
      </x:c>
      <x:c r="I780" s="7" t="n">
        <x:v>1470</x:v>
      </x:c>
    </x:row>
    <x:row r="781" ht="23" customHeight="1">
      <x:c r="A781" s="7" t="str">
        <x:v>INV00776</x:v>
      </x:c>
      <x:c r="B781" s="15" t="d">
        <x:v>2026-01-21T00:00:00.000Z</x:v>
      </x:c>
      <x:c r="C781" s="14" t="d">
        <x:v>2026-01-01T00:00:00.000Z</x:v>
      </x:c>
      <x:c r="D781" s="34" t="str">
        <x:v>0001</x:v>
      </x:c>
      <x:c r="E781" s="7" t="str">
        <x:v>East</x:v>
      </x:c>
      <x:c r="F781" s="7" t="n">
        <x:v>7</x:v>
      </x:c>
      <x:c r="G781" s="7" t="n">
        <x:v>160</x:v>
      </x:c>
      <x:c r="H781" s="9" t="n">
        <x:v>0.05</x:v>
      </x:c>
      <x:c r="I781" s="7" t="n">
        <x:v>1064</x:v>
      </x:c>
    </x:row>
    <x:row r="782" ht="23" customHeight="1">
      <x:c r="A782" s="7" t="str">
        <x:v>INV00777</x:v>
      </x:c>
      <x:c r="B782" s="15" t="d">
        <x:v>2026-01-22T00:00:00.000Z</x:v>
      </x:c>
      <x:c r="C782" s="14" t="d">
        <x:v>2026-01-01T00:00:00.000Z</x:v>
      </x:c>
      <x:c r="D782" s="34" t="str">
        <x:v>0002</x:v>
      </x:c>
      <x:c r="E782" s="7" t="str">
        <x:v>East</x:v>
      </x:c>
      <x:c r="F782" s="7" t="n">
        <x:v>1</x:v>
      </x:c>
      <x:c r="G782" s="7" t="n">
        <x:v>180</x:v>
      </x:c>
      <x:c r="H782" s="9" t="n">
        <x:v>0</x:v>
      </x:c>
      <x:c r="I782" s="7" t="n">
        <x:v>180</x:v>
      </x:c>
    </x:row>
    <x:row r="783" ht="23" customHeight="1">
      <x:c r="A783" s="7" t="str">
        <x:v>INV00778</x:v>
      </x:c>
      <x:c r="B783" s="15" t="d">
        <x:v>2026-01-23T00:00:00.000Z</x:v>
      </x:c>
      <x:c r="C783" s="14" t="d">
        <x:v>2026-01-01T00:00:00.000Z</x:v>
      </x:c>
      <x:c r="D783" s="34" t="str">
        <x:v>0003</x:v>
      </x:c>
      <x:c r="E783" s="7" t="str">
        <x:v>East</x:v>
      </x:c>
      <x:c r="F783" s="7" t="n">
        <x:v>3</x:v>
      </x:c>
      <x:c r="G783" s="7" t="n">
        <x:v>200</x:v>
      </x:c>
      <x:c r="H783" s="9" t="n">
        <x:v>0.02</x:v>
      </x:c>
      <x:c r="I783" s="7" t="n">
        <x:v>588</x:v>
      </x:c>
    </x:row>
    <x:row r="784" ht="23" customHeight="1">
      <x:c r="A784" s="7" t="str">
        <x:v>INV00779</x:v>
      </x:c>
      <x:c r="B784" s="15" t="d">
        <x:v>2026-01-24T00:00:00.000Z</x:v>
      </x:c>
      <x:c r="C784" s="14" t="d">
        <x:v>2026-01-01T00:00:00.000Z</x:v>
      </x:c>
      <x:c r="D784" s="34" t="str">
        <x:v>0004</x:v>
      </x:c>
      <x:c r="E784" s="7" t="str">
        <x:v>East</x:v>
      </x:c>
      <x:c r="F784" s="7" t="n">
        <x:v>-2</x:v>
      </x:c>
      <x:c r="G784" s="7" t="n">
        <x:v>220</x:v>
      </x:c>
      <x:c r="H784" s="9" t="n">
        <x:v>0.05</x:v>
      </x:c>
      <x:c r="I784" s="7" t="n">
        <x:v>-418</x:v>
      </x:c>
    </x:row>
    <x:row r="785" ht="23" customHeight="1">
      <x:c r="A785" s="7" t="str">
        <x:v>INV00780</x:v>
      </x:c>
      <x:c r="B785" s="15" t="d">
        <x:v>2026-01-25T00:00:00.000Z</x:v>
      </x:c>
      <x:c r="C785" s="14" t="d">
        <x:v>2026-01-01T00:00:00.000Z</x:v>
      </x:c>
      <x:c r="D785" s="34" t="str">
        <x:v>0005</x:v>
      </x:c>
      <x:c r="E785" s="7" t="str">
        <x:v>East</x:v>
      </x:c>
      <x:c r="F785" s="7" t="n">
        <x:v>1</x:v>
      </x:c>
      <x:c r="G785" s="7" t="n">
        <x:v>240</x:v>
      </x:c>
      <x:c r="H785" s="9" t="n">
        <x:v>0</x:v>
      </x:c>
      <x:c r="I785" s="7" t="n">
        <x:v>240</x:v>
      </x:c>
    </x:row>
    <x:row r="786" ht="23" customHeight="1">
      <x:c r="A786" s="7" t="str">
        <x:v>INV00781</x:v>
      </x:c>
      <x:c r="B786" s="15" t="d">
        <x:v>2026-01-26T00:00:00.000Z</x:v>
      </x:c>
      <x:c r="C786" s="14" t="d">
        <x:v>2026-01-01T00:00:00.000Z</x:v>
      </x:c>
      <x:c r="D786" s="34" t="str">
        <x:v>0006</x:v>
      </x:c>
      <x:c r="E786" s="7" t="str">
        <x:v>East</x:v>
      </x:c>
      <x:c r="F786" s="7" t="n">
        <x:v>5</x:v>
      </x:c>
      <x:c r="G786" s="7" t="n">
        <x:v>260</x:v>
      </x:c>
      <x:c r="H786" s="9" t="n">
        <x:v>0.02</x:v>
      </x:c>
      <x:c r="I786" s="7" t="n">
        <x:v>1274</x:v>
      </x:c>
    </x:row>
    <x:row r="787" ht="23" customHeight="1">
      <x:c r="A787" s="7" t="str">
        <x:v>INV00782</x:v>
      </x:c>
      <x:c r="B787" s="15" t="d">
        <x:v>2026-01-27T00:00:00.000Z</x:v>
      </x:c>
      <x:c r="C787" s="14" t="d">
        <x:v>2026-01-01T00:00:00.000Z</x:v>
      </x:c>
      <x:c r="D787" s="34" t="str">
        <x:v>0007</x:v>
      </x:c>
      <x:c r="E787" s="7" t="str">
        <x:v>East</x:v>
      </x:c>
      <x:c r="F787" s="7" t="n">
        <x:v>7</x:v>
      </x:c>
      <x:c r="G787" s="7" t="n">
        <x:v>280</x:v>
      </x:c>
      <x:c r="H787" s="9" t="n">
        <x:v>0.05</x:v>
      </x:c>
      <x:c r="I787" s="7" t="n">
        <x:v>1862</x:v>
      </x:c>
    </x:row>
    <x:row r="788" ht="23" customHeight="1">
      <x:c r="A788" s="7" t="str">
        <x:v>INV00783</x:v>
      </x:c>
      <x:c r="B788" s="15" t="d">
        <x:v>2026-01-01T00:00:00.000Z</x:v>
      </x:c>
      <x:c r="C788" s="14" t="d">
        <x:v>2026-01-01T00:00:00.000Z</x:v>
      </x:c>
      <x:c r="D788" s="34" t="str">
        <x:v>0008</x:v>
      </x:c>
      <x:c r="E788" s="7" t="str">
        <x:v>East</x:v>
      </x:c>
      <x:c r="F788" s="7" t="n">
        <x:v>7</x:v>
      </x:c>
      <x:c r="G788" s="7" t="n">
        <x:v>300</x:v>
      </x:c>
      <x:c r="H788" s="9" t="n">
        <x:v>0</x:v>
      </x:c>
      <x:c r="I788" s="7" t="n">
        <x:v>2100</x:v>
      </x:c>
    </x:row>
    <x:row r="789" ht="23" customHeight="1">
      <x:c r="A789" s="7" t="str">
        <x:v>INV00784</x:v>
      </x:c>
      <x:c r="B789" s="15" t="d">
        <x:v>2026-01-02T00:00:00.000Z</x:v>
      </x:c>
      <x:c r="C789" s="14" t="d">
        <x:v>2026-01-01T00:00:00.000Z</x:v>
      </x:c>
      <x:c r="D789" s="34" t="str">
        <x:v>0001</x:v>
      </x:c>
      <x:c r="E789" s="7" t="str">
        <x:v>West</x:v>
      </x:c>
      <x:c r="F789" s="7" t="n">
        <x:v>2</x:v>
      </x:c>
      <x:c r="G789" s="7" t="n">
        <x:v>160</x:v>
      </x:c>
      <x:c r="H789" s="9" t="n">
        <x:v>0.02</x:v>
      </x:c>
      <x:c r="I789" s="7" t="n">
        <x:v>313.6</x:v>
      </x:c>
    </x:row>
    <x:row r="790" ht="23" customHeight="1">
      <x:c r="A790" s="7" t="str">
        <x:v>INV00785</x:v>
      </x:c>
      <x:c r="B790" s="15" t="d">
        <x:v>2026-01-03T00:00:00.000Z</x:v>
      </x:c>
      <x:c r="C790" s="14" t="d">
        <x:v>2026-01-01T00:00:00.000Z</x:v>
      </x:c>
      <x:c r="D790" s="34" t="str">
        <x:v>0002</x:v>
      </x:c>
      <x:c r="E790" s="7" t="str">
        <x:v>West</x:v>
      </x:c>
      <x:c r="F790" s="7" t="n">
        <x:v>7</x:v>
      </x:c>
      <x:c r="G790" s="7" t="n">
        <x:v>180</x:v>
      </x:c>
      <x:c r="H790" s="9" t="n">
        <x:v>0.05</x:v>
      </x:c>
      <x:c r="I790" s="7" t="n">
        <x:v>1197</x:v>
      </x:c>
    </x:row>
    <x:row r="791" ht="23" customHeight="1">
      <x:c r="A791" s="7" t="str">
        <x:v>INV00786</x:v>
      </x:c>
      <x:c r="B791" s="15" t="d">
        <x:v>2026-01-04T00:00:00.000Z</x:v>
      </x:c>
      <x:c r="C791" s="14" t="d">
        <x:v>2026-01-01T00:00:00.000Z</x:v>
      </x:c>
      <x:c r="D791" s="34" t="str">
        <x:v>0003</x:v>
      </x:c>
      <x:c r="E791" s="7" t="str">
        <x:v>West</x:v>
      </x:c>
      <x:c r="F791" s="7" t="n">
        <x:v>7</x:v>
      </x:c>
      <x:c r="G791" s="7" t="n">
        <x:v>200</x:v>
      </x:c>
      <x:c r="H791" s="9" t="n">
        <x:v>0</x:v>
      </x:c>
      <x:c r="I791" s="7" t="n">
        <x:v>1400</x:v>
      </x:c>
    </x:row>
    <x:row r="792" ht="23" customHeight="1">
      <x:c r="A792" s="7" t="str">
        <x:v>INV00787</x:v>
      </x:c>
      <x:c r="B792" s="15" t="d">
        <x:v>2026-01-05T00:00:00.000Z</x:v>
      </x:c>
      <x:c r="C792" s="14" t="d">
        <x:v>2026-01-01T00:00:00.000Z</x:v>
      </x:c>
      <x:c r="D792" s="34" t="str">
        <x:v>0004</x:v>
      </x:c>
      <x:c r="E792" s="7" t="str">
        <x:v>West</x:v>
      </x:c>
      <x:c r="F792" s="7" t="n">
        <x:v>7</x:v>
      </x:c>
      <x:c r="G792" s="7" t="n">
        <x:v>220</x:v>
      </x:c>
      <x:c r="H792" s="9" t="n">
        <x:v>0.02</x:v>
      </x:c>
      <x:c r="I792" s="7" t="n">
        <x:v>1509.2</x:v>
      </x:c>
    </x:row>
    <x:row r="793" ht="23" customHeight="1">
      <x:c r="A793" s="7" t="str">
        <x:v>INV00788</x:v>
      </x:c>
      <x:c r="B793" s="15" t="d">
        <x:v>2026-01-06T00:00:00.000Z</x:v>
      </x:c>
      <x:c r="C793" s="14" t="d">
        <x:v>2026-01-01T00:00:00.000Z</x:v>
      </x:c>
      <x:c r="D793" s="34" t="str">
        <x:v>0005</x:v>
      </x:c>
      <x:c r="E793" s="7" t="str">
        <x:v>West</x:v>
      </x:c>
      <x:c r="F793" s="7" t="n">
        <x:v>6</x:v>
      </x:c>
      <x:c r="G793" s="7" t="n">
        <x:v>240</x:v>
      </x:c>
      <x:c r="H793" s="9" t="n">
        <x:v>0.05</x:v>
      </x:c>
      <x:c r="I793" s="7" t="n">
        <x:v>1368</x:v>
      </x:c>
    </x:row>
    <x:row r="794" ht="23" customHeight="1">
      <x:c r="A794" s="7" t="str">
        <x:v>INV00789</x:v>
      </x:c>
      <x:c r="B794" s="15" t="d">
        <x:v>2026-01-07T00:00:00.000Z</x:v>
      </x:c>
      <x:c r="C794" s="14" t="d">
        <x:v>2026-01-01T00:00:00.000Z</x:v>
      </x:c>
      <x:c r="D794" s="34" t="str">
        <x:v>0006</x:v>
      </x:c>
      <x:c r="E794" s="7" t="str">
        <x:v>West</x:v>
      </x:c>
      <x:c r="F794" s="7" t="n">
        <x:v>6</x:v>
      </x:c>
      <x:c r="G794" s="7" t="n">
        <x:v>260</x:v>
      </x:c>
      <x:c r="H794" s="9" t="n">
        <x:v>0</x:v>
      </x:c>
      <x:c r="I794" s="7" t="n">
        <x:v>1560</x:v>
      </x:c>
    </x:row>
    <x:row r="795" ht="23" customHeight="1">
      <x:c r="A795" s="7" t="str">
        <x:v>INV00790</x:v>
      </x:c>
      <x:c r="B795" s="15" t="d">
        <x:v>2026-01-08T00:00:00.000Z</x:v>
      </x:c>
      <x:c r="C795" s="14" t="d">
        <x:v>2026-01-01T00:00:00.000Z</x:v>
      </x:c>
      <x:c r="D795" s="34" t="str">
        <x:v>0007</x:v>
      </x:c>
      <x:c r="E795" s="7" t="str">
        <x:v>West</x:v>
      </x:c>
      <x:c r="F795" s="7" t="n">
        <x:v>1</x:v>
      </x:c>
      <x:c r="G795" s="7" t="n">
        <x:v>280</x:v>
      </x:c>
      <x:c r="H795" s="9" t="n">
        <x:v>0.02</x:v>
      </x:c>
      <x:c r="I795" s="7" t="n">
        <x:v>274.4</x:v>
      </x:c>
    </x:row>
    <x:row r="796" ht="23" customHeight="1">
      <x:c r="A796" s="7" t="str">
        <x:v>INV00791</x:v>
      </x:c>
      <x:c r="B796" s="15" t="d">
        <x:v>2026-01-09T00:00:00.000Z</x:v>
      </x:c>
      <x:c r="C796" s="14" t="d">
        <x:v>2026-01-01T00:00:00.000Z</x:v>
      </x:c>
      <x:c r="D796" s="34" t="str">
        <x:v>0008</x:v>
      </x:c>
      <x:c r="E796" s="7" t="str">
        <x:v>West</x:v>
      </x:c>
      <x:c r="F796" s="7" t="n">
        <x:v>1</x:v>
      </x:c>
      <x:c r="G796" s="7" t="n">
        <x:v>300</x:v>
      </x:c>
      <x:c r="H796" s="9" t="n">
        <x:v>0.05</x:v>
      </x:c>
      <x:c r="I796" s="7" t="n">
        <x:v>285</x:v>
      </x:c>
    </x:row>
    <x:row r="797" ht="23" customHeight="1">
      <x:c r="A797" s="7" t="str">
        <x:v>INV00792</x:v>
      </x:c>
      <x:c r="B797" s="15" t="d">
        <x:v>2026-01-10T00:00:00.000Z</x:v>
      </x:c>
      <x:c r="C797" s="14" t="d">
        <x:v>2026-01-01T00:00:00.000Z</x:v>
      </x:c>
      <x:c r="D797" s="34" t="str">
        <x:v>0001</x:v>
      </x:c>
      <x:c r="E797" s="7" t="str">
        <x:v>North</x:v>
      </x:c>
      <x:c r="F797" s="7" t="n">
        <x:v>6</x:v>
      </x:c>
      <x:c r="G797" s="7" t="n">
        <x:v>160</x:v>
      </x:c>
      <x:c r="H797" s="9" t="n">
        <x:v>0</x:v>
      </x:c>
      <x:c r="I797" s="7" t="n">
        <x:v>960</x:v>
      </x:c>
    </x:row>
    <x:row r="798" ht="23" customHeight="1">
      <x:c r="A798" s="7" t="str">
        <x:v>INV00793</x:v>
      </x:c>
      <x:c r="B798" s="15" t="d">
        <x:v>2026-01-11T00:00:00.000Z</x:v>
      </x:c>
      <x:c r="C798" s="14" t="d">
        <x:v>2026-01-01T00:00:00.000Z</x:v>
      </x:c>
      <x:c r="D798" s="34" t="str">
        <x:v>0002</x:v>
      </x:c>
      <x:c r="E798" s="7" t="str">
        <x:v>North</x:v>
      </x:c>
      <x:c r="F798" s="7" t="n">
        <x:v>5</x:v>
      </x:c>
      <x:c r="G798" s="7" t="n">
        <x:v>180</x:v>
      </x:c>
      <x:c r="H798" s="9" t="n">
        <x:v>0.02</x:v>
      </x:c>
      <x:c r="I798" s="7" t="n">
        <x:v>882</x:v>
      </x:c>
    </x:row>
    <x:row r="799" ht="23" customHeight="1">
      <x:c r="A799" s="7" t="str">
        <x:v>INV00794</x:v>
      </x:c>
      <x:c r="B799" s="15" t="d">
        <x:v>2026-01-12T00:00:00.000Z</x:v>
      </x:c>
      <x:c r="C799" s="14" t="d">
        <x:v>2026-01-01T00:00:00.000Z</x:v>
      </x:c>
      <x:c r="D799" s="34" t="str">
        <x:v>0003</x:v>
      </x:c>
      <x:c r="E799" s="7" t="str">
        <x:v>North</x:v>
      </x:c>
      <x:c r="F799" s="7" t="n">
        <x:v>1</x:v>
      </x:c>
      <x:c r="G799" s="7" t="n">
        <x:v>200</x:v>
      </x:c>
      <x:c r="H799" s="9" t="n">
        <x:v>0.05</x:v>
      </x:c>
      <x:c r="I799" s="7" t="n">
        <x:v>190</x:v>
      </x:c>
    </x:row>
    <x:row r="800" ht="23" customHeight="1">
      <x:c r="A800" s="7" t="str">
        <x:v>INV00795</x:v>
      </x:c>
      <x:c r="B800" s="15" t="d">
        <x:v>2026-01-13T00:00:00.000Z</x:v>
      </x:c>
      <x:c r="C800" s="14" t="d">
        <x:v>2026-01-01T00:00:00.000Z</x:v>
      </x:c>
      <x:c r="D800" s="34" t="str">
        <x:v>0004</x:v>
      </x:c>
      <x:c r="E800" s="7" t="str">
        <x:v>North</x:v>
      </x:c>
      <x:c r="F800" s="7" t="n">
        <x:v>6</x:v>
      </x:c>
      <x:c r="G800" s="7" t="n">
        <x:v>220</x:v>
      </x:c>
      <x:c r="H800" s="9" t="n">
        <x:v>0</x:v>
      </x:c>
      <x:c r="I800" s="7" t="n">
        <x:v>1320</x:v>
      </x:c>
    </x:row>
    <x:row r="801" ht="23" customHeight="1">
      <x:c r="A801" s="7" t="str">
        <x:v>INV00796</x:v>
      </x:c>
      <x:c r="B801" s="15" t="d">
        <x:v>2026-01-14T00:00:00.000Z</x:v>
      </x:c>
      <x:c r="C801" s="14" t="d">
        <x:v>2026-01-01T00:00:00.000Z</x:v>
      </x:c>
      <x:c r="D801" s="34" t="str">
        <x:v>0005</x:v>
      </x:c>
      <x:c r="E801" s="7" t="str">
        <x:v>North</x:v>
      </x:c>
      <x:c r="F801" s="7" t="n">
        <x:v>4</x:v>
      </x:c>
      <x:c r="G801" s="7" t="n">
        <x:v>240</x:v>
      </x:c>
      <x:c r="H801" s="9" t="n">
        <x:v>0.02</x:v>
      </x:c>
      <x:c r="I801" s="7" t="n">
        <x:v>940.8</x:v>
      </x:c>
    </x:row>
    <x:row r="802" ht="23" customHeight="1">
      <x:c r="A802" s="7" t="str">
        <x:v>INV00797</x:v>
      </x:c>
      <x:c r="B802" s="15" t="d">
        <x:v>2026-01-15T00:00:00.000Z</x:v>
      </x:c>
      <x:c r="C802" s="14" t="d">
        <x:v>2026-01-01T00:00:00.000Z</x:v>
      </x:c>
      <x:c r="D802" s="34" t="str">
        <x:v>0006</x:v>
      </x:c>
      <x:c r="E802" s="7" t="str">
        <x:v>North</x:v>
      </x:c>
      <x:c r="F802" s="7" t="n">
        <x:v>5</x:v>
      </x:c>
      <x:c r="G802" s="7" t="n">
        <x:v>260</x:v>
      </x:c>
      <x:c r="H802" s="9" t="n">
        <x:v>0.05</x:v>
      </x:c>
      <x:c r="I802" s="7" t="n">
        <x:v>1235</x:v>
      </x:c>
    </x:row>
    <x:row r="803" ht="23" customHeight="1">
      <x:c r="A803" s="7" t="str">
        <x:v>INV00798</x:v>
      </x:c>
      <x:c r="B803" s="15" t="d">
        <x:v>2026-01-16T00:00:00.000Z</x:v>
      </x:c>
      <x:c r="C803" s="14" t="d">
        <x:v>2026-01-01T00:00:00.000Z</x:v>
      </x:c>
      <x:c r="D803" s="34" t="str">
        <x:v>0007</x:v>
      </x:c>
      <x:c r="E803" s="7" t="str">
        <x:v>North</x:v>
      </x:c>
      <x:c r="F803" s="7" t="n">
        <x:v>7</x:v>
      </x:c>
      <x:c r="G803" s="7" t="n">
        <x:v>280</x:v>
      </x:c>
      <x:c r="H803" s="9" t="n">
        <x:v>0</x:v>
      </x:c>
      <x:c r="I803" s="7" t="n">
        <x:v>1960</x:v>
      </x:c>
    </x:row>
    <x:row r="804" ht="23" customHeight="1">
      <x:c r="A804" s="7" t="str">
        <x:v>INV00799</x:v>
      </x:c>
      <x:c r="B804" s="15" t="d">
        <x:v>2026-01-17T00:00:00.000Z</x:v>
      </x:c>
      <x:c r="C804" s="14" t="d">
        <x:v>2026-01-01T00:00:00.000Z</x:v>
      </x:c>
      <x:c r="D804" s="34" t="str">
        <x:v>0008</x:v>
      </x:c>
      <x:c r="E804" s="7" t="str">
        <x:v>North</x:v>
      </x:c>
      <x:c r="F804" s="7" t="n">
        <x:v>1</x:v>
      </x:c>
      <x:c r="G804" s="7" t="n">
        <x:v>300</x:v>
      </x:c>
      <x:c r="H804" s="9" t="n">
        <x:v>0.02</x:v>
      </x:c>
      <x:c r="I804" s="7" t="n">
        <x:v>294</x:v>
      </x:c>
    </x:row>
    <x:row r="805" ht="23" customHeight="1">
      <x:c r="A805" s="7" t="str">
        <x:v>INV00800</x:v>
      </x:c>
      <x:c r="B805" s="15" t="d">
        <x:v>2026-02-18T00:00:00.000Z</x:v>
      </x:c>
      <x:c r="C805" s="14" t="d">
        <x:v>2026-02-01T00:00:00.000Z</x:v>
      </x:c>
      <x:c r="D805" s="34" t="str">
        <x:v>0001</x:v>
      </x:c>
      <x:c r="E805" s="7" t="str">
        <x:v>Central</x:v>
      </x:c>
      <x:c r="F805" s="7" t="n">
        <x:v>3</x:v>
      </x:c>
      <x:c r="G805" s="7" t="n">
        <x:v>160</x:v>
      </x:c>
      <x:c r="H805" s="9" t="n">
        <x:v>0.05</x:v>
      </x:c>
      <x:c r="I805" s="7" t="n">
        <x:v>456</x:v>
      </x:c>
    </x:row>
    <x:row r="806" ht="23" customHeight="1">
      <x:c r="A806" s="7" t="str">
        <x:v>INV00801</x:v>
      </x:c>
      <x:c r="B806" s="15" t="d">
        <x:v>2026-02-19T00:00:00.000Z</x:v>
      </x:c>
      <x:c r="C806" s="14" t="d">
        <x:v>2026-02-01T00:00:00.000Z</x:v>
      </x:c>
      <x:c r="D806" s="34" t="str">
        <x:v>0002</x:v>
      </x:c>
      <x:c r="E806" s="7" t="str">
        <x:v>Central</x:v>
      </x:c>
      <x:c r="F806" s="7" t="n">
        <x:v>7</x:v>
      </x:c>
      <x:c r="G806" s="7" t="n">
        <x:v>180</x:v>
      </x:c>
      <x:c r="H806" s="9" t="n">
        <x:v>0</x:v>
      </x:c>
      <x:c r="I806" s="7" t="n">
        <x:v>1260</x:v>
      </x:c>
    </x:row>
    <x:row r="807" ht="23" customHeight="1">
      <x:c r="A807" s="7" t="str">
        <x:v>INV00802</x:v>
      </x:c>
      <x:c r="B807" s="15" t="d">
        <x:v>2026-02-20T00:00:00.000Z</x:v>
      </x:c>
      <x:c r="C807" s="14" t="d">
        <x:v>2026-02-01T00:00:00.000Z</x:v>
      </x:c>
      <x:c r="D807" s="34" t="str">
        <x:v>0003</x:v>
      </x:c>
      <x:c r="E807" s="7" t="str">
        <x:v>Central</x:v>
      </x:c>
      <x:c r="F807" s="7" t="n">
        <x:v>7</x:v>
      </x:c>
      <x:c r="G807" s="7" t="n">
        <x:v>200</x:v>
      </x:c>
      <x:c r="H807" s="9" t="n">
        <x:v>0.02</x:v>
      </x:c>
      <x:c r="I807" s="7" t="n">
        <x:v>1372</x:v>
      </x:c>
    </x:row>
    <x:row r="808" ht="23" customHeight="1">
      <x:c r="A808" s="7" t="str">
        <x:v>INV00803</x:v>
      </x:c>
      <x:c r="B808" s="15" t="d">
        <x:v>2026-02-21T00:00:00.000Z</x:v>
      </x:c>
      <x:c r="C808" s="14" t="d">
        <x:v>2026-02-01T00:00:00.000Z</x:v>
      </x:c>
      <x:c r="D808" s="34" t="str">
        <x:v>0004</x:v>
      </x:c>
      <x:c r="E808" s="7" t="str">
        <x:v>Central</x:v>
      </x:c>
      <x:c r="F808" s="7" t="n">
        <x:v>4</x:v>
      </x:c>
      <x:c r="G808" s="7" t="n">
        <x:v>220</x:v>
      </x:c>
      <x:c r="H808" s="9" t="n">
        <x:v>0.05</x:v>
      </x:c>
      <x:c r="I808" s="7" t="n">
        <x:v>836</x:v>
      </x:c>
    </x:row>
    <x:row r="809" ht="23" customHeight="1">
      <x:c r="A809" s="7" t="str">
        <x:v>INV00804</x:v>
      </x:c>
      <x:c r="B809" s="15" t="d">
        <x:v>2026-02-22T00:00:00.000Z</x:v>
      </x:c>
      <x:c r="C809" s="14" t="d">
        <x:v>2026-02-01T00:00:00.000Z</x:v>
      </x:c>
      <x:c r="D809" s="34" t="str">
        <x:v>0005</x:v>
      </x:c>
      <x:c r="E809" s="7" t="str">
        <x:v>Central</x:v>
      </x:c>
      <x:c r="F809" s="7" t="n">
        <x:v>6</x:v>
      </x:c>
      <x:c r="G809" s="7" t="n">
        <x:v>240</x:v>
      </x:c>
      <x:c r="H809" s="9" t="n">
        <x:v>0</x:v>
      </x:c>
      <x:c r="I809" s="7" t="n">
        <x:v>1440</x:v>
      </x:c>
    </x:row>
    <x:row r="810" ht="23" customHeight="1">
      <x:c r="A810" s="7" t="str">
        <x:v>INV00805</x:v>
      </x:c>
      <x:c r="B810" s="15" t="d">
        <x:v>2026-02-23T00:00:00.000Z</x:v>
      </x:c>
      <x:c r="C810" s="14" t="d">
        <x:v>2026-02-01T00:00:00.000Z</x:v>
      </x:c>
      <x:c r="D810" s="34" t="str">
        <x:v>0006</x:v>
      </x:c>
      <x:c r="E810" s="7" t="str">
        <x:v>Central</x:v>
      </x:c>
      <x:c r="F810" s="7" t="n">
        <x:v>1</x:v>
      </x:c>
      <x:c r="G810" s="7" t="n">
        <x:v>260</x:v>
      </x:c>
      <x:c r="H810" s="9" t="n">
        <x:v>0.02</x:v>
      </x:c>
      <x:c r="I810" s="7" t="n">
        <x:v>254.8</x:v>
      </x:c>
    </x:row>
    <x:row r="811" ht="23" customHeight="1">
      <x:c r="A811" s="7" t="str">
        <x:v>INV00806</x:v>
      </x:c>
      <x:c r="B811" s="15" t="d">
        <x:v>2026-02-24T00:00:00.000Z</x:v>
      </x:c>
      <x:c r="C811" s="14" t="d">
        <x:v>2026-02-01T00:00:00.000Z</x:v>
      </x:c>
      <x:c r="D811" s="34" t="str">
        <x:v>0007</x:v>
      </x:c>
      <x:c r="E811" s="7" t="str">
        <x:v>Central</x:v>
      </x:c>
      <x:c r="F811" s="7" t="n">
        <x:v>3</x:v>
      </x:c>
      <x:c r="G811" s="7" t="n">
        <x:v>280</x:v>
      </x:c>
      <x:c r="H811" s="9" t="n">
        <x:v>0.05</x:v>
      </x:c>
      <x:c r="I811" s="7" t="n">
        <x:v>798</x:v>
      </x:c>
    </x:row>
    <x:row r="812" ht="23" customHeight="1">
      <x:c r="A812" s="7" t="str">
        <x:v>INV00807</x:v>
      </x:c>
      <x:c r="B812" s="15" t="d">
        <x:v>2026-02-25T00:00:00.000Z</x:v>
      </x:c>
      <x:c r="C812" s="14" t="d">
        <x:v>2026-02-01T00:00:00.000Z</x:v>
      </x:c>
      <x:c r="D812" s="34" t="str">
        <x:v>0008</x:v>
      </x:c>
      <x:c r="E812" s="7" t="str">
        <x:v>Central</x:v>
      </x:c>
      <x:c r="F812" s="7" t="n">
        <x:v>6</x:v>
      </x:c>
      <x:c r="G812" s="7" t="n">
        <x:v>300</x:v>
      </x:c>
      <x:c r="H812" s="9" t="n">
        <x:v>0</x:v>
      </x:c>
      <x:c r="I812" s="7" t="n">
        <x:v>1800</x:v>
      </x:c>
    </x:row>
    <x:row r="813" ht="23" customHeight="1">
      <x:c r="A813" s="7" t="str">
        <x:v>INV00808</x:v>
      </x:c>
      <x:c r="B813" s="15" t="d">
        <x:v>2026-02-26T00:00:00.000Z</x:v>
      </x:c>
      <x:c r="C813" s="14" t="d">
        <x:v>2026-02-01T00:00:00.000Z</x:v>
      </x:c>
      <x:c r="D813" s="34" t="str">
        <x:v>0001</x:v>
      </x:c>
      <x:c r="E813" s="7" t="str">
        <x:v>East</x:v>
      </x:c>
      <x:c r="F813" s="7" t="n">
        <x:v>4</x:v>
      </x:c>
      <x:c r="G813" s="7" t="n">
        <x:v>160</x:v>
      </x:c>
      <x:c r="H813" s="9" t="n">
        <x:v>0.02</x:v>
      </x:c>
      <x:c r="I813" s="7" t="n">
        <x:v>627.2</x:v>
      </x:c>
    </x:row>
    <x:row r="814" ht="23" customHeight="1">
      <x:c r="A814" s="7" t="str">
        <x:v>INV00809</x:v>
      </x:c>
      <x:c r="B814" s="15" t="d">
        <x:v>2026-02-27T00:00:00.000Z</x:v>
      </x:c>
      <x:c r="C814" s="14" t="d">
        <x:v>2026-02-01T00:00:00.000Z</x:v>
      </x:c>
      <x:c r="D814" s="34" t="str">
        <x:v>0002</x:v>
      </x:c>
      <x:c r="E814" s="7" t="str">
        <x:v>East</x:v>
      </x:c>
      <x:c r="F814" s="7" t="n">
        <x:v>7</x:v>
      </x:c>
      <x:c r="G814" s="7" t="n">
        <x:v>180</x:v>
      </x:c>
      <x:c r="H814" s="9" t="n">
        <x:v>0.05</x:v>
      </x:c>
      <x:c r="I814" s="7" t="n">
        <x:v>1197</x:v>
      </x:c>
    </x:row>
    <x:row r="815" ht="23" customHeight="1">
      <x:c r="A815" s="7" t="str">
        <x:v>INV00810</x:v>
      </x:c>
      <x:c r="B815" s="15" t="d">
        <x:v>2026-02-01T00:00:00.000Z</x:v>
      </x:c>
      <x:c r="C815" s="14" t="d">
        <x:v>2026-02-01T00:00:00.000Z</x:v>
      </x:c>
      <x:c r="D815" s="34" t="str">
        <x:v>0003</x:v>
      </x:c>
      <x:c r="E815" s="7" t="str">
        <x:v>East</x:v>
      </x:c>
      <x:c r="F815" s="7" t="n">
        <x:v>2</x:v>
      </x:c>
      <x:c r="G815" s="7" t="n">
        <x:v>200</x:v>
      </x:c>
      <x:c r="H815" s="9" t="n">
        <x:v>0</x:v>
      </x:c>
      <x:c r="I815" s="7" t="n">
        <x:v>400</x:v>
      </x:c>
    </x:row>
    <x:row r="816" ht="23" customHeight="1">
      <x:c r="A816" s="7" t="str">
        <x:v>INV00811</x:v>
      </x:c>
      <x:c r="B816" s="15" t="d">
        <x:v>2026-02-02T00:00:00.000Z</x:v>
      </x:c>
      <x:c r="C816" s="14" t="d">
        <x:v>2026-02-01T00:00:00.000Z</x:v>
      </x:c>
      <x:c r="D816" s="34" t="str">
        <x:v>0004</x:v>
      </x:c>
      <x:c r="E816" s="7" t="str">
        <x:v>East</x:v>
      </x:c>
      <x:c r="F816" s="7" t="n">
        <x:v>7</x:v>
      </x:c>
      <x:c r="G816" s="7" t="n">
        <x:v>220</x:v>
      </x:c>
      <x:c r="H816" s="9" t="n">
        <x:v>0.02</x:v>
      </x:c>
      <x:c r="I816" s="7" t="n">
        <x:v>1509.2</x:v>
      </x:c>
    </x:row>
    <x:row r="817" ht="23" customHeight="1">
      <x:c r="A817" s="7" t="str">
        <x:v>INV00812</x:v>
      </x:c>
      <x:c r="B817" s="15" t="d">
        <x:v>2026-02-03T00:00:00.000Z</x:v>
      </x:c>
      <x:c r="C817" s="14" t="d">
        <x:v>2026-02-01T00:00:00.000Z</x:v>
      </x:c>
      <x:c r="D817" s="34" t="str">
        <x:v>0005</x:v>
      </x:c>
      <x:c r="E817" s="7" t="str">
        <x:v>East</x:v>
      </x:c>
      <x:c r="F817" s="7" t="n">
        <x:v>4</x:v>
      </x:c>
      <x:c r="G817" s="7" t="n">
        <x:v>240</x:v>
      </x:c>
      <x:c r="H817" s="9" t="n">
        <x:v>0.05</x:v>
      </x:c>
      <x:c r="I817" s="7" t="n">
        <x:v>912</x:v>
      </x:c>
    </x:row>
    <x:row r="818" ht="23" customHeight="1">
      <x:c r="A818" s="7" t="str">
        <x:v>INV00813</x:v>
      </x:c>
      <x:c r="B818" s="15" t="d">
        <x:v>2026-02-04T00:00:00.000Z</x:v>
      </x:c>
      <x:c r="C818" s="14" t="d">
        <x:v>2026-02-01T00:00:00.000Z</x:v>
      </x:c>
      <x:c r="D818" s="34" t="str">
        <x:v>0006</x:v>
      </x:c>
      <x:c r="E818" s="7" t="str">
        <x:v>East</x:v>
      </x:c>
      <x:c r="F818" s="7" t="n">
        <x:v>6</x:v>
      </x:c>
      <x:c r="G818" s="7" t="n">
        <x:v>260</x:v>
      </x:c>
      <x:c r="H818" s="9" t="n">
        <x:v>0</x:v>
      </x:c>
      <x:c r="I818" s="7" t="n">
        <x:v>1560</x:v>
      </x:c>
    </x:row>
    <x:row r="819" ht="23" customHeight="1">
      <x:c r="A819" s="7" t="str">
        <x:v>INV00814</x:v>
      </x:c>
      <x:c r="B819" s="15" t="d">
        <x:v>2026-02-05T00:00:00.000Z</x:v>
      </x:c>
      <x:c r="C819" s="14" t="d">
        <x:v>2026-02-01T00:00:00.000Z</x:v>
      </x:c>
      <x:c r="D819" s="34" t="str">
        <x:v>0007</x:v>
      </x:c>
      <x:c r="E819" s="7" t="str">
        <x:v>East</x:v>
      </x:c>
      <x:c r="F819" s="7" t="n">
        <x:v>7</x:v>
      </x:c>
      <x:c r="G819" s="7" t="n">
        <x:v>280</x:v>
      </x:c>
      <x:c r="H819" s="9" t="n">
        <x:v>0.02</x:v>
      </x:c>
      <x:c r="I819" s="7" t="n">
        <x:v>1920.8</x:v>
      </x:c>
    </x:row>
    <x:row r="820" ht="23" customHeight="1">
      <x:c r="A820" s="7" t="str">
        <x:v>INV00815</x:v>
      </x:c>
      <x:c r="B820" s="15" t="d">
        <x:v>2026-02-06T00:00:00.000Z</x:v>
      </x:c>
      <x:c r="C820" s="14" t="d">
        <x:v>2026-02-01T00:00:00.000Z</x:v>
      </x:c>
      <x:c r="D820" s="34" t="str">
        <x:v>0008</x:v>
      </x:c>
      <x:c r="E820" s="7" t="str">
        <x:v>East</x:v>
      </x:c>
      <x:c r="F820" s="7" t="n">
        <x:v>2</x:v>
      </x:c>
      <x:c r="G820" s="7" t="n">
        <x:v>300</x:v>
      </x:c>
      <x:c r="H820" s="9" t="n">
        <x:v>0.05</x:v>
      </x:c>
      <x:c r="I820" s="7" t="n">
        <x:v>570</x:v>
      </x:c>
    </x:row>
    <x:row r="821" ht="23" customHeight="1">
      <x:c r="A821" s="7" t="str">
        <x:v>INV00816</x:v>
      </x:c>
      <x:c r="B821" s="15" t="d">
        <x:v>2026-02-07T00:00:00.000Z</x:v>
      </x:c>
      <x:c r="C821" s="14" t="d">
        <x:v>2026-02-01T00:00:00.000Z</x:v>
      </x:c>
      <x:c r="D821" s="34" t="str">
        <x:v>0001</x:v>
      </x:c>
      <x:c r="E821" s="7" t="str">
        <x:v>West</x:v>
      </x:c>
      <x:c r="F821" s="7" t="n">
        <x:v>3</x:v>
      </x:c>
      <x:c r="G821" s="7" t="n">
        <x:v>160</x:v>
      </x:c>
      <x:c r="H821" s="9" t="n">
        <x:v>0</x:v>
      </x:c>
      <x:c r="I821" s="7" t="n">
        <x:v>480</x:v>
      </x:c>
    </x:row>
    <x:row r="822" ht="23" customHeight="1">
      <x:c r="A822" s="7" t="str">
        <x:v>INV00817</x:v>
      </x:c>
      <x:c r="B822" s="15" t="d">
        <x:v>2026-02-08T00:00:00.000Z</x:v>
      </x:c>
      <x:c r="C822" s="14" t="d">
        <x:v>2026-02-01T00:00:00.000Z</x:v>
      </x:c>
      <x:c r="D822" s="34" t="str">
        <x:v>0002</x:v>
      </x:c>
      <x:c r="E822" s="7" t="str">
        <x:v>West</x:v>
      </x:c>
      <x:c r="F822" s="7" t="n">
        <x:v>3</x:v>
      </x:c>
      <x:c r="G822" s="7" t="n">
        <x:v>180</x:v>
      </x:c>
      <x:c r="H822" s="9" t="n">
        <x:v>0.02</x:v>
      </x:c>
      <x:c r="I822" s="7" t="n">
        <x:v>529.2</x:v>
      </x:c>
    </x:row>
    <x:row r="823" ht="23" customHeight="1">
      <x:c r="A823" s="7" t="str">
        <x:v>INV00818</x:v>
      </x:c>
      <x:c r="B823" s="15" t="d">
        <x:v>2026-02-09T00:00:00.000Z</x:v>
      </x:c>
      <x:c r="C823" s="14" t="d">
        <x:v>2026-02-01T00:00:00.000Z</x:v>
      </x:c>
      <x:c r="D823" s="34" t="str">
        <x:v>0003</x:v>
      </x:c>
      <x:c r="E823" s="7" t="str">
        <x:v>West</x:v>
      </x:c>
      <x:c r="F823" s="7" t="n">
        <x:v>6</x:v>
      </x:c>
      <x:c r="G823" s="7" t="n">
        <x:v>200</x:v>
      </x:c>
      <x:c r="H823" s="9" t="n">
        <x:v>0.05</x:v>
      </x:c>
      <x:c r="I823" s="7" t="n">
        <x:v>1140</x:v>
      </x:c>
    </x:row>
    <x:row r="824" ht="23" customHeight="1">
      <x:c r="A824" s="7" t="str">
        <x:v>INV00819</x:v>
      </x:c>
      <x:c r="B824" s="15" t="d">
        <x:v>2026-02-10T00:00:00.000Z</x:v>
      </x:c>
      <x:c r="C824" s="14" t="d">
        <x:v>2026-02-01T00:00:00.000Z</x:v>
      </x:c>
      <x:c r="D824" s="34" t="str">
        <x:v>0004</x:v>
      </x:c>
      <x:c r="E824" s="7" t="str">
        <x:v>West</x:v>
      </x:c>
      <x:c r="F824" s="7" t="n">
        <x:v>4</x:v>
      </x:c>
      <x:c r="G824" s="7" t="n">
        <x:v>220</x:v>
      </x:c>
      <x:c r="H824" s="9" t="n">
        <x:v>0</x:v>
      </x:c>
      <x:c r="I824" s="7" t="n">
        <x:v>880</x:v>
      </x:c>
    </x:row>
    <x:row r="825" ht="23" customHeight="1">
      <x:c r="A825" s="7" t="str">
        <x:v>INV00820</x:v>
      </x:c>
      <x:c r="B825" s="15" t="d">
        <x:v>2026-02-11T00:00:00.000Z</x:v>
      </x:c>
      <x:c r="C825" s="14" t="d">
        <x:v>2026-02-01T00:00:00.000Z</x:v>
      </x:c>
      <x:c r="D825" s="34" t="str">
        <x:v>0005</x:v>
      </x:c>
      <x:c r="E825" s="7" t="str">
        <x:v>West</x:v>
      </x:c>
      <x:c r="F825" s="7" t="n">
        <x:v>-3</x:v>
      </x:c>
      <x:c r="G825" s="7" t="n">
        <x:v>240</x:v>
      </x:c>
      <x:c r="H825" s="9" t="n">
        <x:v>0.02</x:v>
      </x:c>
      <x:c r="I825" s="7" t="n">
        <x:v>-705.6</x:v>
      </x:c>
    </x:row>
    <x:row r="826" ht="23" customHeight="1">
      <x:c r="A826" s="7" t="str">
        <x:v>INV00821</x:v>
      </x:c>
      <x:c r="B826" s="15" t="d">
        <x:v>2026-02-12T00:00:00.000Z</x:v>
      </x:c>
      <x:c r="C826" s="14" t="d">
        <x:v>2026-02-01T00:00:00.000Z</x:v>
      </x:c>
      <x:c r="D826" s="34" t="str">
        <x:v>0006</x:v>
      </x:c>
      <x:c r="E826" s="7" t="str">
        <x:v>West</x:v>
      </x:c>
      <x:c r="F826" s="7" t="n">
        <x:v>3</x:v>
      </x:c>
      <x:c r="G826" s="7" t="n">
        <x:v>260</x:v>
      </x:c>
      <x:c r="H826" s="9" t="n">
        <x:v>0.05</x:v>
      </x:c>
      <x:c r="I826" s="7" t="n">
        <x:v>741</x:v>
      </x:c>
    </x:row>
    <x:row r="827" ht="23" customHeight="1">
      <x:c r="A827" s="7" t="str">
        <x:v>INV00822</x:v>
      </x:c>
      <x:c r="B827" s="15" t="d">
        <x:v>2026-02-13T00:00:00.000Z</x:v>
      </x:c>
      <x:c r="C827" s="14" t="d">
        <x:v>2026-02-01T00:00:00.000Z</x:v>
      </x:c>
      <x:c r="D827" s="34" t="str">
        <x:v>0007</x:v>
      </x:c>
      <x:c r="E827" s="7" t="str">
        <x:v>West</x:v>
      </x:c>
      <x:c r="F827" s="7" t="n">
        <x:v>2</x:v>
      </x:c>
      <x:c r="G827" s="7" t="n">
        <x:v>280</x:v>
      </x:c>
      <x:c r="H827" s="9" t="n">
        <x:v>0</x:v>
      </x:c>
      <x:c r="I827" s="7" t="n">
        <x:v>560</x:v>
      </x:c>
    </x:row>
    <x:row r="828" ht="23" customHeight="1">
      <x:c r="A828" s="7" t="str">
        <x:v>INV00823</x:v>
      </x:c>
      <x:c r="B828" s="15" t="d">
        <x:v>2026-02-14T00:00:00.000Z</x:v>
      </x:c>
      <x:c r="C828" s="14" t="d">
        <x:v>2026-02-01T00:00:00.000Z</x:v>
      </x:c>
      <x:c r="D828" s="34" t="str">
        <x:v>0008</x:v>
      </x:c>
      <x:c r="E828" s="7" t="str">
        <x:v>West</x:v>
      </x:c>
      <x:c r="F828" s="7" t="n">
        <x:v>3</x:v>
      </x:c>
      <x:c r="G828" s="7" t="n">
        <x:v>300</x:v>
      </x:c>
      <x:c r="H828" s="9" t="n">
        <x:v>0.02</x:v>
      </x:c>
      <x:c r="I828" s="7" t="n">
        <x:v>882</x:v>
      </x:c>
    </x:row>
    <x:row r="829" ht="23" customHeight="1">
      <x:c r="A829" s="7" t="str">
        <x:v>INV00824</x:v>
      </x:c>
      <x:c r="B829" s="15" t="d">
        <x:v>2026-02-15T00:00:00.000Z</x:v>
      </x:c>
      <x:c r="C829" s="14" t="d">
        <x:v>2026-02-01T00:00:00.000Z</x:v>
      </x:c>
      <x:c r="D829" s="34" t="str">
        <x:v>0001</x:v>
      </x:c>
      <x:c r="E829" s="7" t="str">
        <x:v>North</x:v>
      </x:c>
      <x:c r="F829" s="7" t="n">
        <x:v>6</x:v>
      </x:c>
      <x:c r="G829" s="7" t="n">
        <x:v>160</x:v>
      </x:c>
      <x:c r="H829" s="9" t="n">
        <x:v>0.05</x:v>
      </x:c>
      <x:c r="I829" s="7" t="n">
        <x:v>912</x:v>
      </x:c>
    </x:row>
    <x:row r="830" ht="23" customHeight="1">
      <x:c r="A830" s="7" t="str">
        <x:v>INV00825</x:v>
      </x:c>
      <x:c r="B830" s="15" t="d">
        <x:v>2026-02-16T00:00:00.000Z</x:v>
      </x:c>
      <x:c r="C830" s="14" t="d">
        <x:v>2026-02-01T00:00:00.000Z</x:v>
      </x:c>
      <x:c r="D830" s="34" t="str">
        <x:v>0002</x:v>
      </x:c>
      <x:c r="E830" s="7" t="str">
        <x:v>North</x:v>
      </x:c>
      <x:c r="F830" s="7" t="n">
        <x:v>7</x:v>
      </x:c>
      <x:c r="G830" s="7" t="n">
        <x:v>180</x:v>
      </x:c>
      <x:c r="H830" s="9" t="n">
        <x:v>0</x:v>
      </x:c>
      <x:c r="I830" s="7" t="n">
        <x:v>1260</x:v>
      </x:c>
    </x:row>
    <x:row r="831" ht="23" customHeight="1">
      <x:c r="A831" s="7" t="str">
        <x:v>INV00826</x:v>
      </x:c>
      <x:c r="B831" s="15" t="d">
        <x:v>2026-02-17T00:00:00.000Z</x:v>
      </x:c>
      <x:c r="C831" s="14" t="d">
        <x:v>2026-02-01T00:00:00.000Z</x:v>
      </x:c>
      <x:c r="D831" s="34" t="str">
        <x:v>0003</x:v>
      </x:c>
      <x:c r="E831" s="7" t="str">
        <x:v>North</x:v>
      </x:c>
      <x:c r="F831" s="7" t="n">
        <x:v>2</x:v>
      </x:c>
      <x:c r="G831" s="7" t="n">
        <x:v>200</x:v>
      </x:c>
      <x:c r="H831" s="9" t="n">
        <x:v>0.02</x:v>
      </x:c>
      <x:c r="I831" s="7" t="n">
        <x:v>392</x:v>
      </x:c>
    </x:row>
    <x:row r="832" ht="23" customHeight="1">
      <x:c r="A832" s="7" t="str">
        <x:v>INV00827</x:v>
      </x:c>
      <x:c r="B832" s="15" t="d">
        <x:v>2026-02-18T00:00:00.000Z</x:v>
      </x:c>
      <x:c r="C832" s="14" t="d">
        <x:v>2026-02-01T00:00:00.000Z</x:v>
      </x:c>
      <x:c r="D832" s="34" t="str">
        <x:v>0004</x:v>
      </x:c>
      <x:c r="E832" s="7" t="str">
        <x:v>North</x:v>
      </x:c>
      <x:c r="F832" s="7" t="n">
        <x:v>4</x:v>
      </x:c>
      <x:c r="G832" s="7" t="n">
        <x:v>220</x:v>
      </x:c>
      <x:c r="H832" s="9" t="n">
        <x:v>0.05</x:v>
      </x:c>
      <x:c r="I832" s="7" t="n">
        <x:v>836</x:v>
      </x:c>
    </x:row>
    <x:row r="833" ht="23" customHeight="1">
      <x:c r="A833" s="7" t="str">
        <x:v>INV00828</x:v>
      </x:c>
      <x:c r="B833" s="15" t="d">
        <x:v>2026-02-19T00:00:00.000Z</x:v>
      </x:c>
      <x:c r="C833" s="14" t="d">
        <x:v>2026-02-01T00:00:00.000Z</x:v>
      </x:c>
      <x:c r="D833" s="34" t="str">
        <x:v>0005</x:v>
      </x:c>
      <x:c r="E833" s="7" t="str">
        <x:v>North</x:v>
      </x:c>
      <x:c r="F833" s="7" t="n">
        <x:v>5</x:v>
      </x:c>
      <x:c r="G833" s="7" t="n">
        <x:v>240</x:v>
      </x:c>
      <x:c r="H833" s="9" t="n">
        <x:v>0</x:v>
      </x:c>
      <x:c r="I833" s="7" t="n">
        <x:v>1200</x:v>
      </x:c>
    </x:row>
    <x:row r="834" ht="23" customHeight="1">
      <x:c r="A834" s="7" t="str">
        <x:v>INV00829</x:v>
      </x:c>
      <x:c r="B834" s="15" t="d">
        <x:v>2026-02-20T00:00:00.000Z</x:v>
      </x:c>
      <x:c r="C834" s="14" t="d">
        <x:v>2026-02-01T00:00:00.000Z</x:v>
      </x:c>
      <x:c r="D834" s="34" t="str">
        <x:v>0006</x:v>
      </x:c>
      <x:c r="E834" s="7" t="str">
        <x:v>North</x:v>
      </x:c>
      <x:c r="F834" s="7" t="n">
        <x:v>3</x:v>
      </x:c>
      <x:c r="G834" s="7" t="n">
        <x:v>260</x:v>
      </x:c>
      <x:c r="H834" s="9" t="n">
        <x:v>0.02</x:v>
      </x:c>
      <x:c r="I834" s="7" t="n">
        <x:v>764.4</x:v>
      </x:c>
    </x:row>
    <x:row r="835" ht="23" customHeight="1">
      <x:c r="A835" s="7" t="str">
        <x:v>INV00830</x:v>
      </x:c>
      <x:c r="B835" s="15" t="d">
        <x:v>2026-02-21T00:00:00.000Z</x:v>
      </x:c>
      <x:c r="C835" s="14" t="d">
        <x:v>2026-02-01T00:00:00.000Z</x:v>
      </x:c>
      <x:c r="D835" s="34" t="str">
        <x:v>0007</x:v>
      </x:c>
      <x:c r="E835" s="7" t="str">
        <x:v>North</x:v>
      </x:c>
      <x:c r="F835" s="7" t="n">
        <x:v>4</x:v>
      </x:c>
      <x:c r="G835" s="7" t="n">
        <x:v>280</x:v>
      </x:c>
      <x:c r="H835" s="9" t="n">
        <x:v>0.05</x:v>
      </x:c>
      <x:c r="I835" s="7" t="n">
        <x:v>1064</x:v>
      </x:c>
    </x:row>
    <x:row r="836" ht="23" customHeight="1">
      <x:c r="A836" s="7" t="str">
        <x:v>INV00831</x:v>
      </x:c>
      <x:c r="B836" s="15" t="d">
        <x:v>2026-02-22T00:00:00.000Z</x:v>
      </x:c>
      <x:c r="C836" s="14" t="d">
        <x:v>2026-02-01T00:00:00.000Z</x:v>
      </x:c>
      <x:c r="D836" s="34" t="str">
        <x:v>0008</x:v>
      </x:c>
      <x:c r="E836" s="7" t="str">
        <x:v>North</x:v>
      </x:c>
      <x:c r="F836" s="7" t="n">
        <x:v>4</x:v>
      </x:c>
      <x:c r="G836" s="7" t="n">
        <x:v>300</x:v>
      </x:c>
      <x:c r="H836" s="9" t="n">
        <x:v>0</x:v>
      </x:c>
      <x:c r="I836" s="7" t="n">
        <x:v>1200</x:v>
      </x:c>
    </x:row>
    <x:row r="837" ht="23" customHeight="1">
      <x:c r="A837" s="7" t="str">
        <x:v>INV00832</x:v>
      </x:c>
      <x:c r="B837" s="15" t="d">
        <x:v>2026-03-23T00:00:00.000Z</x:v>
      </x:c>
      <x:c r="C837" s="14" t="d">
        <x:v>2026-03-01T00:00:00.000Z</x:v>
      </x:c>
      <x:c r="D837" s="34" t="str">
        <x:v>0001</x:v>
      </x:c>
      <x:c r="E837" s="7" t="str">
        <x:v>Central</x:v>
      </x:c>
      <x:c r="F837" s="7" t="n">
        <x:v>4</x:v>
      </x:c>
      <x:c r="G837" s="7" t="n">
        <x:v>160</x:v>
      </x:c>
      <x:c r="H837" s="9" t="n">
        <x:v>0.02</x:v>
      </x:c>
      <x:c r="I837" s="7" t="n">
        <x:v>627.2</x:v>
      </x:c>
    </x:row>
    <x:row r="838" ht="23" customHeight="1">
      <x:c r="A838" s="7" t="str">
        <x:v>INV00833</x:v>
      </x:c>
      <x:c r="B838" s="15" t="d">
        <x:v>2026-03-24T00:00:00.000Z</x:v>
      </x:c>
      <x:c r="C838" s="14" t="d">
        <x:v>2026-03-01T00:00:00.000Z</x:v>
      </x:c>
      <x:c r="D838" s="34" t="str">
        <x:v>0002</x:v>
      </x:c>
      <x:c r="E838" s="7" t="str">
        <x:v>Central</x:v>
      </x:c>
      <x:c r="F838" s="7" t="n">
        <x:v>5</x:v>
      </x:c>
      <x:c r="G838" s="7" t="n">
        <x:v>180</x:v>
      </x:c>
      <x:c r="H838" s="9" t="n">
        <x:v>0.05</x:v>
      </x:c>
      <x:c r="I838" s="7" t="n">
        <x:v>855</x:v>
      </x:c>
    </x:row>
    <x:row r="839" ht="23" customHeight="1">
      <x:c r="A839" s="7" t="str">
        <x:v>INV00834</x:v>
      </x:c>
      <x:c r="B839" s="15" t="d">
        <x:v>2026-03-25T00:00:00.000Z</x:v>
      </x:c>
      <x:c r="C839" s="14" t="d">
        <x:v>2026-03-01T00:00:00.000Z</x:v>
      </x:c>
      <x:c r="D839" s="34" t="str">
        <x:v>0003</x:v>
      </x:c>
      <x:c r="E839" s="7" t="str">
        <x:v>Central</x:v>
      </x:c>
      <x:c r="F839" s="7" t="n">
        <x:v>3</x:v>
      </x:c>
      <x:c r="G839" s="7" t="n">
        <x:v>200</x:v>
      </x:c>
      <x:c r="H839" s="9" t="n">
        <x:v>0</x:v>
      </x:c>
      <x:c r="I839" s="7" t="n">
        <x:v>600</x:v>
      </x:c>
    </x:row>
    <x:row r="840" ht="23" customHeight="1">
      <x:c r="A840" s="7" t="str">
        <x:v>INV00835</x:v>
      </x:c>
      <x:c r="B840" s="15" t="d">
        <x:v>2026-03-26T00:00:00.000Z</x:v>
      </x:c>
      <x:c r="C840" s="14" t="d">
        <x:v>2026-03-01T00:00:00.000Z</x:v>
      </x:c>
      <x:c r="D840" s="34" t="str">
        <x:v>0004</x:v>
      </x:c>
      <x:c r="E840" s="7" t="str">
        <x:v>Central</x:v>
      </x:c>
      <x:c r="F840" s="7" t="n">
        <x:v>1</x:v>
      </x:c>
      <x:c r="G840" s="7" t="n">
        <x:v>220</x:v>
      </x:c>
      <x:c r="H840" s="9" t="n">
        <x:v>0.02</x:v>
      </x:c>
      <x:c r="I840" s="7" t="n">
        <x:v>215.6</x:v>
      </x:c>
    </x:row>
    <x:row r="841" ht="23" customHeight="1">
      <x:c r="A841" s="7" t="str">
        <x:v>INV00836</x:v>
      </x:c>
      <x:c r="B841" s="15" t="d">
        <x:v>2026-03-27T00:00:00.000Z</x:v>
      </x:c>
      <x:c r="C841" s="14" t="d">
        <x:v>2026-03-01T00:00:00.000Z</x:v>
      </x:c>
      <x:c r="D841" s="34" t="str">
        <x:v>0005</x:v>
      </x:c>
      <x:c r="E841" s="7" t="str">
        <x:v>Central</x:v>
      </x:c>
      <x:c r="F841" s="7" t="n">
        <x:v>6</x:v>
      </x:c>
      <x:c r="G841" s="7" t="n">
        <x:v>240</x:v>
      </x:c>
      <x:c r="H841" s="9" t="n">
        <x:v>0.05</x:v>
      </x:c>
      <x:c r="I841" s="7" t="n">
        <x:v>1368</x:v>
      </x:c>
    </x:row>
    <x:row r="842" ht="23" customHeight="1">
      <x:c r="A842" s="7" t="str">
        <x:v>INV00837</x:v>
      </x:c>
      <x:c r="B842" s="15" t="d">
        <x:v>2026-03-01T00:00:00.000Z</x:v>
      </x:c>
      <x:c r="C842" s="14" t="d">
        <x:v>2026-03-01T00:00:00.000Z</x:v>
      </x:c>
      <x:c r="D842" s="34" t="str">
        <x:v>0006</x:v>
      </x:c>
      <x:c r="E842" s="7" t="str">
        <x:v>Central</x:v>
      </x:c>
      <x:c r="F842" s="7" t="n">
        <x:v>7</x:v>
      </x:c>
      <x:c r="G842" s="7" t="n">
        <x:v>260</x:v>
      </x:c>
      <x:c r="H842" s="9" t="n">
        <x:v>0</x:v>
      </x:c>
      <x:c r="I842" s="7" t="n">
        <x:v>1820</x:v>
      </x:c>
    </x:row>
    <x:row r="843" ht="23" customHeight="1">
      <x:c r="A843" s="7" t="str">
        <x:v>INV00838</x:v>
      </x:c>
      <x:c r="B843" s="15" t="d">
        <x:v>2026-03-02T00:00:00.000Z</x:v>
      </x:c>
      <x:c r="C843" s="14" t="d">
        <x:v>2026-03-01T00:00:00.000Z</x:v>
      </x:c>
      <x:c r="D843" s="34" t="str">
        <x:v>0007</x:v>
      </x:c>
      <x:c r="E843" s="7" t="str">
        <x:v>Central</x:v>
      </x:c>
      <x:c r="F843" s="7" t="n">
        <x:v>4</x:v>
      </x:c>
      <x:c r="G843" s="7" t="n">
        <x:v>280</x:v>
      </x:c>
      <x:c r="H843" s="9" t="n">
        <x:v>0.02</x:v>
      </x:c>
      <x:c r="I843" s="7" t="n">
        <x:v>1097.6</x:v>
      </x:c>
    </x:row>
    <x:row r="844" ht="23" customHeight="1">
      <x:c r="A844" s="7" t="str">
        <x:v>INV00839</x:v>
      </x:c>
      <x:c r="B844" s="15" t="d">
        <x:v>2026-03-03T00:00:00.000Z</x:v>
      </x:c>
      <x:c r="C844" s="14" t="d">
        <x:v>2026-03-01T00:00:00.000Z</x:v>
      </x:c>
      <x:c r="D844" s="34" t="str">
        <x:v>0008</x:v>
      </x:c>
      <x:c r="E844" s="7" t="str">
        <x:v>Central</x:v>
      </x:c>
      <x:c r="F844" s="7" t="n">
        <x:v>4</x:v>
      </x:c>
      <x:c r="G844" s="7" t="n">
        <x:v>300</x:v>
      </x:c>
      <x:c r="H844" s="9" t="n">
        <x:v>0.05</x:v>
      </x:c>
      <x:c r="I844" s="7" t="n">
        <x:v>1140</x:v>
      </x:c>
    </x:row>
    <x:row r="845" ht="23" customHeight="1">
      <x:c r="A845" s="7" t="str">
        <x:v>INV00840</x:v>
      </x:c>
      <x:c r="B845" s="15" t="d">
        <x:v>2026-03-04T00:00:00.000Z</x:v>
      </x:c>
      <x:c r="C845" s="14" t="d">
        <x:v>2026-03-01T00:00:00.000Z</x:v>
      </x:c>
      <x:c r="D845" s="34" t="str">
        <x:v>0001</x:v>
      </x:c>
      <x:c r="E845" s="7" t="str">
        <x:v>East</x:v>
      </x:c>
      <x:c r="F845" s="7" t="n">
        <x:v>3</x:v>
      </x:c>
      <x:c r="G845" s="7" t="n">
        <x:v>160</x:v>
      </x:c>
      <x:c r="H845" s="9" t="n">
        <x:v>0</x:v>
      </x:c>
      <x:c r="I845" s="7" t="n">
        <x:v>480</x:v>
      </x:c>
    </x:row>
    <x:row r="846" ht="23" customHeight="1">
      <x:c r="A846" s="7" t="str">
        <x:v>INV00841</x:v>
      </x:c>
      <x:c r="B846" s="15" t="d">
        <x:v>2026-03-05T00:00:00.000Z</x:v>
      </x:c>
      <x:c r="C846" s="14" t="d">
        <x:v>2026-03-01T00:00:00.000Z</x:v>
      </x:c>
      <x:c r="D846" s="34" t="str">
        <x:v>0002</x:v>
      </x:c>
      <x:c r="E846" s="7" t="str">
        <x:v>East</x:v>
      </x:c>
      <x:c r="F846" s="7" t="n">
        <x:v>1</x:v>
      </x:c>
      <x:c r="G846" s="7" t="n">
        <x:v>180</x:v>
      </x:c>
      <x:c r="H846" s="9" t="n">
        <x:v>0.02</x:v>
      </x:c>
      <x:c r="I846" s="7" t="n">
        <x:v>176.4</x:v>
      </x:c>
    </x:row>
    <x:row r="847" ht="23" customHeight="1">
      <x:c r="A847" s="7" t="str">
        <x:v>INV00842</x:v>
      </x:c>
      <x:c r="B847" s="15" t="d">
        <x:v>2026-03-06T00:00:00.000Z</x:v>
      </x:c>
      <x:c r="C847" s="14" t="d">
        <x:v>2026-03-01T00:00:00.000Z</x:v>
      </x:c>
      <x:c r="D847" s="34" t="str">
        <x:v>0003</x:v>
      </x:c>
      <x:c r="E847" s="7" t="str">
        <x:v>East</x:v>
      </x:c>
      <x:c r="F847" s="7" t="n">
        <x:v>3</x:v>
      </x:c>
      <x:c r="G847" s="7" t="n">
        <x:v>200</x:v>
      </x:c>
      <x:c r="H847" s="9" t="n">
        <x:v>0.05</x:v>
      </x:c>
      <x:c r="I847" s="7" t="n">
        <x:v>570</x:v>
      </x:c>
    </x:row>
    <x:row r="848" ht="23" customHeight="1">
      <x:c r="A848" s="7" t="str">
        <x:v>INV00843</x:v>
      </x:c>
      <x:c r="B848" s="15" t="d">
        <x:v>2026-03-07T00:00:00.000Z</x:v>
      </x:c>
      <x:c r="C848" s="14" t="d">
        <x:v>2026-03-01T00:00:00.000Z</x:v>
      </x:c>
      <x:c r="D848" s="34" t="str">
        <x:v>0004</x:v>
      </x:c>
      <x:c r="E848" s="7" t="str">
        <x:v>East</x:v>
      </x:c>
      <x:c r="F848" s="7" t="n">
        <x:v>3</x:v>
      </x:c>
      <x:c r="G848" s="7" t="n">
        <x:v>220</x:v>
      </x:c>
      <x:c r="H848" s="9" t="n">
        <x:v>0</x:v>
      </x:c>
      <x:c r="I848" s="7" t="n">
        <x:v>660</x:v>
      </x:c>
    </x:row>
    <x:row r="849" ht="23" customHeight="1">
      <x:c r="A849" s="7" t="str">
        <x:v>INV00844</x:v>
      </x:c>
      <x:c r="B849" s="15" t="d">
        <x:v>2026-03-08T00:00:00.000Z</x:v>
      </x:c>
      <x:c r="C849" s="14" t="d">
        <x:v>2026-03-01T00:00:00.000Z</x:v>
      </x:c>
      <x:c r="D849" s="34" t="str">
        <x:v>0005</x:v>
      </x:c>
      <x:c r="E849" s="7" t="str">
        <x:v>East</x:v>
      </x:c>
      <x:c r="F849" s="7" t="n">
        <x:v>1</x:v>
      </x:c>
      <x:c r="G849" s="7" t="n">
        <x:v>240</x:v>
      </x:c>
      <x:c r="H849" s="9" t="n">
        <x:v>0.02</x:v>
      </x:c>
      <x:c r="I849" s="7" t="n">
        <x:v>235.2</x:v>
      </x:c>
    </x:row>
    <x:row r="850" ht="23" customHeight="1">
      <x:c r="A850" s="7" t="str">
        <x:v>INV00845</x:v>
      </x:c>
      <x:c r="B850" s="15" t="d">
        <x:v>2026-03-09T00:00:00.000Z</x:v>
      </x:c>
      <x:c r="C850" s="14" t="d">
        <x:v>2026-03-01T00:00:00.000Z</x:v>
      </x:c>
      <x:c r="D850" s="34" t="str">
        <x:v>0006</x:v>
      </x:c>
      <x:c r="E850" s="7" t="str">
        <x:v>East</x:v>
      </x:c>
      <x:c r="F850" s="7" t="n">
        <x:v>6</x:v>
      </x:c>
      <x:c r="G850" s="7" t="n">
        <x:v>260</x:v>
      </x:c>
      <x:c r="H850" s="9" t="n">
        <x:v>0.05</x:v>
      </x:c>
      <x:c r="I850" s="7" t="n">
        <x:v>1482</x:v>
      </x:c>
    </x:row>
    <x:row r="851" ht="23" customHeight="1">
      <x:c r="A851" s="7" t="str">
        <x:v>INV00846</x:v>
      </x:c>
      <x:c r="B851" s="15" t="d">
        <x:v>2026-03-10T00:00:00.000Z</x:v>
      </x:c>
      <x:c r="C851" s="14" t="d">
        <x:v>2026-03-01T00:00:00.000Z</x:v>
      </x:c>
      <x:c r="D851" s="34" t="str">
        <x:v>0007</x:v>
      </x:c>
      <x:c r="E851" s="7" t="str">
        <x:v>East</x:v>
      </x:c>
      <x:c r="F851" s="7" t="n">
        <x:v>1</x:v>
      </x:c>
      <x:c r="G851" s="7" t="n">
        <x:v>280</x:v>
      </x:c>
      <x:c r="H851" s="9" t="n">
        <x:v>0</x:v>
      </x:c>
      <x:c r="I851" s="7" t="n">
        <x:v>280</x:v>
      </x:c>
    </x:row>
    <x:row r="852" ht="23" customHeight="1">
      <x:c r="A852" s="7" t="str">
        <x:v>INV00847</x:v>
      </x:c>
      <x:c r="B852" s="15" t="d">
        <x:v>2026-03-11T00:00:00.000Z</x:v>
      </x:c>
      <x:c r="C852" s="14" t="d">
        <x:v>2026-03-01T00:00:00.000Z</x:v>
      </x:c>
      <x:c r="D852" s="34" t="str">
        <x:v>0008</x:v>
      </x:c>
      <x:c r="E852" s="7" t="str">
        <x:v>East</x:v>
      </x:c>
      <x:c r="F852" s="7" t="n">
        <x:v>3</x:v>
      </x:c>
      <x:c r="G852" s="7" t="n">
        <x:v>300</x:v>
      </x:c>
      <x:c r="H852" s="9" t="n">
        <x:v>0.02</x:v>
      </x:c>
      <x:c r="I852" s="7" t="n">
        <x:v>882</x:v>
      </x:c>
    </x:row>
    <x:row r="853" ht="23" customHeight="1">
      <x:c r="A853" s="7" t="str">
        <x:v>INV00848</x:v>
      </x:c>
      <x:c r="B853" s="15" t="d">
        <x:v>2026-03-12T00:00:00.000Z</x:v>
      </x:c>
      <x:c r="C853" s="14" t="d">
        <x:v>2026-03-01T00:00:00.000Z</x:v>
      </x:c>
      <x:c r="D853" s="34" t="str">
        <x:v>0001</x:v>
      </x:c>
      <x:c r="E853" s="7" t="str">
        <x:v>West</x:v>
      </x:c>
      <x:c r="F853" s="7" t="n">
        <x:v>3</x:v>
      </x:c>
      <x:c r="G853" s="7" t="n">
        <x:v>160</x:v>
      </x:c>
      <x:c r="H853" s="9" t="n">
        <x:v>0.05</x:v>
      </x:c>
      <x:c r="I853" s="7" t="n">
        <x:v>456</x:v>
      </x:c>
    </x:row>
    <x:row r="854" ht="23" customHeight="1">
      <x:c r="A854" s="7" t="str">
        <x:v>INV00849</x:v>
      </x:c>
      <x:c r="B854" s="15" t="d">
        <x:v>2026-03-13T00:00:00.000Z</x:v>
      </x:c>
      <x:c r="C854" s="14" t="d">
        <x:v>2026-03-01T00:00:00.000Z</x:v>
      </x:c>
      <x:c r="D854" s="34" t="str">
        <x:v>0002</x:v>
      </x:c>
      <x:c r="E854" s="7" t="str">
        <x:v>West</x:v>
      </x:c>
      <x:c r="F854" s="7" t="n">
        <x:v>7</x:v>
      </x:c>
      <x:c r="G854" s="7" t="n">
        <x:v>180</x:v>
      </x:c>
      <x:c r="H854" s="9" t="n">
        <x:v>0</x:v>
      </x:c>
      <x:c r="I854" s="7" t="n">
        <x:v>1260</x:v>
      </x:c>
    </x:row>
    <x:row r="855" ht="23" customHeight="1">
      <x:c r="A855" s="7" t="str">
        <x:v>INV00850</x:v>
      </x:c>
      <x:c r="B855" s="15" t="d">
        <x:v>2026-03-14T00:00:00.000Z</x:v>
      </x:c>
      <x:c r="C855" s="14" t="d">
        <x:v>2026-03-01T00:00:00.000Z</x:v>
      </x:c>
      <x:c r="D855" s="34" t="str">
        <x:v>0003</x:v>
      </x:c>
      <x:c r="E855" s="7" t="str">
        <x:v>West</x:v>
      </x:c>
      <x:c r="F855" s="7" t="n">
        <x:v>4</x:v>
      </x:c>
      <x:c r="G855" s="7" t="n">
        <x:v>200</x:v>
      </x:c>
      <x:c r="H855" s="9" t="n">
        <x:v>0.02</x:v>
      </x:c>
      <x:c r="I855" s="7" t="n">
        <x:v>784</x:v>
      </x:c>
    </x:row>
    <x:row r="856" ht="23" customHeight="1">
      <x:c r="A856" s="7" t="str">
        <x:v>INV00851</x:v>
      </x:c>
      <x:c r="B856" s="15" t="d">
        <x:v>2026-03-15T00:00:00.000Z</x:v>
      </x:c>
      <x:c r="C856" s="14" t="d">
        <x:v>2026-03-01T00:00:00.000Z</x:v>
      </x:c>
      <x:c r="D856" s="34" t="str">
        <x:v>0004</x:v>
      </x:c>
      <x:c r="E856" s="7" t="str">
        <x:v>West</x:v>
      </x:c>
      <x:c r="F856" s="7" t="n">
        <x:v>6</x:v>
      </x:c>
      <x:c r="G856" s="7" t="n">
        <x:v>220</x:v>
      </x:c>
      <x:c r="H856" s="9" t="n">
        <x:v>0.05</x:v>
      </x:c>
      <x:c r="I856" s="7" t="n">
        <x:v>1254</x:v>
      </x:c>
    </x:row>
    <x:row r="857" ht="23" customHeight="1">
      <x:c r="A857" s="7" t="str">
        <x:v>INV00852</x:v>
      </x:c>
      <x:c r="B857" s="15" t="d">
        <x:v>2026-03-16T00:00:00.000Z</x:v>
      </x:c>
      <x:c r="C857" s="14" t="d">
        <x:v>2026-03-01T00:00:00.000Z</x:v>
      </x:c>
      <x:c r="D857" s="34" t="str">
        <x:v>0005</x:v>
      </x:c>
      <x:c r="E857" s="7" t="str">
        <x:v>West</x:v>
      </x:c>
      <x:c r="F857" s="7" t="n">
        <x:v>1</x:v>
      </x:c>
      <x:c r="G857" s="7" t="n">
        <x:v>240</x:v>
      </x:c>
      <x:c r="H857" s="9" t="n">
        <x:v>0</x:v>
      </x:c>
      <x:c r="I857" s="7" t="n">
        <x:v>240</x:v>
      </x:c>
    </x:row>
    <x:row r="858" ht="23" customHeight="1">
      <x:c r="A858" s="7" t="str">
        <x:v>INV00853</x:v>
      </x:c>
      <x:c r="B858" s="15" t="d">
        <x:v>2026-03-17T00:00:00.000Z</x:v>
      </x:c>
      <x:c r="C858" s="14" t="d">
        <x:v>2026-03-01T00:00:00.000Z</x:v>
      </x:c>
      <x:c r="D858" s="34" t="str">
        <x:v>0006</x:v>
      </x:c>
      <x:c r="E858" s="7" t="str">
        <x:v>West</x:v>
      </x:c>
      <x:c r="F858" s="7" t="n">
        <x:v>2</x:v>
      </x:c>
      <x:c r="G858" s="7" t="n">
        <x:v>260</x:v>
      </x:c>
      <x:c r="H858" s="9" t="n">
        <x:v>0.02</x:v>
      </x:c>
      <x:c r="I858" s="7" t="n">
        <x:v>509.6</x:v>
      </x:c>
    </x:row>
    <x:row r="859" ht="23" customHeight="1">
      <x:c r="A859" s="7" t="str">
        <x:v>INV00854</x:v>
      </x:c>
      <x:c r="B859" s="15" t="d">
        <x:v>2026-03-18T00:00:00.000Z</x:v>
      </x:c>
      <x:c r="C859" s="14" t="d">
        <x:v>2026-03-01T00:00:00.000Z</x:v>
      </x:c>
      <x:c r="D859" s="34" t="str">
        <x:v>0007</x:v>
      </x:c>
      <x:c r="E859" s="7" t="str">
        <x:v>West</x:v>
      </x:c>
      <x:c r="F859" s="7" t="n">
        <x:v>6</x:v>
      </x:c>
      <x:c r="G859" s="7" t="n">
        <x:v>280</x:v>
      </x:c>
      <x:c r="H859" s="9" t="n">
        <x:v>0.05</x:v>
      </x:c>
      <x:c r="I859" s="7" t="n">
        <x:v>1596</x:v>
      </x:c>
    </x:row>
    <x:row r="860" ht="23" customHeight="1">
      <x:c r="A860" s="7" t="str">
        <x:v>INV00855</x:v>
      </x:c>
      <x:c r="B860" s="15" t="d">
        <x:v>2026-03-19T00:00:00.000Z</x:v>
      </x:c>
      <x:c r="C860" s="14" t="d">
        <x:v>2026-03-01T00:00:00.000Z</x:v>
      </x:c>
      <x:c r="D860" s="34" t="str">
        <x:v>0008</x:v>
      </x:c>
      <x:c r="E860" s="7" t="str">
        <x:v>West</x:v>
      </x:c>
      <x:c r="F860" s="7" t="n">
        <x:v>7</x:v>
      </x:c>
      <x:c r="G860" s="7" t="n">
        <x:v>300</x:v>
      </x:c>
      <x:c r="H860" s="9" t="n">
        <x:v>0</x:v>
      </x:c>
      <x:c r="I860" s="7" t="n">
        <x:v>2100</x:v>
      </x:c>
    </x:row>
    <x:row r="861" ht="23" customHeight="1">
      <x:c r="A861" s="7" t="str">
        <x:v>INV00856</x:v>
      </x:c>
      <x:c r="B861" s="15" t="d">
        <x:v>2026-03-20T00:00:00.000Z</x:v>
      </x:c>
      <x:c r="C861" s="14" t="d">
        <x:v>2026-03-01T00:00:00.000Z</x:v>
      </x:c>
      <x:c r="D861" s="34" t="str">
        <x:v>0001</x:v>
      </x:c>
      <x:c r="E861" s="7" t="str">
        <x:v>North</x:v>
      </x:c>
      <x:c r="F861" s="7" t="n">
        <x:v>2</x:v>
      </x:c>
      <x:c r="G861" s="7" t="n">
        <x:v>160</x:v>
      </x:c>
      <x:c r="H861" s="9" t="n">
        <x:v>0.02</x:v>
      </x:c>
      <x:c r="I861" s="7" t="n">
        <x:v>313.6</x:v>
      </x:c>
    </x:row>
    <x:row r="862" ht="23" customHeight="1">
      <x:c r="A862" s="7" t="str">
        <x:v>INV00857</x:v>
      </x:c>
      <x:c r="B862" s="15" t="d">
        <x:v>2026-03-21T00:00:00.000Z</x:v>
      </x:c>
      <x:c r="C862" s="14" t="d">
        <x:v>2026-03-01T00:00:00.000Z</x:v>
      </x:c>
      <x:c r="D862" s="34" t="str">
        <x:v>0002</x:v>
      </x:c>
      <x:c r="E862" s="7" t="str">
        <x:v>North</x:v>
      </x:c>
      <x:c r="F862" s="7" t="n">
        <x:v>3</x:v>
      </x:c>
      <x:c r="G862" s="7" t="n">
        <x:v>180</x:v>
      </x:c>
      <x:c r="H862" s="9" t="n">
        <x:v>0.05</x:v>
      </x:c>
      <x:c r="I862" s="7" t="n">
        <x:v>513</x:v>
      </x:c>
    </x:row>
    <x:row r="863" ht="23" customHeight="1">
      <x:c r="A863" s="7" t="str">
        <x:v>INV00858</x:v>
      </x:c>
      <x:c r="B863" s="15" t="d">
        <x:v>2026-03-22T00:00:00.000Z</x:v>
      </x:c>
      <x:c r="C863" s="14" t="d">
        <x:v>2026-03-01T00:00:00.000Z</x:v>
      </x:c>
      <x:c r="D863" s="34" t="str">
        <x:v>0003</x:v>
      </x:c>
      <x:c r="E863" s="7" t="str">
        <x:v>North</x:v>
      </x:c>
      <x:c r="F863" s="7" t="n">
        <x:v>3</x:v>
      </x:c>
      <x:c r="G863" s="7" t="n">
        <x:v>200</x:v>
      </x:c>
      <x:c r="H863" s="9" t="n">
        <x:v>0</x:v>
      </x:c>
      <x:c r="I863" s="7" t="n">
        <x:v>600</x:v>
      </x:c>
    </x:row>
    <x:row r="864" ht="23" customHeight="1">
      <x:c r="A864" s="7" t="str">
        <x:v>INV00859</x:v>
      </x:c>
      <x:c r="B864" s="15" t="d">
        <x:v>2026-03-23T00:00:00.000Z</x:v>
      </x:c>
      <x:c r="C864" s="14" t="d">
        <x:v>2026-03-01T00:00:00.000Z</x:v>
      </x:c>
      <x:c r="D864" s="34" t="str">
        <x:v>0004</x:v>
      </x:c>
      <x:c r="E864" s="7" t="str">
        <x:v>North</x:v>
      </x:c>
      <x:c r="F864" s="7" t="n">
        <x:v>2</x:v>
      </x:c>
      <x:c r="G864" s="7" t="n">
        <x:v>220</x:v>
      </x:c>
      <x:c r="H864" s="9" t="n">
        <x:v>0.02</x:v>
      </x:c>
      <x:c r="I864" s="7" t="n">
        <x:v>431.2</x:v>
      </x:c>
    </x:row>
    <x:row r="865" ht="23" customHeight="1">
      <x:c r="A865" s="7" t="str">
        <x:v>INV00860</x:v>
      </x:c>
      <x:c r="B865" s="15" t="d">
        <x:v>2026-03-24T00:00:00.000Z</x:v>
      </x:c>
      <x:c r="C865" s="14" t="d">
        <x:v>2026-03-01T00:00:00.000Z</x:v>
      </x:c>
      <x:c r="D865" s="34" t="str">
        <x:v>0005</x:v>
      </x:c>
      <x:c r="E865" s="7" t="str">
        <x:v>North</x:v>
      </x:c>
      <x:c r="F865" s="7" t="n">
        <x:v>3</x:v>
      </x:c>
      <x:c r="G865" s="7" t="n">
        <x:v>240</x:v>
      </x:c>
      <x:c r="H865" s="9" t="n">
        <x:v>0.05</x:v>
      </x:c>
      <x:c r="I865" s="7" t="n">
        <x:v>684</x:v>
      </x:c>
    </x:row>
    <x:row r="866" ht="23" customHeight="1">
      <x:c r="A866" s="7" t="str">
        <x:v>INV00861</x:v>
      </x:c>
      <x:c r="B866" s="15" t="d">
        <x:v>2026-03-25T00:00:00.000Z</x:v>
      </x:c>
      <x:c r="C866" s="14" t="d">
        <x:v>2026-03-01T00:00:00.000Z</x:v>
      </x:c>
      <x:c r="D866" s="34" t="str">
        <x:v>0006</x:v>
      </x:c>
      <x:c r="E866" s="7" t="str">
        <x:v>North</x:v>
      </x:c>
      <x:c r="F866" s="7" t="n">
        <x:v>-6</x:v>
      </x:c>
      <x:c r="G866" s="7" t="n">
        <x:v>260</x:v>
      </x:c>
      <x:c r="H866" s="9" t="n">
        <x:v>0</x:v>
      </x:c>
      <x:c r="I866" s="7" t="n">
        <x:v>-1560</x:v>
      </x:c>
    </x:row>
    <x:row r="867" ht="23" customHeight="1">
      <x:c r="A867" s="7" t="str">
        <x:v>INV00862</x:v>
      </x:c>
      <x:c r="B867" s="15" t="d">
        <x:v>2026-03-26T00:00:00.000Z</x:v>
      </x:c>
      <x:c r="C867" s="14" t="d">
        <x:v>2026-03-01T00:00:00.000Z</x:v>
      </x:c>
      <x:c r="D867" s="34" t="str">
        <x:v>0007</x:v>
      </x:c>
      <x:c r="E867" s="7" t="str">
        <x:v>North</x:v>
      </x:c>
      <x:c r="F867" s="7" t="n">
        <x:v>4</x:v>
      </x:c>
      <x:c r="G867" s="7" t="n">
        <x:v>280</x:v>
      </x:c>
      <x:c r="H867" s="9" t="n">
        <x:v>0.02</x:v>
      </x:c>
      <x:c r="I867" s="7" t="n">
        <x:v>1097.6</x:v>
      </x:c>
    </x:row>
    <x:row r="868" ht="23" customHeight="1">
      <x:c r="A868" s="7" t="str">
        <x:v>INV00863</x:v>
      </x:c>
      <x:c r="B868" s="15" t="d">
        <x:v>2026-03-27T00:00:00.000Z</x:v>
      </x:c>
      <x:c r="C868" s="14" t="d">
        <x:v>2026-03-01T00:00:00.000Z</x:v>
      </x:c>
      <x:c r="D868" s="34" t="str">
        <x:v>0008</x:v>
      </x:c>
      <x:c r="E868" s="7" t="str">
        <x:v>North</x:v>
      </x:c>
      <x:c r="F868" s="7" t="n">
        <x:v>2</x:v>
      </x:c>
      <x:c r="G868" s="7" t="n">
        <x:v>300</x:v>
      </x:c>
      <x:c r="H868" s="9" t="n">
        <x:v>0.05</x:v>
      </x:c>
      <x:c r="I868" s="7" t="n">
        <x:v>570</x:v>
      </x:c>
    </x:row>
    <x:row r="869" ht="23" customHeight="1">
      <x:c r="A869" s="7" t="str">
        <x:v>INV00864</x:v>
      </x:c>
      <x:c r="B869" s="15" t="d">
        <x:v>2026-04-01T00:00:00.000Z</x:v>
      </x:c>
      <x:c r="C869" s="14" t="d">
        <x:v>2026-04-01T00:00:00.000Z</x:v>
      </x:c>
      <x:c r="D869" s="34" t="str">
        <x:v>0001</x:v>
      </x:c>
      <x:c r="E869" s="7" t="str">
        <x:v>Central</x:v>
      </x:c>
      <x:c r="F869" s="7" t="n">
        <x:v>1</x:v>
      </x:c>
      <x:c r="G869" s="7" t="n">
        <x:v>160</x:v>
      </x:c>
      <x:c r="H869" s="9" t="n">
        <x:v>0</x:v>
      </x:c>
      <x:c r="I869" s="7" t="n">
        <x:v>160</x:v>
      </x:c>
    </x:row>
    <x:row r="870" ht="23" customHeight="1">
      <x:c r="A870" s="7" t="str">
        <x:v>INV00865</x:v>
      </x:c>
      <x:c r="B870" s="15" t="d">
        <x:v>2026-04-02T00:00:00.000Z</x:v>
      </x:c>
      <x:c r="C870" s="14" t="d">
        <x:v>2026-04-01T00:00:00.000Z</x:v>
      </x:c>
      <x:c r="D870" s="34" t="str">
        <x:v>0002</x:v>
      </x:c>
      <x:c r="E870" s="7" t="str">
        <x:v>Central</x:v>
      </x:c>
      <x:c r="F870" s="7" t="n">
        <x:v>6</x:v>
      </x:c>
      <x:c r="G870" s="7" t="n">
        <x:v>180</x:v>
      </x:c>
      <x:c r="H870" s="9" t="n">
        <x:v>0.02</x:v>
      </x:c>
      <x:c r="I870" s="7" t="n">
        <x:v>1058.4</x:v>
      </x:c>
    </x:row>
    <x:row r="871" ht="23" customHeight="1">
      <x:c r="A871" s="7" t="str">
        <x:v>INV00866</x:v>
      </x:c>
      <x:c r="B871" s="15" t="d">
        <x:v>2026-04-03T00:00:00.000Z</x:v>
      </x:c>
      <x:c r="C871" s="14" t="d">
        <x:v>2026-04-01T00:00:00.000Z</x:v>
      </x:c>
      <x:c r="D871" s="34" t="str">
        <x:v>0003</x:v>
      </x:c>
      <x:c r="E871" s="7" t="str">
        <x:v>Central</x:v>
      </x:c>
      <x:c r="F871" s="7" t="n">
        <x:v>1</x:v>
      </x:c>
      <x:c r="G871" s="7" t="n">
        <x:v>200</x:v>
      </x:c>
      <x:c r="H871" s="9" t="n">
        <x:v>0.05</x:v>
      </x:c>
      <x:c r="I871" s="7" t="n">
        <x:v>190</x:v>
      </x:c>
    </x:row>
    <x:row r="872" ht="23" customHeight="1">
      <x:c r="A872" s="7" t="str">
        <x:v>INV00867</x:v>
      </x:c>
      <x:c r="B872" s="15" t="d">
        <x:v>2026-04-04T00:00:00.000Z</x:v>
      </x:c>
      <x:c r="C872" s="14" t="d">
        <x:v>2026-04-01T00:00:00.000Z</x:v>
      </x:c>
      <x:c r="D872" s="34" t="str">
        <x:v>0004</x:v>
      </x:c>
      <x:c r="E872" s="7" t="str">
        <x:v>Central</x:v>
      </x:c>
      <x:c r="F872" s="7" t="n">
        <x:v>5</x:v>
      </x:c>
      <x:c r="G872" s="7" t="n">
        <x:v>220</x:v>
      </x:c>
      <x:c r="H872" s="9" t="n">
        <x:v>0</x:v>
      </x:c>
      <x:c r="I872" s="7" t="n">
        <x:v>1100</x:v>
      </x:c>
    </x:row>
    <x:row r="873" ht="23" customHeight="1">
      <x:c r="A873" s="7" t="str">
        <x:v>INV00868</x:v>
      </x:c>
      <x:c r="B873" s="15" t="d">
        <x:v>2026-04-05T00:00:00.000Z</x:v>
      </x:c>
      <x:c r="C873" s="14" t="d">
        <x:v>2026-04-01T00:00:00.000Z</x:v>
      </x:c>
      <x:c r="D873" s="34" t="str">
        <x:v>0005</x:v>
      </x:c>
      <x:c r="E873" s="7" t="str">
        <x:v>Central</x:v>
      </x:c>
      <x:c r="F873" s="7" t="n">
        <x:v>2</x:v>
      </x:c>
      <x:c r="G873" s="7" t="n">
        <x:v>240</x:v>
      </x:c>
      <x:c r="H873" s="9" t="n">
        <x:v>0.02</x:v>
      </x:c>
      <x:c r="I873" s="7" t="n">
        <x:v>470.4</x:v>
      </x:c>
    </x:row>
    <x:row r="874" ht="23" customHeight="1">
      <x:c r="A874" s="7" t="str">
        <x:v>INV00869</x:v>
      </x:c>
      <x:c r="B874" s="15" t="d">
        <x:v>2026-04-06T00:00:00.000Z</x:v>
      </x:c>
      <x:c r="C874" s="14" t="d">
        <x:v>2026-04-01T00:00:00.000Z</x:v>
      </x:c>
      <x:c r="D874" s="34" t="str">
        <x:v>0006</x:v>
      </x:c>
      <x:c r="E874" s="7" t="str">
        <x:v>Central</x:v>
      </x:c>
      <x:c r="F874" s="7" t="n">
        <x:v>4</x:v>
      </x:c>
      <x:c r="G874" s="7" t="n">
        <x:v>260</x:v>
      </x:c>
      <x:c r="H874" s="9" t="n">
        <x:v>0.05</x:v>
      </x:c>
      <x:c r="I874" s="7" t="n">
        <x:v>988</x:v>
      </x:c>
    </x:row>
    <x:row r="875" ht="23" customHeight="1">
      <x:c r="A875" s="7" t="str">
        <x:v>INV00870</x:v>
      </x:c>
      <x:c r="B875" s="15" t="d">
        <x:v>2026-04-07T00:00:00.000Z</x:v>
      </x:c>
      <x:c r="C875" s="14" t="d">
        <x:v>2026-04-01T00:00:00.000Z</x:v>
      </x:c>
      <x:c r="D875" s="34" t="str">
        <x:v>0007</x:v>
      </x:c>
      <x:c r="E875" s="7" t="str">
        <x:v>Central</x:v>
      </x:c>
      <x:c r="F875" s="7" t="n">
        <x:v>4</x:v>
      </x:c>
      <x:c r="G875" s="7" t="n">
        <x:v>280</x:v>
      </x:c>
      <x:c r="H875" s="9" t="n">
        <x:v>0</x:v>
      </x:c>
      <x:c r="I875" s="7" t="n">
        <x:v>1120</x:v>
      </x:c>
    </x:row>
    <x:row r="876" ht="23" customHeight="1">
      <x:c r="A876" s="7" t="str">
        <x:v>INV00871</x:v>
      </x:c>
      <x:c r="B876" s="15" t="d">
        <x:v>2026-04-08T00:00:00.000Z</x:v>
      </x:c>
      <x:c r="C876" s="14" t="d">
        <x:v>2026-04-01T00:00:00.000Z</x:v>
      </x:c>
      <x:c r="D876" s="34" t="str">
        <x:v>0008</x:v>
      </x:c>
      <x:c r="E876" s="7" t="str">
        <x:v>Central</x:v>
      </x:c>
      <x:c r="F876" s="7" t="n">
        <x:v>5</x:v>
      </x:c>
      <x:c r="G876" s="7" t="n">
        <x:v>300</x:v>
      </x:c>
      <x:c r="H876" s="9" t="n">
        <x:v>0.02</x:v>
      </x:c>
      <x:c r="I876" s="7" t="n">
        <x:v>1470</x:v>
      </x:c>
    </x:row>
    <x:row r="877" ht="23" customHeight="1">
      <x:c r="A877" s="7" t="str">
        <x:v>INV00872</x:v>
      </x:c>
      <x:c r="B877" s="15" t="d">
        <x:v>2026-04-09T00:00:00.000Z</x:v>
      </x:c>
      <x:c r="C877" s="14" t="d">
        <x:v>2026-04-01T00:00:00.000Z</x:v>
      </x:c>
      <x:c r="D877" s="34" t="str">
        <x:v>0001</x:v>
      </x:c>
      <x:c r="E877" s="7" t="str">
        <x:v>East</x:v>
      </x:c>
      <x:c r="F877" s="7" t="n">
        <x:v>7</x:v>
      </x:c>
      <x:c r="G877" s="7" t="n">
        <x:v>160</x:v>
      </x:c>
      <x:c r="H877" s="9" t="n">
        <x:v>0.05</x:v>
      </x:c>
      <x:c r="I877" s="7" t="n">
        <x:v>1064</x:v>
      </x:c>
    </x:row>
    <x:row r="878" ht="23" customHeight="1">
      <x:c r="A878" s="7" t="str">
        <x:v>INV00873</x:v>
      </x:c>
      <x:c r="B878" s="15" t="d">
        <x:v>2026-04-10T00:00:00.000Z</x:v>
      </x:c>
      <x:c r="C878" s="14" t="d">
        <x:v>2026-04-01T00:00:00.000Z</x:v>
      </x:c>
      <x:c r="D878" s="34" t="str">
        <x:v>0002</x:v>
      </x:c>
      <x:c r="E878" s="7" t="str">
        <x:v>East</x:v>
      </x:c>
      <x:c r="F878" s="7" t="n">
        <x:v>6</x:v>
      </x:c>
      <x:c r="G878" s="7" t="n">
        <x:v>180</x:v>
      </x:c>
      <x:c r="H878" s="9" t="n">
        <x:v>0</x:v>
      </x:c>
      <x:c r="I878" s="7" t="n">
        <x:v>1080</x:v>
      </x:c>
    </x:row>
    <x:row r="879" ht="23" customHeight="1">
      <x:c r="A879" s="7" t="str">
        <x:v>INV00874</x:v>
      </x:c>
      <x:c r="B879" s="15" t="d">
        <x:v>2026-04-11T00:00:00.000Z</x:v>
      </x:c>
      <x:c r="C879" s="14" t="d">
        <x:v>2026-04-01T00:00:00.000Z</x:v>
      </x:c>
      <x:c r="D879" s="34" t="str">
        <x:v>0003</x:v>
      </x:c>
      <x:c r="E879" s="7" t="str">
        <x:v>East</x:v>
      </x:c>
      <x:c r="F879" s="7" t="n">
        <x:v>6</x:v>
      </x:c>
      <x:c r="G879" s="7" t="n">
        <x:v>200</x:v>
      </x:c>
      <x:c r="H879" s="9" t="n">
        <x:v>0.02</x:v>
      </x:c>
      <x:c r="I879" s="7" t="n">
        <x:v>1176</x:v>
      </x:c>
    </x:row>
    <x:row r="880" ht="23" customHeight="1">
      <x:c r="A880" s="7" t="str">
        <x:v>INV00875</x:v>
      </x:c>
      <x:c r="B880" s="15" t="d">
        <x:v>2026-04-12T00:00:00.000Z</x:v>
      </x:c>
      <x:c r="C880" s="14" t="d">
        <x:v>2026-04-01T00:00:00.000Z</x:v>
      </x:c>
      <x:c r="D880" s="34" t="str">
        <x:v>0004</x:v>
      </x:c>
      <x:c r="E880" s="7" t="str">
        <x:v>East</x:v>
      </x:c>
      <x:c r="F880" s="7" t="n">
        <x:v>6</x:v>
      </x:c>
      <x:c r="G880" s="7" t="n">
        <x:v>220</x:v>
      </x:c>
      <x:c r="H880" s="9" t="n">
        <x:v>0.05</x:v>
      </x:c>
      <x:c r="I880" s="7" t="n">
        <x:v>1254</x:v>
      </x:c>
    </x:row>
    <x:row r="881" ht="23" customHeight="1">
      <x:c r="A881" s="7" t="str">
        <x:v>INV00876</x:v>
      </x:c>
      <x:c r="B881" s="15" t="d">
        <x:v>2026-04-13T00:00:00.000Z</x:v>
      </x:c>
      <x:c r="C881" s="14" t="d">
        <x:v>2026-04-01T00:00:00.000Z</x:v>
      </x:c>
      <x:c r="D881" s="34" t="str">
        <x:v>0005</x:v>
      </x:c>
      <x:c r="E881" s="7" t="str">
        <x:v>East</x:v>
      </x:c>
      <x:c r="F881" s="7" t="n">
        <x:v>3</x:v>
      </x:c>
      <x:c r="G881" s="7" t="n">
        <x:v>240</x:v>
      </x:c>
      <x:c r="H881" s="9" t="n">
        <x:v>0</x:v>
      </x:c>
      <x:c r="I881" s="7" t="n">
        <x:v>720</x:v>
      </x:c>
    </x:row>
    <x:row r="882" ht="23" customHeight="1">
      <x:c r="A882" s="7" t="str">
        <x:v>INV00877</x:v>
      </x:c>
      <x:c r="B882" s="15" t="d">
        <x:v>2026-04-14T00:00:00.000Z</x:v>
      </x:c>
      <x:c r="C882" s="14" t="d">
        <x:v>2026-04-01T00:00:00.000Z</x:v>
      </x:c>
      <x:c r="D882" s="34" t="str">
        <x:v>0006</x:v>
      </x:c>
      <x:c r="E882" s="7" t="str">
        <x:v>East</x:v>
      </x:c>
      <x:c r="F882" s="7" t="n">
        <x:v>6</x:v>
      </x:c>
      <x:c r="G882" s="7" t="n">
        <x:v>260</x:v>
      </x:c>
      <x:c r="H882" s="9" t="n">
        <x:v>0.02</x:v>
      </x:c>
      <x:c r="I882" s="7" t="n">
        <x:v>1528.8</x:v>
      </x:c>
    </x:row>
    <x:row r="883" ht="23" customHeight="1">
      <x:c r="A883" s="7" t="str">
        <x:v>INV00878</x:v>
      </x:c>
      <x:c r="B883" s="15" t="d">
        <x:v>2026-04-15T00:00:00.000Z</x:v>
      </x:c>
      <x:c r="C883" s="14" t="d">
        <x:v>2026-04-01T00:00:00.000Z</x:v>
      </x:c>
      <x:c r="D883" s="34" t="str">
        <x:v>0007</x:v>
      </x:c>
      <x:c r="E883" s="7" t="str">
        <x:v>East</x:v>
      </x:c>
      <x:c r="F883" s="7" t="n">
        <x:v>3</x:v>
      </x:c>
      <x:c r="G883" s="7" t="n">
        <x:v>280</x:v>
      </x:c>
      <x:c r="H883" s="9" t="n">
        <x:v>0.05</x:v>
      </x:c>
      <x:c r="I883" s="7" t="n">
        <x:v>798</x:v>
      </x:c>
    </x:row>
    <x:row r="884" ht="23" customHeight="1">
      <x:c r="A884" s="7" t="str">
        <x:v>INV00879</x:v>
      </x:c>
      <x:c r="B884" s="15" t="d">
        <x:v>2026-04-16T00:00:00.000Z</x:v>
      </x:c>
      <x:c r="C884" s="14" t="d">
        <x:v>2026-04-01T00:00:00.000Z</x:v>
      </x:c>
      <x:c r="D884" s="34" t="str">
        <x:v>0008</x:v>
      </x:c>
      <x:c r="E884" s="7" t="str">
        <x:v>East</x:v>
      </x:c>
      <x:c r="F884" s="7" t="n">
        <x:v>6</x:v>
      </x:c>
      <x:c r="G884" s="7" t="n">
        <x:v>300</x:v>
      </x:c>
      <x:c r="H884" s="9" t="n">
        <x:v>0</x:v>
      </x:c>
      <x:c r="I884" s="7" t="n">
        <x:v>1800</x:v>
      </x:c>
    </x:row>
    <x:row r="885" ht="23" customHeight="1">
      <x:c r="A885" s="7" t="str">
        <x:v>INV00880</x:v>
      </x:c>
      <x:c r="B885" s="15" t="d">
        <x:v>2026-04-17T00:00:00.000Z</x:v>
      </x:c>
      <x:c r="C885" s="14" t="d">
        <x:v>2026-04-01T00:00:00.000Z</x:v>
      </x:c>
      <x:c r="D885" s="34" t="str">
        <x:v>0001</x:v>
      </x:c>
      <x:c r="E885" s="7" t="str">
        <x:v>West</x:v>
      </x:c>
      <x:c r="F885" s="7" t="n">
        <x:v>3</x:v>
      </x:c>
      <x:c r="G885" s="7" t="n">
        <x:v>160</x:v>
      </x:c>
      <x:c r="H885" s="9" t="n">
        <x:v>0.02</x:v>
      </x:c>
      <x:c r="I885" s="7" t="n">
        <x:v>470.4</x:v>
      </x:c>
    </x:row>
    <x:row r="886" ht="23" customHeight="1">
      <x:c r="A886" s="7" t="str">
        <x:v>INV00881</x:v>
      </x:c>
      <x:c r="B886" s="15" t="d">
        <x:v>2026-04-18T00:00:00.000Z</x:v>
      </x:c>
      <x:c r="C886" s="14" t="d">
        <x:v>2026-04-01T00:00:00.000Z</x:v>
      </x:c>
      <x:c r="D886" s="34" t="str">
        <x:v>0002</x:v>
      </x:c>
      <x:c r="E886" s="7" t="str">
        <x:v>West</x:v>
      </x:c>
      <x:c r="F886" s="7" t="n">
        <x:v>2</x:v>
      </x:c>
      <x:c r="G886" s="7" t="n">
        <x:v>180</x:v>
      </x:c>
      <x:c r="H886" s="9" t="n">
        <x:v>0.05</x:v>
      </x:c>
      <x:c r="I886" s="7" t="n">
        <x:v>342</x:v>
      </x:c>
    </x:row>
    <x:row r="887" ht="23" customHeight="1">
      <x:c r="A887" s="7" t="str">
        <x:v>INV00882</x:v>
      </x:c>
      <x:c r="B887" s="15" t="d">
        <x:v>2026-04-19T00:00:00.000Z</x:v>
      </x:c>
      <x:c r="C887" s="14" t="d">
        <x:v>2026-04-01T00:00:00.000Z</x:v>
      </x:c>
      <x:c r="D887" s="34" t="str">
        <x:v>0003</x:v>
      </x:c>
      <x:c r="E887" s="7" t="str">
        <x:v>West</x:v>
      </x:c>
      <x:c r="F887" s="7" t="n">
        <x:v>7</x:v>
      </x:c>
      <x:c r="G887" s="7" t="n">
        <x:v>200</x:v>
      </x:c>
      <x:c r="H887" s="9" t="n">
        <x:v>0</x:v>
      </x:c>
      <x:c r="I887" s="7" t="n">
        <x:v>1400</x:v>
      </x:c>
    </x:row>
    <x:row r="888" ht="23" customHeight="1">
      <x:c r="A888" s="7" t="str">
        <x:v>INV00883</x:v>
      </x:c>
      <x:c r="B888" s="15" t="d">
        <x:v>2026-04-20T00:00:00.000Z</x:v>
      </x:c>
      <x:c r="C888" s="14" t="d">
        <x:v>2026-04-01T00:00:00.000Z</x:v>
      </x:c>
      <x:c r="D888" s="34" t="str">
        <x:v>0004</x:v>
      </x:c>
      <x:c r="E888" s="7" t="str">
        <x:v>West</x:v>
      </x:c>
      <x:c r="F888" s="7" t="n">
        <x:v>2</x:v>
      </x:c>
      <x:c r="G888" s="7" t="n">
        <x:v>220</x:v>
      </x:c>
      <x:c r="H888" s="9" t="n">
        <x:v>0.02</x:v>
      </x:c>
      <x:c r="I888" s="7" t="n">
        <x:v>431.2</x:v>
      </x:c>
    </x:row>
    <x:row r="889" ht="23" customHeight="1">
      <x:c r="A889" s="7" t="str">
        <x:v>INV00884</x:v>
      </x:c>
      <x:c r="B889" s="15" t="d">
        <x:v>2026-04-21T00:00:00.000Z</x:v>
      </x:c>
      <x:c r="C889" s="14" t="d">
        <x:v>2026-04-01T00:00:00.000Z</x:v>
      </x:c>
      <x:c r="D889" s="34" t="str">
        <x:v>0005</x:v>
      </x:c>
      <x:c r="E889" s="7" t="str">
        <x:v>West</x:v>
      </x:c>
      <x:c r="F889" s="7" t="n">
        <x:v>3</x:v>
      </x:c>
      <x:c r="G889" s="7" t="n">
        <x:v>240</x:v>
      </x:c>
      <x:c r="H889" s="9" t="n">
        <x:v>0.05</x:v>
      </x:c>
      <x:c r="I889" s="7" t="n">
        <x:v>684</x:v>
      </x:c>
    </x:row>
    <x:row r="890" ht="23" customHeight="1">
      <x:c r="A890" s="7" t="str">
        <x:v>INV00885</x:v>
      </x:c>
      <x:c r="B890" s="15" t="d">
        <x:v>2026-04-22T00:00:00.000Z</x:v>
      </x:c>
      <x:c r="C890" s="14" t="d">
        <x:v>2026-04-01T00:00:00.000Z</x:v>
      </x:c>
      <x:c r="D890" s="34" t="str">
        <x:v>0006</x:v>
      </x:c>
      <x:c r="E890" s="7" t="str">
        <x:v>West</x:v>
      </x:c>
      <x:c r="F890" s="7" t="n">
        <x:v>1</x:v>
      </x:c>
      <x:c r="G890" s="7" t="n">
        <x:v>260</x:v>
      </x:c>
      <x:c r="H890" s="9" t="n">
        <x:v>0</x:v>
      </x:c>
      <x:c r="I890" s="7" t="n">
        <x:v>260</x:v>
      </x:c>
    </x:row>
    <x:row r="891" ht="23" customHeight="1">
      <x:c r="A891" s="7" t="str">
        <x:v>INV00886</x:v>
      </x:c>
      <x:c r="B891" s="15" t="d">
        <x:v>2026-04-23T00:00:00.000Z</x:v>
      </x:c>
      <x:c r="C891" s="14" t="d">
        <x:v>2026-04-01T00:00:00.000Z</x:v>
      </x:c>
      <x:c r="D891" s="34" t="str">
        <x:v>0007</x:v>
      </x:c>
      <x:c r="E891" s="7" t="str">
        <x:v>West</x:v>
      </x:c>
      <x:c r="F891" s="7" t="n">
        <x:v>4</x:v>
      </x:c>
      <x:c r="G891" s="7" t="n">
        <x:v>280</x:v>
      </x:c>
      <x:c r="H891" s="9" t="n">
        <x:v>0.02</x:v>
      </x:c>
      <x:c r="I891" s="7" t="n">
        <x:v>1097.6</x:v>
      </x:c>
    </x:row>
    <x:row r="892" ht="23" customHeight="1">
      <x:c r="A892" s="7" t="str">
        <x:v>INV00887</x:v>
      </x:c>
      <x:c r="B892" s="15" t="d">
        <x:v>2026-04-24T00:00:00.000Z</x:v>
      </x:c>
      <x:c r="C892" s="14" t="d">
        <x:v>2026-04-01T00:00:00.000Z</x:v>
      </x:c>
      <x:c r="D892" s="34" t="str">
        <x:v>0008</x:v>
      </x:c>
      <x:c r="E892" s="7" t="str">
        <x:v>West</x:v>
      </x:c>
      <x:c r="F892" s="7" t="n">
        <x:v>1</x:v>
      </x:c>
      <x:c r="G892" s="7" t="n">
        <x:v>300</x:v>
      </x:c>
      <x:c r="H892" s="9" t="n">
        <x:v>0.05</x:v>
      </x:c>
      <x:c r="I892" s="7" t="n">
        <x:v>285</x:v>
      </x:c>
    </x:row>
    <x:row r="893" ht="23" customHeight="1">
      <x:c r="A893" s="7" t="str">
        <x:v>INV00888</x:v>
      </x:c>
      <x:c r="B893" s="15" t="d">
        <x:v>2026-04-25T00:00:00.000Z</x:v>
      </x:c>
      <x:c r="C893" s="14" t="d">
        <x:v>2026-04-01T00:00:00.000Z</x:v>
      </x:c>
      <x:c r="D893" s="34" t="str">
        <x:v>0001</x:v>
      </x:c>
      <x:c r="E893" s="7" t="str">
        <x:v>North</x:v>
      </x:c>
      <x:c r="F893" s="7" t="n">
        <x:v>1</x:v>
      </x:c>
      <x:c r="G893" s="7" t="n">
        <x:v>160</x:v>
      </x:c>
      <x:c r="H893" s="9" t="n">
        <x:v>0</x:v>
      </x:c>
      <x:c r="I893" s="7" t="n">
        <x:v>160</x:v>
      </x:c>
    </x:row>
    <x:row r="894" ht="23" customHeight="1">
      <x:c r="A894" s="7" t="str">
        <x:v>INV00889</x:v>
      </x:c>
      <x:c r="B894" s="15" t="d">
        <x:v>2026-04-26T00:00:00.000Z</x:v>
      </x:c>
      <x:c r="C894" s="14" t="d">
        <x:v>2026-04-01T00:00:00.000Z</x:v>
      </x:c>
      <x:c r="D894" s="34" t="str">
        <x:v>0002</x:v>
      </x:c>
      <x:c r="E894" s="7" t="str">
        <x:v>North</x:v>
      </x:c>
      <x:c r="F894" s="7" t="n">
        <x:v>5</x:v>
      </x:c>
      <x:c r="G894" s="7" t="n">
        <x:v>180</x:v>
      </x:c>
      <x:c r="H894" s="9" t="n">
        <x:v>0.02</x:v>
      </x:c>
      <x:c r="I894" s="7" t="n">
        <x:v>882</x:v>
      </x:c>
    </x:row>
    <x:row r="895" ht="23" customHeight="1">
      <x:c r="A895" s="7" t="str">
        <x:v>INV00890</x:v>
      </x:c>
      <x:c r="B895" s="15" t="d">
        <x:v>2026-04-27T00:00:00.000Z</x:v>
      </x:c>
      <x:c r="C895" s="14" t="d">
        <x:v>2026-04-01T00:00:00.000Z</x:v>
      </x:c>
      <x:c r="D895" s="34" t="str">
        <x:v>0003</x:v>
      </x:c>
      <x:c r="E895" s="7" t="str">
        <x:v>North</x:v>
      </x:c>
      <x:c r="F895" s="7" t="n">
        <x:v>4</x:v>
      </x:c>
      <x:c r="G895" s="7" t="n">
        <x:v>200</x:v>
      </x:c>
      <x:c r="H895" s="9" t="n">
        <x:v>0.05</x:v>
      </x:c>
      <x:c r="I895" s="7" t="n">
        <x:v>760</x:v>
      </x:c>
    </x:row>
    <x:row r="896" ht="23" customHeight="1">
      <x:c r="A896" s="7" t="str">
        <x:v>INV00891</x:v>
      </x:c>
      <x:c r="B896" s="15" t="d">
        <x:v>2026-04-01T00:00:00.000Z</x:v>
      </x:c>
      <x:c r="C896" s="14" t="d">
        <x:v>2026-04-01T00:00:00.000Z</x:v>
      </x:c>
      <x:c r="D896" s="34" t="str">
        <x:v>0004</x:v>
      </x:c>
      <x:c r="E896" s="7" t="str">
        <x:v>North</x:v>
      </x:c>
      <x:c r="F896" s="7" t="n">
        <x:v>4</x:v>
      </x:c>
      <x:c r="G896" s="7" t="n">
        <x:v>220</x:v>
      </x:c>
      <x:c r="H896" s="9" t="n">
        <x:v>0</x:v>
      </x:c>
      <x:c r="I896" s="7" t="n">
        <x:v>880</x:v>
      </x:c>
    </x:row>
    <x:row r="897" ht="23" customHeight="1">
      <x:c r="A897" s="7" t="str">
        <x:v>INV00892</x:v>
      </x:c>
      <x:c r="B897" s="15" t="d">
        <x:v>2026-04-02T00:00:00.000Z</x:v>
      </x:c>
      <x:c r="C897" s="14" t="d">
        <x:v>2026-04-01T00:00:00.000Z</x:v>
      </x:c>
      <x:c r="D897" s="34" t="str">
        <x:v>0005</x:v>
      </x:c>
      <x:c r="E897" s="7" t="str">
        <x:v>North</x:v>
      </x:c>
      <x:c r="F897" s="7" t="n">
        <x:v>6</x:v>
      </x:c>
      <x:c r="G897" s="7" t="n">
        <x:v>240</x:v>
      </x:c>
      <x:c r="H897" s="9" t="n">
        <x:v>0.02</x:v>
      </x:c>
      <x:c r="I897" s="7" t="n">
        <x:v>1411.2</x:v>
      </x:c>
    </x:row>
    <x:row r="898" ht="23" customHeight="1">
      <x:c r="A898" s="7" t="str">
        <x:v>INV00893</x:v>
      </x:c>
      <x:c r="B898" s="15" t="d">
        <x:v>2026-04-03T00:00:00.000Z</x:v>
      </x:c>
      <x:c r="C898" s="14" t="d">
        <x:v>2026-04-01T00:00:00.000Z</x:v>
      </x:c>
      <x:c r="D898" s="34" t="str">
        <x:v>0006</x:v>
      </x:c>
      <x:c r="E898" s="7" t="str">
        <x:v>North</x:v>
      </x:c>
      <x:c r="F898" s="7" t="n">
        <x:v>3</x:v>
      </x:c>
      <x:c r="G898" s="7" t="n">
        <x:v>260</x:v>
      </x:c>
      <x:c r="H898" s="9" t="n">
        <x:v>0.05</x:v>
      </x:c>
      <x:c r="I898" s="7" t="n">
        <x:v>741</x:v>
      </x:c>
    </x:row>
    <x:row r="899" ht="23" customHeight="1">
      <x:c r="A899" s="7" t="str">
        <x:v>INV00894</x:v>
      </x:c>
      <x:c r="B899" s="15" t="d">
        <x:v>2026-04-04T00:00:00.000Z</x:v>
      </x:c>
      <x:c r="C899" s="14" t="d">
        <x:v>2026-04-01T00:00:00.000Z</x:v>
      </x:c>
      <x:c r="D899" s="34" t="str">
        <x:v>0007</x:v>
      </x:c>
      <x:c r="E899" s="7" t="str">
        <x:v>North</x:v>
      </x:c>
      <x:c r="F899" s="7" t="n">
        <x:v>7</x:v>
      </x:c>
      <x:c r="G899" s="7" t="n">
        <x:v>280</x:v>
      </x:c>
      <x:c r="H899" s="9" t="n">
        <x:v>0</x:v>
      </x:c>
      <x:c r="I899" s="7" t="n">
        <x:v>1960</x:v>
      </x:c>
    </x:row>
    <x:row r="900" ht="23" customHeight="1">
      <x:c r="A900" s="7" t="str">
        <x:v>INV00895</x:v>
      </x:c>
      <x:c r="B900" s="15" t="d">
        <x:v>2026-04-05T00:00:00.000Z</x:v>
      </x:c>
      <x:c r="C900" s="14" t="d">
        <x:v>2026-04-01T00:00:00.000Z</x:v>
      </x:c>
      <x:c r="D900" s="34" t="str">
        <x:v>0008</x:v>
      </x:c>
      <x:c r="E900" s="7" t="str">
        <x:v>North</x:v>
      </x:c>
      <x:c r="F900" s="7" t="n">
        <x:v>3</x:v>
      </x:c>
      <x:c r="G900" s="7" t="n">
        <x:v>300</x:v>
      </x:c>
      <x:c r="H900" s="9" t="n">
        <x:v>0.02</x:v>
      </x:c>
      <x:c r="I900" s="7" t="n">
        <x:v>882</x:v>
      </x:c>
    </x:row>
    <x:row r="901" ht="23" customHeight="1">
      <x:c r="A901" s="7" t="str">
        <x:v>INV00896</x:v>
      </x:c>
      <x:c r="B901" s="15" t="d">
        <x:v>2026-05-06T00:00:00.000Z</x:v>
      </x:c>
      <x:c r="C901" s="14" t="d">
        <x:v>2026-05-01T00:00:00.000Z</x:v>
      </x:c>
      <x:c r="D901" s="34" t="str">
        <x:v>0001</x:v>
      </x:c>
      <x:c r="E901" s="7" t="str">
        <x:v>Central</x:v>
      </x:c>
      <x:c r="F901" s="7" t="n">
        <x:v>1</x:v>
      </x:c>
      <x:c r="G901" s="7" t="n">
        <x:v>160</x:v>
      </x:c>
      <x:c r="H901" s="9" t="n">
        <x:v>0.05</x:v>
      </x:c>
      <x:c r="I901" s="7" t="n">
        <x:v>152</x:v>
      </x:c>
    </x:row>
    <x:row r="902" ht="23" customHeight="1">
      <x:c r="A902" s="7" t="str">
        <x:v>INV00897</x:v>
      </x:c>
      <x:c r="B902" s="15" t="d">
        <x:v>2026-05-07T00:00:00.000Z</x:v>
      </x:c>
      <x:c r="C902" s="14" t="d">
        <x:v>2026-05-01T00:00:00.000Z</x:v>
      </x:c>
      <x:c r="D902" s="34" t="str">
        <x:v>0002</x:v>
      </x:c>
      <x:c r="E902" s="7" t="str">
        <x:v>Central</x:v>
      </x:c>
      <x:c r="F902" s="7" t="n">
        <x:v>1</x:v>
      </x:c>
      <x:c r="G902" s="7" t="n">
        <x:v>180</x:v>
      </x:c>
      <x:c r="H902" s="9" t="n">
        <x:v>0</x:v>
      </x:c>
      <x:c r="I902" s="7" t="n">
        <x:v>180</x:v>
      </x:c>
    </x:row>
    <x:row r="903" ht="23" customHeight="1">
      <x:c r="A903" s="7" t="str">
        <x:v>INV00898</x:v>
      </x:c>
      <x:c r="B903" s="15" t="d">
        <x:v>2026-05-08T00:00:00.000Z</x:v>
      </x:c>
      <x:c r="C903" s="14" t="d">
        <x:v>2026-05-01T00:00:00.000Z</x:v>
      </x:c>
      <x:c r="D903" s="34" t="str">
        <x:v>0003</x:v>
      </x:c>
      <x:c r="E903" s="7" t="str">
        <x:v>Central</x:v>
      </x:c>
      <x:c r="F903" s="7" t="n">
        <x:v>1</x:v>
      </x:c>
      <x:c r="G903" s="7" t="n">
        <x:v>200</x:v>
      </x:c>
      <x:c r="H903" s="9" t="n">
        <x:v>0.02</x:v>
      </x:c>
      <x:c r="I903" s="7" t="n">
        <x:v>196</x:v>
      </x:c>
    </x:row>
    <x:row r="904" ht="23" customHeight="1">
      <x:c r="A904" s="7" t="str">
        <x:v>INV00899</x:v>
      </x:c>
      <x:c r="B904" s="15" t="d">
        <x:v>2026-05-09T00:00:00.000Z</x:v>
      </x:c>
      <x:c r="C904" s="14" t="d">
        <x:v>2026-05-01T00:00:00.000Z</x:v>
      </x:c>
      <x:c r="D904" s="34" t="str">
        <x:v>0004</x:v>
      </x:c>
      <x:c r="E904" s="7" t="str">
        <x:v>Central</x:v>
      </x:c>
      <x:c r="F904" s="7" t="n">
        <x:v>2</x:v>
      </x:c>
      <x:c r="G904" s="7" t="n">
        <x:v>220</x:v>
      </x:c>
      <x:c r="H904" s="9" t="n">
        <x:v>0.05</x:v>
      </x:c>
      <x:c r="I904" s="7" t="n">
        <x:v>418</x:v>
      </x:c>
    </x:row>
    <x:row r="905" ht="23" customHeight="1">
      <x:c r="A905" s="7" t="str">
        <x:v>INV00900</x:v>
      </x:c>
      <x:c r="B905" s="15" t="d">
        <x:v>2026-05-10T00:00:00.000Z</x:v>
      </x:c>
      <x:c r="C905" s="14" t="d">
        <x:v>2026-05-01T00:00:00.000Z</x:v>
      </x:c>
      <x:c r="D905" s="34" t="str">
        <x:v>0005</x:v>
      </x:c>
      <x:c r="E905" s="7" t="str">
        <x:v>Central</x:v>
      </x:c>
      <x:c r="F905" s="7" t="n">
        <x:v>2</x:v>
      </x:c>
      <x:c r="G905" s="7" t="n">
        <x:v>240</x:v>
      </x:c>
      <x:c r="H905" s="9" t="n">
        <x:v>0</x:v>
      </x:c>
      <x:c r="I905" s="7" t="n">
        <x:v>480</x:v>
      </x:c>
    </x:row>
    <x:row r="906" ht="23" customHeight="1">
      <x:c r="A906" s="7" t="str">
        <x:v>INV00901</x:v>
      </x:c>
      <x:c r="B906" s="15" t="d">
        <x:v>2026-05-11T00:00:00.000Z</x:v>
      </x:c>
      <x:c r="C906" s="14" t="d">
        <x:v>2026-05-01T00:00:00.000Z</x:v>
      </x:c>
      <x:c r="D906" s="34" t="str">
        <x:v>0006</x:v>
      </x:c>
      <x:c r="E906" s="7" t="str">
        <x:v>Central</x:v>
      </x:c>
      <x:c r="F906" s="7" t="n">
        <x:v>1</x:v>
      </x:c>
      <x:c r="G906" s="7" t="n">
        <x:v>260</x:v>
      </x:c>
      <x:c r="H906" s="9" t="n">
        <x:v>0.02</x:v>
      </x:c>
      <x:c r="I906" s="7" t="n">
        <x:v>254.8</x:v>
      </x:c>
    </x:row>
    <x:row r="907" ht="23" customHeight="1">
      <x:c r="A907" s="7" t="str">
        <x:v>INV00902</x:v>
      </x:c>
      <x:c r="B907" s="15" t="d">
        <x:v>2026-05-12T00:00:00.000Z</x:v>
      </x:c>
      <x:c r="C907" s="14" t="d">
        <x:v>2026-05-01T00:00:00.000Z</x:v>
      </x:c>
      <x:c r="D907" s="34" t="str">
        <x:v>0007</x:v>
      </x:c>
      <x:c r="E907" s="7" t="str">
        <x:v>Central</x:v>
      </x:c>
      <x:c r="F907" s="7" t="n">
        <x:v>-4</x:v>
      </x:c>
      <x:c r="G907" s="7" t="n">
        <x:v>280</x:v>
      </x:c>
      <x:c r="H907" s="9" t="n">
        <x:v>0.05</x:v>
      </x:c>
      <x:c r="I907" s="7" t="n">
        <x:v>-1064</x:v>
      </x:c>
    </x:row>
    <x:row r="908" ht="23" customHeight="1">
      <x:c r="A908" s="7" t="str">
        <x:v>INV00903</x:v>
      </x:c>
      <x:c r="B908" s="15" t="d">
        <x:v>2026-05-13T00:00:00.000Z</x:v>
      </x:c>
      <x:c r="C908" s="14" t="d">
        <x:v>2026-05-01T00:00:00.000Z</x:v>
      </x:c>
      <x:c r="D908" s="34" t="str">
        <x:v>0008</x:v>
      </x:c>
      <x:c r="E908" s="7" t="str">
        <x:v>Central</x:v>
      </x:c>
      <x:c r="F908" s="7" t="n">
        <x:v>7</x:v>
      </x:c>
      <x:c r="G908" s="7" t="n">
        <x:v>300</x:v>
      </x:c>
      <x:c r="H908" s="9" t="n">
        <x:v>0</x:v>
      </x:c>
      <x:c r="I908" s="7" t="n">
        <x:v>2100</x:v>
      </x:c>
    </x:row>
    <x:row r="909" ht="23" customHeight="1">
      <x:c r="A909" s="7" t="str">
        <x:v>INV00904</x:v>
      </x:c>
      <x:c r="B909" s="15" t="d">
        <x:v>2026-05-14T00:00:00.000Z</x:v>
      </x:c>
      <x:c r="C909" s="14" t="d">
        <x:v>2026-05-01T00:00:00.000Z</x:v>
      </x:c>
      <x:c r="D909" s="34" t="str">
        <x:v>0001</x:v>
      </x:c>
      <x:c r="E909" s="7" t="str">
        <x:v>East</x:v>
      </x:c>
      <x:c r="F909" s="7" t="n">
        <x:v>2</x:v>
      </x:c>
      <x:c r="G909" s="7" t="n">
        <x:v>160</x:v>
      </x:c>
      <x:c r="H909" s="9" t="n">
        <x:v>0.02</x:v>
      </x:c>
      <x:c r="I909" s="7" t="n">
        <x:v>313.6</x:v>
      </x:c>
    </x:row>
    <x:row r="910" ht="23" customHeight="1">
      <x:c r="A910" s="7" t="str">
        <x:v>INV00905</x:v>
      </x:c>
      <x:c r="B910" s="15" t="d">
        <x:v>2026-05-15T00:00:00.000Z</x:v>
      </x:c>
      <x:c r="C910" s="14" t="d">
        <x:v>2026-05-01T00:00:00.000Z</x:v>
      </x:c>
      <x:c r="D910" s="34" t="str">
        <x:v>0002</x:v>
      </x:c>
      <x:c r="E910" s="7" t="str">
        <x:v>East</x:v>
      </x:c>
      <x:c r="F910" s="7" t="n">
        <x:v>5</x:v>
      </x:c>
      <x:c r="G910" s="7" t="n">
        <x:v>180</x:v>
      </x:c>
      <x:c r="H910" s="9" t="n">
        <x:v>0.05</x:v>
      </x:c>
      <x:c r="I910" s="7" t="n">
        <x:v>855</x:v>
      </x:c>
    </x:row>
    <x:row r="911" ht="23" customHeight="1">
      <x:c r="A911" s="7" t="str">
        <x:v>INV00906</x:v>
      </x:c>
      <x:c r="B911" s="15" t="d">
        <x:v>2026-05-16T00:00:00.000Z</x:v>
      </x:c>
      <x:c r="C911" s="14" t="d">
        <x:v>2026-05-01T00:00:00.000Z</x:v>
      </x:c>
      <x:c r="D911" s="34" t="str">
        <x:v>0003</x:v>
      </x:c>
      <x:c r="E911" s="7" t="str">
        <x:v>East</x:v>
      </x:c>
      <x:c r="F911" s="7" t="n">
        <x:v>3</x:v>
      </x:c>
      <x:c r="G911" s="7" t="n">
        <x:v>200</x:v>
      </x:c>
      <x:c r="H911" s="9" t="n">
        <x:v>0</x:v>
      </x:c>
      <x:c r="I911" s="7" t="n">
        <x:v>600</x:v>
      </x:c>
    </x:row>
    <x:row r="912" ht="23" customHeight="1">
      <x:c r="A912" s="7" t="str">
        <x:v>INV00907</x:v>
      </x:c>
      <x:c r="B912" s="15" t="d">
        <x:v>2026-05-17T00:00:00.000Z</x:v>
      </x:c>
      <x:c r="C912" s="14" t="d">
        <x:v>2026-05-01T00:00:00.000Z</x:v>
      </x:c>
      <x:c r="D912" s="34" t="str">
        <x:v>0004</x:v>
      </x:c>
      <x:c r="E912" s="7" t="str">
        <x:v>East</x:v>
      </x:c>
      <x:c r="F912" s="7" t="n">
        <x:v>5</x:v>
      </x:c>
      <x:c r="G912" s="7" t="n">
        <x:v>220</x:v>
      </x:c>
      <x:c r="H912" s="9" t="n">
        <x:v>0.02</x:v>
      </x:c>
      <x:c r="I912" s="7" t="n">
        <x:v>1078</x:v>
      </x:c>
    </x:row>
    <x:row r="913" ht="23" customHeight="1">
      <x:c r="A913" s="7" t="str">
        <x:v>INV00908</x:v>
      </x:c>
      <x:c r="B913" s="15" t="d">
        <x:v>2026-05-18T00:00:00.000Z</x:v>
      </x:c>
      <x:c r="C913" s="14" t="d">
        <x:v>2026-05-01T00:00:00.000Z</x:v>
      </x:c>
      <x:c r="D913" s="34" t="str">
        <x:v>0005</x:v>
      </x:c>
      <x:c r="E913" s="7" t="str">
        <x:v>East</x:v>
      </x:c>
      <x:c r="F913" s="7" t="n">
        <x:v>3</x:v>
      </x:c>
      <x:c r="G913" s="7" t="n">
        <x:v>240</x:v>
      </x:c>
      <x:c r="H913" s="9" t="n">
        <x:v>0.05</x:v>
      </x:c>
      <x:c r="I913" s="7" t="n">
        <x:v>684</x:v>
      </x:c>
    </x:row>
    <x:row r="914" ht="23" customHeight="1">
      <x:c r="A914" s="7" t="str">
        <x:v>INV00909</x:v>
      </x:c>
      <x:c r="B914" s="15" t="d">
        <x:v>2026-05-19T00:00:00.000Z</x:v>
      </x:c>
      <x:c r="C914" s="14" t="d">
        <x:v>2026-05-01T00:00:00.000Z</x:v>
      </x:c>
      <x:c r="D914" s="34" t="str">
        <x:v>0006</x:v>
      </x:c>
      <x:c r="E914" s="7" t="str">
        <x:v>East</x:v>
      </x:c>
      <x:c r="F914" s="7" t="n">
        <x:v>5</x:v>
      </x:c>
      <x:c r="G914" s="7" t="n">
        <x:v>260</x:v>
      </x:c>
      <x:c r="H914" s="9" t="n">
        <x:v>0</x:v>
      </x:c>
      <x:c r="I914" s="7" t="n">
        <x:v>1300</x:v>
      </x:c>
    </x:row>
    <x:row r="915" ht="23" customHeight="1">
      <x:c r="A915" s="7" t="str">
        <x:v>INV00910</x:v>
      </x:c>
      <x:c r="B915" s="15" t="d">
        <x:v>2026-05-20T00:00:00.000Z</x:v>
      </x:c>
      <x:c r="C915" s="14" t="d">
        <x:v>2026-05-01T00:00:00.000Z</x:v>
      </x:c>
      <x:c r="D915" s="34" t="str">
        <x:v>0007</x:v>
      </x:c>
      <x:c r="E915" s="7" t="str">
        <x:v>East</x:v>
      </x:c>
      <x:c r="F915" s="7" t="n">
        <x:v>3</x:v>
      </x:c>
      <x:c r="G915" s="7" t="n">
        <x:v>280</x:v>
      </x:c>
      <x:c r="H915" s="9" t="n">
        <x:v>0.02</x:v>
      </x:c>
      <x:c r="I915" s="7" t="n">
        <x:v>823.2</x:v>
      </x:c>
    </x:row>
    <x:row r="916" ht="23" customHeight="1">
      <x:c r="A916" s="7" t="str">
        <x:v>INV00911</x:v>
      </x:c>
      <x:c r="B916" s="15" t="d">
        <x:v>2026-05-21T00:00:00.000Z</x:v>
      </x:c>
      <x:c r="C916" s="14" t="d">
        <x:v>2026-05-01T00:00:00.000Z</x:v>
      </x:c>
      <x:c r="D916" s="34" t="str">
        <x:v>0008</x:v>
      </x:c>
      <x:c r="E916" s="7" t="str">
        <x:v>East</x:v>
      </x:c>
      <x:c r="F916" s="7" t="n">
        <x:v>7</x:v>
      </x:c>
      <x:c r="G916" s="7" t="n">
        <x:v>300</x:v>
      </x:c>
      <x:c r="H916" s="9" t="n">
        <x:v>0.05</x:v>
      </x:c>
      <x:c r="I916" s="7" t="n">
        <x:v>1995</x:v>
      </x:c>
    </x:row>
    <x:row r="917" ht="23" customHeight="1">
      <x:c r="A917" s="7" t="str">
        <x:v>INV00912</x:v>
      </x:c>
      <x:c r="B917" s="15" t="d">
        <x:v>2026-05-22T00:00:00.000Z</x:v>
      </x:c>
      <x:c r="C917" s="14" t="d">
        <x:v>2026-05-01T00:00:00.000Z</x:v>
      </x:c>
      <x:c r="D917" s="34" t="str">
        <x:v>0001</x:v>
      </x:c>
      <x:c r="E917" s="7" t="str">
        <x:v>West</x:v>
      </x:c>
      <x:c r="F917" s="7" t="n">
        <x:v>2</x:v>
      </x:c>
      <x:c r="G917" s="7" t="n">
        <x:v>160</x:v>
      </x:c>
      <x:c r="H917" s="9" t="n">
        <x:v>0</x:v>
      </x:c>
      <x:c r="I917" s="7" t="n">
        <x:v>320</x:v>
      </x:c>
    </x:row>
    <x:row r="918" ht="23" customHeight="1">
      <x:c r="A918" s="7" t="str">
        <x:v>INV00913</x:v>
      </x:c>
      <x:c r="B918" s="15" t="d">
        <x:v>2026-05-23T00:00:00.000Z</x:v>
      </x:c>
      <x:c r="C918" s="14" t="d">
        <x:v>2026-05-01T00:00:00.000Z</x:v>
      </x:c>
      <x:c r="D918" s="34" t="str">
        <x:v>0002</x:v>
      </x:c>
      <x:c r="E918" s="7" t="str">
        <x:v>West</x:v>
      </x:c>
      <x:c r="F918" s="7" t="n">
        <x:v>1</x:v>
      </x:c>
      <x:c r="G918" s="7" t="n">
        <x:v>180</x:v>
      </x:c>
      <x:c r="H918" s="9" t="n">
        <x:v>0.02</x:v>
      </x:c>
      <x:c r="I918" s="7" t="n">
        <x:v>176.4</x:v>
      </x:c>
    </x:row>
    <x:row r="919" ht="23" customHeight="1">
      <x:c r="A919" s="7" t="str">
        <x:v>INV00914</x:v>
      </x:c>
      <x:c r="B919" s="15" t="d">
        <x:v>2026-05-24T00:00:00.000Z</x:v>
      </x:c>
      <x:c r="C919" s="14" t="d">
        <x:v>2026-05-01T00:00:00.000Z</x:v>
      </x:c>
      <x:c r="D919" s="34" t="str">
        <x:v>0003</x:v>
      </x:c>
      <x:c r="E919" s="7" t="str">
        <x:v>West</x:v>
      </x:c>
      <x:c r="F919" s="7" t="n">
        <x:v>5</x:v>
      </x:c>
      <x:c r="G919" s="7" t="n">
        <x:v>200</x:v>
      </x:c>
      <x:c r="H919" s="9" t="n">
        <x:v>0.05</x:v>
      </x:c>
      <x:c r="I919" s="7" t="n">
        <x:v>950</x:v>
      </x:c>
    </x:row>
    <x:row r="920" ht="23" customHeight="1">
      <x:c r="A920" s="7" t="str">
        <x:v>INV00915</x:v>
      </x:c>
      <x:c r="B920" s="15" t="d">
        <x:v>2026-05-25T00:00:00.000Z</x:v>
      </x:c>
      <x:c r="C920" s="14" t="d">
        <x:v>2026-05-01T00:00:00.000Z</x:v>
      </x:c>
      <x:c r="D920" s="34" t="str">
        <x:v>0004</x:v>
      </x:c>
      <x:c r="E920" s="7" t="str">
        <x:v>West</x:v>
      </x:c>
      <x:c r="F920" s="7" t="n">
        <x:v>5</x:v>
      </x:c>
      <x:c r="G920" s="7" t="n">
        <x:v>220</x:v>
      </x:c>
      <x:c r="H920" s="9" t="n">
        <x:v>0</x:v>
      </x:c>
      <x:c r="I920" s="7" t="n">
        <x:v>1100</x:v>
      </x:c>
    </x:row>
    <x:row r="921" ht="23" customHeight="1">
      <x:c r="A921" s="7" t="str">
        <x:v>INV00916</x:v>
      </x:c>
      <x:c r="B921" s="15" t="d">
        <x:v>2026-05-26T00:00:00.000Z</x:v>
      </x:c>
      <x:c r="C921" s="14" t="d">
        <x:v>2026-05-01T00:00:00.000Z</x:v>
      </x:c>
      <x:c r="D921" s="34" t="str">
        <x:v>0005</x:v>
      </x:c>
      <x:c r="E921" s="7" t="str">
        <x:v>West</x:v>
      </x:c>
      <x:c r="F921" s="7" t="n">
        <x:v>4</x:v>
      </x:c>
      <x:c r="G921" s="7" t="n">
        <x:v>240</x:v>
      </x:c>
      <x:c r="H921" s="9" t="n">
        <x:v>0.02</x:v>
      </x:c>
      <x:c r="I921" s="7" t="n">
        <x:v>940.8</x:v>
      </x:c>
    </x:row>
    <x:row r="922" ht="23" customHeight="1">
      <x:c r="A922" s="7" t="str">
        <x:v>INV00917</x:v>
      </x:c>
      <x:c r="B922" s="15" t="d">
        <x:v>2026-05-27T00:00:00.000Z</x:v>
      </x:c>
      <x:c r="C922" s="14" t="d">
        <x:v>2026-05-01T00:00:00.000Z</x:v>
      </x:c>
      <x:c r="D922" s="34" t="str">
        <x:v>0006</x:v>
      </x:c>
      <x:c r="E922" s="7" t="str">
        <x:v>West</x:v>
      </x:c>
      <x:c r="F922" s="7" t="n">
        <x:v>7</x:v>
      </x:c>
      <x:c r="G922" s="7" t="n">
        <x:v>260</x:v>
      </x:c>
      <x:c r="H922" s="9" t="n">
        <x:v>0.05</x:v>
      </x:c>
      <x:c r="I922" s="7" t="n">
        <x:v>1729</x:v>
      </x:c>
    </x:row>
    <x:row r="923" ht="23" customHeight="1">
      <x:c r="A923" s="7" t="str">
        <x:v>INV00918</x:v>
      </x:c>
      <x:c r="B923" s="15" t="d">
        <x:v>2026-05-01T00:00:00.000Z</x:v>
      </x:c>
      <x:c r="C923" s="14" t="d">
        <x:v>2026-05-01T00:00:00.000Z</x:v>
      </x:c>
      <x:c r="D923" s="34" t="str">
        <x:v>0007</x:v>
      </x:c>
      <x:c r="E923" s="7" t="str">
        <x:v>West</x:v>
      </x:c>
      <x:c r="F923" s="7" t="n">
        <x:v>1</x:v>
      </x:c>
      <x:c r="G923" s="7" t="n">
        <x:v>280</x:v>
      </x:c>
      <x:c r="H923" s="9" t="n">
        <x:v>0</x:v>
      </x:c>
      <x:c r="I923" s="7" t="n">
        <x:v>280</x:v>
      </x:c>
    </x:row>
    <x:row r="924" ht="23" customHeight="1">
      <x:c r="A924" s="7" t="str">
        <x:v>INV00919</x:v>
      </x:c>
      <x:c r="B924" s="15" t="d">
        <x:v>2026-05-02T00:00:00.000Z</x:v>
      </x:c>
      <x:c r="C924" s="14" t="d">
        <x:v>2026-05-01T00:00:00.000Z</x:v>
      </x:c>
      <x:c r="D924" s="34" t="str">
        <x:v>0008</x:v>
      </x:c>
      <x:c r="E924" s="7" t="str">
        <x:v>West</x:v>
      </x:c>
      <x:c r="F924" s="7" t="n">
        <x:v>2</x:v>
      </x:c>
      <x:c r="G924" s="7" t="n">
        <x:v>300</x:v>
      </x:c>
      <x:c r="H924" s="9" t="n">
        <x:v>0.02</x:v>
      </x:c>
      <x:c r="I924" s="7" t="n">
        <x:v>588</x:v>
      </x:c>
    </x:row>
    <x:row r="925" ht="23" customHeight="1">
      <x:c r="A925" s="7" t="str">
        <x:v>INV00920</x:v>
      </x:c>
      <x:c r="B925" s="15" t="d">
        <x:v>2026-05-03T00:00:00.000Z</x:v>
      </x:c>
      <x:c r="C925" s="14" t="d">
        <x:v>2026-05-01T00:00:00.000Z</x:v>
      </x:c>
      <x:c r="D925" s="34" t="str">
        <x:v>0001</x:v>
      </x:c>
      <x:c r="E925" s="7" t="str">
        <x:v>North</x:v>
      </x:c>
      <x:c r="F925" s="7" t="n">
        <x:v>2</x:v>
      </x:c>
      <x:c r="G925" s="7" t="n">
        <x:v>160</x:v>
      </x:c>
      <x:c r="H925" s="9" t="n">
        <x:v>0.05</x:v>
      </x:c>
      <x:c r="I925" s="7" t="n">
        <x:v>304</x:v>
      </x:c>
    </x:row>
    <x:row r="926" ht="23" customHeight="1">
      <x:c r="A926" s="7" t="str">
        <x:v>INV00921</x:v>
      </x:c>
      <x:c r="B926" s="15" t="d">
        <x:v>2026-05-04T00:00:00.000Z</x:v>
      </x:c>
      <x:c r="C926" s="14" t="d">
        <x:v>2026-05-01T00:00:00.000Z</x:v>
      </x:c>
      <x:c r="D926" s="34" t="str">
        <x:v>0002</x:v>
      </x:c>
      <x:c r="E926" s="7" t="str">
        <x:v>North</x:v>
      </x:c>
      <x:c r="F926" s="7" t="n">
        <x:v>5</x:v>
      </x:c>
      <x:c r="G926" s="7" t="n">
        <x:v>180</x:v>
      </x:c>
      <x:c r="H926" s="9" t="n">
        <x:v>0</x:v>
      </x:c>
      <x:c r="I926" s="7" t="n">
        <x:v>900</x:v>
      </x:c>
    </x:row>
    <x:row r="927" ht="23" customHeight="1">
      <x:c r="A927" s="7" t="str">
        <x:v>INV00922</x:v>
      </x:c>
      <x:c r="B927" s="15" t="d">
        <x:v>2026-05-05T00:00:00.000Z</x:v>
      </x:c>
      <x:c r="C927" s="14" t="d">
        <x:v>2026-05-01T00:00:00.000Z</x:v>
      </x:c>
      <x:c r="D927" s="34" t="str">
        <x:v>0003</x:v>
      </x:c>
      <x:c r="E927" s="7" t="str">
        <x:v>North</x:v>
      </x:c>
      <x:c r="F927" s="7" t="n">
        <x:v>3</x:v>
      </x:c>
      <x:c r="G927" s="7" t="n">
        <x:v>200</x:v>
      </x:c>
      <x:c r="H927" s="9" t="n">
        <x:v>0.02</x:v>
      </x:c>
      <x:c r="I927" s="7" t="n">
        <x:v>588</x:v>
      </x:c>
    </x:row>
    <x:row r="928" ht="23" customHeight="1">
      <x:c r="A928" s="7" t="str">
        <x:v>INV00923</x:v>
      </x:c>
      <x:c r="B928" s="15" t="d">
        <x:v>2026-05-06T00:00:00.000Z</x:v>
      </x:c>
      <x:c r="C928" s="14" t="d">
        <x:v>2026-05-01T00:00:00.000Z</x:v>
      </x:c>
      <x:c r="D928" s="34" t="str">
        <x:v>0004</x:v>
      </x:c>
      <x:c r="E928" s="7" t="str">
        <x:v>North</x:v>
      </x:c>
      <x:c r="F928" s="7" t="n">
        <x:v>2</x:v>
      </x:c>
      <x:c r="G928" s="7" t="n">
        <x:v>220</x:v>
      </x:c>
      <x:c r="H928" s="9" t="n">
        <x:v>0.05</x:v>
      </x:c>
      <x:c r="I928" s="7" t="n">
        <x:v>418</x:v>
      </x:c>
    </x:row>
    <x:row r="929" ht="23" customHeight="1">
      <x:c r="A929" s="7" t="str">
        <x:v>INV00924</x:v>
      </x:c>
      <x:c r="B929" s="15" t="d">
        <x:v>2026-05-07T00:00:00.000Z</x:v>
      </x:c>
      <x:c r="C929" s="14" t="d">
        <x:v>2026-05-01T00:00:00.000Z</x:v>
      </x:c>
      <x:c r="D929" s="34" t="str">
        <x:v>0005</x:v>
      </x:c>
      <x:c r="E929" s="7" t="str">
        <x:v>North</x:v>
      </x:c>
      <x:c r="F929" s="7" t="n">
        <x:v>3</x:v>
      </x:c>
      <x:c r="G929" s="7" t="n">
        <x:v>240</x:v>
      </x:c>
      <x:c r="H929" s="9" t="n">
        <x:v>0</x:v>
      </x:c>
      <x:c r="I929" s="7" t="n">
        <x:v>720</x:v>
      </x:c>
    </x:row>
    <x:row r="930" ht="23" customHeight="1">
      <x:c r="A930" s="7" t="str">
        <x:v>INV00925</x:v>
      </x:c>
      <x:c r="B930" s="15" t="d">
        <x:v>2026-05-08T00:00:00.000Z</x:v>
      </x:c>
      <x:c r="C930" s="14" t="d">
        <x:v>2026-05-01T00:00:00.000Z</x:v>
      </x:c>
      <x:c r="D930" s="34" t="str">
        <x:v>0006</x:v>
      </x:c>
      <x:c r="E930" s="7" t="str">
        <x:v>North</x:v>
      </x:c>
      <x:c r="F930" s="7" t="n">
        <x:v>2</x:v>
      </x:c>
      <x:c r="G930" s="7" t="n">
        <x:v>260</x:v>
      </x:c>
      <x:c r="H930" s="9" t="n">
        <x:v>0.02</x:v>
      </x:c>
      <x:c r="I930" s="7" t="n">
        <x:v>509.6</x:v>
      </x:c>
    </x:row>
    <x:row r="931" ht="23" customHeight="1">
      <x:c r="A931" s="7" t="str">
        <x:v>INV00926</x:v>
      </x:c>
      <x:c r="B931" s="15" t="d">
        <x:v>2026-05-09T00:00:00.000Z</x:v>
      </x:c>
      <x:c r="C931" s="14" t="d">
        <x:v>2026-05-01T00:00:00.000Z</x:v>
      </x:c>
      <x:c r="D931" s="34" t="str">
        <x:v>0007</x:v>
      </x:c>
      <x:c r="E931" s="7" t="str">
        <x:v>North</x:v>
      </x:c>
      <x:c r="F931" s="7" t="n">
        <x:v>6</x:v>
      </x:c>
      <x:c r="G931" s="7" t="n">
        <x:v>280</x:v>
      </x:c>
      <x:c r="H931" s="9" t="n">
        <x:v>0.05</x:v>
      </x:c>
      <x:c r="I931" s="7" t="n">
        <x:v>1596</x:v>
      </x:c>
    </x:row>
    <x:row r="932" ht="23" customHeight="1">
      <x:c r="A932" s="7" t="str">
        <x:v>INV00927</x:v>
      </x:c>
      <x:c r="B932" s="15" t="d">
        <x:v>2026-05-10T00:00:00.000Z</x:v>
      </x:c>
      <x:c r="C932" s="14" t="d">
        <x:v>2026-05-01T00:00:00.000Z</x:v>
      </x:c>
      <x:c r="D932" s="34" t="str">
        <x:v>0008</x:v>
      </x:c>
      <x:c r="E932" s="7" t="str">
        <x:v>North</x:v>
      </x:c>
      <x:c r="F932" s="7" t="n">
        <x:v>4</x:v>
      </x:c>
      <x:c r="G932" s="7" t="n">
        <x:v>300</x:v>
      </x:c>
      <x:c r="H932" s="9" t="n">
        <x:v>0</x:v>
      </x:c>
      <x:c r="I932" s="7" t="n">
        <x:v>1200</x:v>
      </x:c>
    </x:row>
    <x:row r="933" ht="23" customHeight="1">
      <x:c r="A933" s="7" t="str">
        <x:v>INV00928</x:v>
      </x:c>
      <x:c r="B933" s="15" t="d">
        <x:v>2026-06-11T00:00:00.000Z</x:v>
      </x:c>
      <x:c r="C933" s="14" t="d">
        <x:v>2026-06-01T00:00:00.000Z</x:v>
      </x:c>
      <x:c r="D933" s="34" t="str">
        <x:v>0001</x:v>
      </x:c>
      <x:c r="E933" s="7" t="str">
        <x:v>Central</x:v>
      </x:c>
      <x:c r="F933" s="7" t="n">
        <x:v>7</x:v>
      </x:c>
      <x:c r="G933" s="7" t="n">
        <x:v>160</x:v>
      </x:c>
      <x:c r="H933" s="9" t="n">
        <x:v>0.02</x:v>
      </x:c>
      <x:c r="I933" s="7" t="n">
        <x:v>1097.6</x:v>
      </x:c>
    </x:row>
    <x:row r="934" ht="23" customHeight="1">
      <x:c r="A934" s="7" t="str">
        <x:v>INV00929</x:v>
      </x:c>
      <x:c r="B934" s="15" t="d">
        <x:v>2026-06-12T00:00:00.000Z</x:v>
      </x:c>
      <x:c r="C934" s="14" t="d">
        <x:v>2026-06-01T00:00:00.000Z</x:v>
      </x:c>
      <x:c r="D934" s="34" t="str">
        <x:v>0002</x:v>
      </x:c>
      <x:c r="E934" s="7" t="str">
        <x:v>Central</x:v>
      </x:c>
      <x:c r="F934" s="7" t="n">
        <x:v>4</x:v>
      </x:c>
      <x:c r="G934" s="7" t="n">
        <x:v>180</x:v>
      </x:c>
      <x:c r="H934" s="9" t="n">
        <x:v>0.05</x:v>
      </x:c>
      <x:c r="I934" s="7" t="n">
        <x:v>684</x:v>
      </x:c>
    </x:row>
    <x:row r="935" ht="23" customHeight="1">
      <x:c r="A935" s="7" t="str">
        <x:v>INV00930</x:v>
      </x:c>
      <x:c r="B935" s="15" t="d">
        <x:v>2026-06-13T00:00:00.000Z</x:v>
      </x:c>
      <x:c r="C935" s="14" t="d">
        <x:v>2026-06-01T00:00:00.000Z</x:v>
      </x:c>
      <x:c r="D935" s="34" t="str">
        <x:v>0003</x:v>
      </x:c>
      <x:c r="E935" s="7" t="str">
        <x:v>Central</x:v>
      </x:c>
      <x:c r="F935" s="7" t="n">
        <x:v>7</x:v>
      </x:c>
      <x:c r="G935" s="7" t="n">
        <x:v>200</x:v>
      </x:c>
      <x:c r="H935" s="9" t="n">
        <x:v>0</x:v>
      </x:c>
      <x:c r="I935" s="7" t="n">
        <x:v>1400</x:v>
      </x:c>
    </x:row>
    <x:row r="936" ht="23" customHeight="1">
      <x:c r="A936" s="7" t="str">
        <x:v>INV00931</x:v>
      </x:c>
      <x:c r="B936" s="15" t="d">
        <x:v>2026-06-14T00:00:00.000Z</x:v>
      </x:c>
      <x:c r="C936" s="14" t="d">
        <x:v>2026-06-01T00:00:00.000Z</x:v>
      </x:c>
      <x:c r="D936" s="34" t="str">
        <x:v>0004</x:v>
      </x:c>
      <x:c r="E936" s="7" t="str">
        <x:v>Central</x:v>
      </x:c>
      <x:c r="F936" s="7" t="n">
        <x:v>3</x:v>
      </x:c>
      <x:c r="G936" s="7" t="n">
        <x:v>220</x:v>
      </x:c>
      <x:c r="H936" s="9" t="n">
        <x:v>0.02</x:v>
      </x:c>
      <x:c r="I936" s="7" t="n">
        <x:v>646.8</x:v>
      </x:c>
    </x:row>
    <x:row r="937" ht="23" customHeight="1">
      <x:c r="A937" s="7" t="str">
        <x:v>INV00932</x:v>
      </x:c>
      <x:c r="B937" s="15" t="d">
        <x:v>2026-06-15T00:00:00.000Z</x:v>
      </x:c>
      <x:c r="C937" s="14" t="d">
        <x:v>2026-06-01T00:00:00.000Z</x:v>
      </x:c>
      <x:c r="D937" s="34" t="str">
        <x:v>0005</x:v>
      </x:c>
      <x:c r="E937" s="7" t="str">
        <x:v>Central</x:v>
      </x:c>
      <x:c r="F937" s="7" t="n">
        <x:v>4</x:v>
      </x:c>
      <x:c r="G937" s="7" t="n">
        <x:v>240</x:v>
      </x:c>
      <x:c r="H937" s="9" t="n">
        <x:v>0.05</x:v>
      </x:c>
      <x:c r="I937" s="7" t="n">
        <x:v>912</x:v>
      </x:c>
    </x:row>
    <x:row r="938" ht="23" customHeight="1">
      <x:c r="A938" s="7" t="str">
        <x:v>INV00933</x:v>
      </x:c>
      <x:c r="B938" s="15" t="d">
        <x:v>2026-06-16T00:00:00.000Z</x:v>
      </x:c>
      <x:c r="C938" s="14" t="d">
        <x:v>2026-06-01T00:00:00.000Z</x:v>
      </x:c>
      <x:c r="D938" s="34" t="str">
        <x:v>0006</x:v>
      </x:c>
      <x:c r="E938" s="7" t="str">
        <x:v>Central</x:v>
      </x:c>
      <x:c r="F938" s="7" t="n">
        <x:v>7</x:v>
      </x:c>
      <x:c r="G938" s="7" t="n">
        <x:v>260</x:v>
      </x:c>
      <x:c r="H938" s="9" t="n">
        <x:v>0</x:v>
      </x:c>
      <x:c r="I938" s="7" t="n">
        <x:v>1820</x:v>
      </x:c>
    </x:row>
    <x:row r="939" ht="23" customHeight="1">
      <x:c r="A939" s="7" t="str">
        <x:v>INV00934</x:v>
      </x:c>
      <x:c r="B939" s="15" t="d">
        <x:v>2026-06-17T00:00:00.000Z</x:v>
      </x:c>
      <x:c r="C939" s="14" t="d">
        <x:v>2026-06-01T00:00:00.000Z</x:v>
      </x:c>
      <x:c r="D939" s="34" t="str">
        <x:v>0007</x:v>
      </x:c>
      <x:c r="E939" s="7" t="str">
        <x:v>Central</x:v>
      </x:c>
      <x:c r="F939" s="7" t="n">
        <x:v>1</x:v>
      </x:c>
      <x:c r="G939" s="7" t="n">
        <x:v>280</x:v>
      </x:c>
      <x:c r="H939" s="9" t="n">
        <x:v>0.02</x:v>
      </x:c>
      <x:c r="I939" s="7" t="n">
        <x:v>274.4</x:v>
      </x:c>
    </x:row>
    <x:row r="940" ht="23" customHeight="1">
      <x:c r="A940" s="7" t="str">
        <x:v>INV00935</x:v>
      </x:c>
      <x:c r="B940" s="15" t="d">
        <x:v>2026-06-18T00:00:00.000Z</x:v>
      </x:c>
      <x:c r="C940" s="14" t="d">
        <x:v>2026-06-01T00:00:00.000Z</x:v>
      </x:c>
      <x:c r="D940" s="34" t="str">
        <x:v>0008</x:v>
      </x:c>
      <x:c r="E940" s="7" t="str">
        <x:v>Central</x:v>
      </x:c>
      <x:c r="F940" s="7" t="n">
        <x:v>6</x:v>
      </x:c>
      <x:c r="G940" s="7" t="n">
        <x:v>300</x:v>
      </x:c>
      <x:c r="H940" s="9" t="n">
        <x:v>0.05</x:v>
      </x:c>
      <x:c r="I940" s="7" t="n">
        <x:v>1710</x:v>
      </x:c>
    </x:row>
    <x:row r="941" ht="23" customHeight="1">
      <x:c r="A941" s="7" t="str">
        <x:v>INV00936</x:v>
      </x:c>
      <x:c r="B941" s="15" t="d">
        <x:v>2026-06-19T00:00:00.000Z</x:v>
      </x:c>
      <x:c r="C941" s="14" t="d">
        <x:v>2026-06-01T00:00:00.000Z</x:v>
      </x:c>
      <x:c r="D941" s="34" t="str">
        <x:v>0001</x:v>
      </x:c>
      <x:c r="E941" s="7" t="str">
        <x:v>East</x:v>
      </x:c>
      <x:c r="F941" s="7" t="n">
        <x:v>3</x:v>
      </x:c>
      <x:c r="G941" s="7" t="n">
        <x:v>160</x:v>
      </x:c>
      <x:c r="H941" s="9" t="n">
        <x:v>0</x:v>
      </x:c>
      <x:c r="I941" s="7" t="n">
        <x:v>480</x:v>
      </x:c>
    </x:row>
    <x:row r="942" ht="23" customHeight="1">
      <x:c r="A942" s="7" t="str">
        <x:v>INV00937</x:v>
      </x:c>
      <x:c r="B942" s="15" t="d">
        <x:v>2026-06-20T00:00:00.000Z</x:v>
      </x:c>
      <x:c r="C942" s="14" t="d">
        <x:v>2026-06-01T00:00:00.000Z</x:v>
      </x:c>
      <x:c r="D942" s="34" t="str">
        <x:v>0002</x:v>
      </x:c>
      <x:c r="E942" s="7" t="str">
        <x:v>East</x:v>
      </x:c>
      <x:c r="F942" s="7" t="n">
        <x:v>4</x:v>
      </x:c>
      <x:c r="G942" s="7" t="n">
        <x:v>180</x:v>
      </x:c>
      <x:c r="H942" s="9" t="n">
        <x:v>0.02</x:v>
      </x:c>
      <x:c r="I942" s="7" t="n">
        <x:v>705.6</x:v>
      </x:c>
    </x:row>
    <x:row r="943" ht="23" customHeight="1">
      <x:c r="A943" s="7" t="str">
        <x:v>INV00938</x:v>
      </x:c>
      <x:c r="B943" s="15" t="d">
        <x:v>2026-06-21T00:00:00.000Z</x:v>
      </x:c>
      <x:c r="C943" s="14" t="d">
        <x:v>2026-06-01T00:00:00.000Z</x:v>
      </x:c>
      <x:c r="D943" s="34" t="str">
        <x:v>0003</x:v>
      </x:c>
      <x:c r="E943" s="7" t="str">
        <x:v>East</x:v>
      </x:c>
      <x:c r="F943" s="7" t="n">
        <x:v>1</x:v>
      </x:c>
      <x:c r="G943" s="7" t="n">
        <x:v>200</x:v>
      </x:c>
      <x:c r="H943" s="9" t="n">
        <x:v>0.05</x:v>
      </x:c>
      <x:c r="I943" s="7" t="n">
        <x:v>190</x:v>
      </x:c>
    </x:row>
    <x:row r="944" ht="23" customHeight="1">
      <x:c r="A944" s="7" t="str">
        <x:v>INV00939</x:v>
      </x:c>
      <x:c r="B944" s="15" t="d">
        <x:v>2026-06-22T00:00:00.000Z</x:v>
      </x:c>
      <x:c r="C944" s="14" t="d">
        <x:v>2026-06-01T00:00:00.000Z</x:v>
      </x:c>
      <x:c r="D944" s="34" t="str">
        <x:v>0004</x:v>
      </x:c>
      <x:c r="E944" s="7" t="str">
        <x:v>East</x:v>
      </x:c>
      <x:c r="F944" s="7" t="n">
        <x:v>3</x:v>
      </x:c>
      <x:c r="G944" s="7" t="n">
        <x:v>220</x:v>
      </x:c>
      <x:c r="H944" s="9" t="n">
        <x:v>0</x:v>
      </x:c>
      <x:c r="I944" s="7" t="n">
        <x:v>660</x:v>
      </x:c>
    </x:row>
    <x:row r="945" ht="23" customHeight="1">
      <x:c r="A945" s="7" t="str">
        <x:v>INV00940</x:v>
      </x:c>
      <x:c r="B945" s="15" t="d">
        <x:v>2026-06-23T00:00:00.000Z</x:v>
      </x:c>
      <x:c r="C945" s="14" t="d">
        <x:v>2026-06-01T00:00:00.000Z</x:v>
      </x:c>
      <x:c r="D945" s="34" t="str">
        <x:v>0005</x:v>
      </x:c>
      <x:c r="E945" s="7" t="str">
        <x:v>East</x:v>
      </x:c>
      <x:c r="F945" s="7" t="n">
        <x:v>4</x:v>
      </x:c>
      <x:c r="G945" s="7" t="n">
        <x:v>240</x:v>
      </x:c>
      <x:c r="H945" s="9" t="n">
        <x:v>0.02</x:v>
      </x:c>
      <x:c r="I945" s="7" t="n">
        <x:v>940.8</x:v>
      </x:c>
    </x:row>
    <x:row r="946" ht="23" customHeight="1">
      <x:c r="A946" s="7" t="str">
        <x:v>INV00941</x:v>
      </x:c>
      <x:c r="B946" s="15" t="d">
        <x:v>2026-06-24T00:00:00.000Z</x:v>
      </x:c>
      <x:c r="C946" s="14" t="d">
        <x:v>2026-06-01T00:00:00.000Z</x:v>
      </x:c>
      <x:c r="D946" s="34" t="str">
        <x:v>0006</x:v>
      </x:c>
      <x:c r="E946" s="7" t="str">
        <x:v>East</x:v>
      </x:c>
      <x:c r="F946" s="7" t="n">
        <x:v>7</x:v>
      </x:c>
      <x:c r="G946" s="7" t="n">
        <x:v>260</x:v>
      </x:c>
      <x:c r="H946" s="9" t="n">
        <x:v>0.05</x:v>
      </x:c>
      <x:c r="I946" s="7" t="n">
        <x:v>1729</x:v>
      </x:c>
    </x:row>
    <x:row r="947" ht="23" customHeight="1">
      <x:c r="A947" s="7" t="str">
        <x:v>INV00942</x:v>
      </x:c>
      <x:c r="B947" s="15" t="d">
        <x:v>2026-06-25T00:00:00.000Z</x:v>
      </x:c>
      <x:c r="C947" s="14" t="d">
        <x:v>2026-06-01T00:00:00.000Z</x:v>
      </x:c>
      <x:c r="D947" s="34" t="str">
        <x:v>0007</x:v>
      </x:c>
      <x:c r="E947" s="7" t="str">
        <x:v>East</x:v>
      </x:c>
      <x:c r="F947" s="7" t="n">
        <x:v>1</x:v>
      </x:c>
      <x:c r="G947" s="7" t="n">
        <x:v>280</x:v>
      </x:c>
      <x:c r="H947" s="9" t="n">
        <x:v>0</x:v>
      </x:c>
      <x:c r="I947" s="7" t="n">
        <x:v>280</x:v>
      </x:c>
    </x:row>
    <x:row r="948" ht="23" customHeight="1">
      <x:c r="A948" s="7" t="str">
        <x:v>INV00943</x:v>
      </x:c>
      <x:c r="B948" s="15" t="d">
        <x:v>2026-06-26T00:00:00.000Z</x:v>
      </x:c>
      <x:c r="C948" s="14" t="d">
        <x:v>2026-06-01T00:00:00.000Z</x:v>
      </x:c>
      <x:c r="D948" s="34" t="str">
        <x:v>0008</x:v>
      </x:c>
      <x:c r="E948" s="7" t="str">
        <x:v>East</x:v>
      </x:c>
      <x:c r="F948" s="7" t="n">
        <x:v>-7</x:v>
      </x:c>
      <x:c r="G948" s="7" t="n">
        <x:v>300</x:v>
      </x:c>
      <x:c r="H948" s="9" t="n">
        <x:v>0.02</x:v>
      </x:c>
      <x:c r="I948" s="7" t="n">
        <x:v>-2058</x:v>
      </x:c>
    </x:row>
    <x:row r="949" ht="23" customHeight="1">
      <x:c r="A949" s="7" t="str">
        <x:v>INV00944</x:v>
      </x:c>
      <x:c r="B949" s="15" t="d">
        <x:v>2026-06-27T00:00:00.000Z</x:v>
      </x:c>
      <x:c r="C949" s="14" t="d">
        <x:v>2026-06-01T00:00:00.000Z</x:v>
      </x:c>
      <x:c r="D949" s="34" t="str">
        <x:v>0001</x:v>
      </x:c>
      <x:c r="E949" s="7" t="str">
        <x:v>West</x:v>
      </x:c>
      <x:c r="F949" s="7" t="n">
        <x:v>6</x:v>
      </x:c>
      <x:c r="G949" s="7" t="n">
        <x:v>160</x:v>
      </x:c>
      <x:c r="H949" s="9" t="n">
        <x:v>0.05</x:v>
      </x:c>
      <x:c r="I949" s="7" t="n">
        <x:v>912</x:v>
      </x:c>
    </x:row>
    <x:row r="950" ht="23" customHeight="1">
      <x:c r="A950" s="7" t="str">
        <x:v>INV00945</x:v>
      </x:c>
      <x:c r="B950" s="15" t="d">
        <x:v>2026-06-01T00:00:00.000Z</x:v>
      </x:c>
      <x:c r="C950" s="14" t="d">
        <x:v>2026-06-01T00:00:00.000Z</x:v>
      </x:c>
      <x:c r="D950" s="34" t="str">
        <x:v>0002</x:v>
      </x:c>
      <x:c r="E950" s="7" t="str">
        <x:v>West</x:v>
      </x:c>
      <x:c r="F950" s="7" t="n">
        <x:v>7</x:v>
      </x:c>
      <x:c r="G950" s="7" t="n">
        <x:v>180</x:v>
      </x:c>
      <x:c r="H950" s="9" t="n">
        <x:v>0</x:v>
      </x:c>
      <x:c r="I950" s="7" t="n">
        <x:v>1260</x:v>
      </x:c>
    </x:row>
    <x:row r="951" ht="23" customHeight="1">
      <x:c r="A951" s="7" t="str">
        <x:v>INV00946</x:v>
      </x:c>
      <x:c r="B951" s="15" t="d">
        <x:v>2026-06-02T00:00:00.000Z</x:v>
      </x:c>
      <x:c r="C951" s="14" t="d">
        <x:v>2026-06-01T00:00:00.000Z</x:v>
      </x:c>
      <x:c r="D951" s="34" t="str">
        <x:v>0003</x:v>
      </x:c>
      <x:c r="E951" s="7" t="str">
        <x:v>West</x:v>
      </x:c>
      <x:c r="F951" s="7" t="n">
        <x:v>5</x:v>
      </x:c>
      <x:c r="G951" s="7" t="n">
        <x:v>200</x:v>
      </x:c>
      <x:c r="H951" s="9" t="n">
        <x:v>0.02</x:v>
      </x:c>
      <x:c r="I951" s="7" t="n">
        <x:v>980</x:v>
      </x:c>
    </x:row>
    <x:row r="952" ht="23" customHeight="1">
      <x:c r="A952" s="7" t="str">
        <x:v>INV00947</x:v>
      </x:c>
      <x:c r="B952" s="15" t="d">
        <x:v>2026-06-03T00:00:00.000Z</x:v>
      </x:c>
      <x:c r="C952" s="14" t="d">
        <x:v>2026-06-01T00:00:00.000Z</x:v>
      </x:c>
      <x:c r="D952" s="34" t="str">
        <x:v>0004</x:v>
      </x:c>
      <x:c r="E952" s="7" t="str">
        <x:v>West</x:v>
      </x:c>
      <x:c r="F952" s="7" t="n">
        <x:v>2</x:v>
      </x:c>
      <x:c r="G952" s="7" t="n">
        <x:v>220</x:v>
      </x:c>
      <x:c r="H952" s="9" t="n">
        <x:v>0.05</x:v>
      </x:c>
      <x:c r="I952" s="7" t="n">
        <x:v>418</x:v>
      </x:c>
    </x:row>
    <x:row r="953" ht="23" customHeight="1">
      <x:c r="A953" s="7" t="str">
        <x:v>INV00948</x:v>
      </x:c>
      <x:c r="B953" s="15" t="d">
        <x:v>2026-06-04T00:00:00.000Z</x:v>
      </x:c>
      <x:c r="C953" s="14" t="d">
        <x:v>2026-06-01T00:00:00.000Z</x:v>
      </x:c>
      <x:c r="D953" s="34" t="str">
        <x:v>0005</x:v>
      </x:c>
      <x:c r="E953" s="7" t="str">
        <x:v>West</x:v>
      </x:c>
      <x:c r="F953" s="7" t="n">
        <x:v>1</x:v>
      </x:c>
      <x:c r="G953" s="7" t="n">
        <x:v>240</x:v>
      </x:c>
      <x:c r="H953" s="9" t="n">
        <x:v>0</x:v>
      </x:c>
      <x:c r="I953" s="7" t="n">
        <x:v>240</x:v>
      </x:c>
    </x:row>
    <x:row r="954" ht="23" customHeight="1">
      <x:c r="A954" s="7" t="str">
        <x:v>INV00949</x:v>
      </x:c>
      <x:c r="B954" s="15" t="d">
        <x:v>2026-06-05T00:00:00.000Z</x:v>
      </x:c>
      <x:c r="C954" s="14" t="d">
        <x:v>2026-06-01T00:00:00.000Z</x:v>
      </x:c>
      <x:c r="D954" s="34" t="str">
        <x:v>0006</x:v>
      </x:c>
      <x:c r="E954" s="7" t="str">
        <x:v>West</x:v>
      </x:c>
      <x:c r="F954" s="7" t="n">
        <x:v>2</x:v>
      </x:c>
      <x:c r="G954" s="7" t="n">
        <x:v>260</x:v>
      </x:c>
      <x:c r="H954" s="9" t="n">
        <x:v>0.02</x:v>
      </x:c>
      <x:c r="I954" s="7" t="n">
        <x:v>509.6</x:v>
      </x:c>
    </x:row>
    <x:row r="955" ht="23" customHeight="1">
      <x:c r="A955" s="7" t="str">
        <x:v>INV00950</x:v>
      </x:c>
      <x:c r="B955" s="15" t="d">
        <x:v>2026-06-06T00:00:00.000Z</x:v>
      </x:c>
      <x:c r="C955" s="14" t="d">
        <x:v>2026-06-01T00:00:00.000Z</x:v>
      </x:c>
      <x:c r="D955" s="34" t="str">
        <x:v>0007</x:v>
      </x:c>
      <x:c r="E955" s="7" t="str">
        <x:v>West</x:v>
      </x:c>
      <x:c r="F955" s="7" t="n">
        <x:v>1</x:v>
      </x:c>
      <x:c r="G955" s="7" t="n">
        <x:v>280</x:v>
      </x:c>
      <x:c r="H955" s="9" t="n">
        <x:v>0.05</x:v>
      </x:c>
      <x:c r="I955" s="7" t="n">
        <x:v>266</x:v>
      </x:c>
    </x:row>
    <x:row r="956" ht="23" customHeight="1">
      <x:c r="A956" s="7" t="str">
        <x:v>INV00951</x:v>
      </x:c>
      <x:c r="B956" s="15" t="d">
        <x:v>2026-06-07T00:00:00.000Z</x:v>
      </x:c>
      <x:c r="C956" s="14" t="d">
        <x:v>2026-06-01T00:00:00.000Z</x:v>
      </x:c>
      <x:c r="D956" s="34" t="str">
        <x:v>0008</x:v>
      </x:c>
      <x:c r="E956" s="7" t="str">
        <x:v>West</x:v>
      </x:c>
      <x:c r="F956" s="7" t="n">
        <x:v>2</x:v>
      </x:c>
      <x:c r="G956" s="7" t="n">
        <x:v>300</x:v>
      </x:c>
      <x:c r="H956" s="9" t="n">
        <x:v>0</x:v>
      </x:c>
      <x:c r="I956" s="7" t="n">
        <x:v>600</x:v>
      </x:c>
    </x:row>
    <x:row r="957" ht="23" customHeight="1">
      <x:c r="A957" s="7" t="str">
        <x:v>INV00952</x:v>
      </x:c>
      <x:c r="B957" s="15" t="d">
        <x:v>2026-06-08T00:00:00.000Z</x:v>
      </x:c>
      <x:c r="C957" s="14" t="d">
        <x:v>2026-06-01T00:00:00.000Z</x:v>
      </x:c>
      <x:c r="D957" s="34" t="str">
        <x:v>0001</x:v>
      </x:c>
      <x:c r="E957" s="7" t="str">
        <x:v>North</x:v>
      </x:c>
      <x:c r="F957" s="7" t="n">
        <x:v>5</x:v>
      </x:c>
      <x:c r="G957" s="7" t="n">
        <x:v>160</x:v>
      </x:c>
      <x:c r="H957" s="9" t="n">
        <x:v>0.02</x:v>
      </x:c>
      <x:c r="I957" s="7" t="n">
        <x:v>784</x:v>
      </x:c>
    </x:row>
    <x:row r="958" ht="23" customHeight="1">
      <x:c r="A958" s="7" t="str">
        <x:v>INV00953</x:v>
      </x:c>
      <x:c r="B958" s="15" t="d">
        <x:v>2026-06-09T00:00:00.000Z</x:v>
      </x:c>
      <x:c r="C958" s="14" t="d">
        <x:v>2026-06-01T00:00:00.000Z</x:v>
      </x:c>
      <x:c r="D958" s="34" t="str">
        <x:v>0002</x:v>
      </x:c>
      <x:c r="E958" s="7" t="str">
        <x:v>North</x:v>
      </x:c>
      <x:c r="F958" s="7" t="n">
        <x:v>4</x:v>
      </x:c>
      <x:c r="G958" s="7" t="n">
        <x:v>180</x:v>
      </x:c>
      <x:c r="H958" s="9" t="n">
        <x:v>0.05</x:v>
      </x:c>
      <x:c r="I958" s="7" t="n">
        <x:v>684</x:v>
      </x:c>
    </x:row>
    <x:row r="959" ht="23" customHeight="1">
      <x:c r="A959" s="7" t="str">
        <x:v>INV00954</x:v>
      </x:c>
      <x:c r="B959" s="15" t="d">
        <x:v>2026-06-10T00:00:00.000Z</x:v>
      </x:c>
      <x:c r="C959" s="14" t="d">
        <x:v>2026-06-01T00:00:00.000Z</x:v>
      </x:c>
      <x:c r="D959" s="34" t="str">
        <x:v>0003</x:v>
      </x:c>
      <x:c r="E959" s="7" t="str">
        <x:v>North</x:v>
      </x:c>
      <x:c r="F959" s="7" t="n">
        <x:v>3</x:v>
      </x:c>
      <x:c r="G959" s="7" t="n">
        <x:v>200</x:v>
      </x:c>
      <x:c r="H959" s="9" t="n">
        <x:v>0</x:v>
      </x:c>
      <x:c r="I959" s="7" t="n">
        <x:v>600</x:v>
      </x:c>
    </x:row>
    <x:row r="960" ht="23" customHeight="1">
      <x:c r="A960" s="7" t="str">
        <x:v>INV00955</x:v>
      </x:c>
      <x:c r="B960" s="15" t="d">
        <x:v>2026-06-11T00:00:00.000Z</x:v>
      </x:c>
      <x:c r="C960" s="14" t="d">
        <x:v>2026-06-01T00:00:00.000Z</x:v>
      </x:c>
      <x:c r="D960" s="34" t="str">
        <x:v>0004</x:v>
      </x:c>
      <x:c r="E960" s="7" t="str">
        <x:v>North</x:v>
      </x:c>
      <x:c r="F960" s="7" t="n">
        <x:v>2</x:v>
      </x:c>
      <x:c r="G960" s="7" t="n">
        <x:v>220</x:v>
      </x:c>
      <x:c r="H960" s="9" t="n">
        <x:v>0.02</x:v>
      </x:c>
      <x:c r="I960" s="7" t="n">
        <x:v>431.2</x:v>
      </x:c>
    </x:row>
    <x:row r="961" ht="23" customHeight="1">
      <x:c r="A961" s="7" t="str">
        <x:v>INV00956</x:v>
      </x:c>
      <x:c r="B961" s="15" t="d">
        <x:v>2026-06-12T00:00:00.000Z</x:v>
      </x:c>
      <x:c r="C961" s="14" t="d">
        <x:v>2026-06-01T00:00:00.000Z</x:v>
      </x:c>
      <x:c r="D961" s="34" t="str">
        <x:v>0005</x:v>
      </x:c>
      <x:c r="E961" s="7" t="str">
        <x:v>North</x:v>
      </x:c>
      <x:c r="F961" s="7" t="n">
        <x:v>4</x:v>
      </x:c>
      <x:c r="G961" s="7" t="n">
        <x:v>240</x:v>
      </x:c>
      <x:c r="H961" s="9" t="n">
        <x:v>0.05</x:v>
      </x:c>
      <x:c r="I961" s="7" t="n">
        <x:v>912</x:v>
      </x:c>
    </x:row>
    <x:row r="962" ht="23" customHeight="1">
      <x:c r="A962" s="7" t="str">
        <x:v>INV00957</x:v>
      </x:c>
      <x:c r="B962" s="15" t="d">
        <x:v>2026-06-13T00:00:00.000Z</x:v>
      </x:c>
      <x:c r="C962" s="14" t="d">
        <x:v>2026-06-01T00:00:00.000Z</x:v>
      </x:c>
      <x:c r="D962" s="34" t="str">
        <x:v>0006</x:v>
      </x:c>
      <x:c r="E962" s="7" t="str">
        <x:v>North</x:v>
      </x:c>
      <x:c r="F962" s="7" t="n">
        <x:v>7</x:v>
      </x:c>
      <x:c r="G962" s="7" t="n">
        <x:v>260</x:v>
      </x:c>
      <x:c r="H962" s="9" t="n">
        <x:v>0</x:v>
      </x:c>
      <x:c r="I962" s="7" t="n">
        <x:v>1820</x:v>
      </x:c>
    </x:row>
    <x:row r="963" ht="23" customHeight="1">
      <x:c r="A963" s="7" t="str">
        <x:v>INV00958</x:v>
      </x:c>
      <x:c r="B963" s="15" t="d">
        <x:v>2026-06-14T00:00:00.000Z</x:v>
      </x:c>
      <x:c r="C963" s="14" t="d">
        <x:v>2026-06-01T00:00:00.000Z</x:v>
      </x:c>
      <x:c r="D963" s="34" t="str">
        <x:v>0007</x:v>
      </x:c>
      <x:c r="E963" s="7" t="str">
        <x:v>North</x:v>
      </x:c>
      <x:c r="F963" s="7" t="n">
        <x:v>3</x:v>
      </x:c>
      <x:c r="G963" s="7" t="n">
        <x:v>280</x:v>
      </x:c>
      <x:c r="H963" s="9" t="n">
        <x:v>0.02</x:v>
      </x:c>
      <x:c r="I963" s="7" t="n">
        <x:v>823.2</x:v>
      </x:c>
    </x:row>
    <x:row r="964" ht="23" customHeight="1">
      <x:c r="A964" s="7" t="str">
        <x:v>INV00959</x:v>
      </x:c>
      <x:c r="B964" s="15" t="d">
        <x:v>2026-06-15T00:00:00.000Z</x:v>
      </x:c>
      <x:c r="C964" s="14" t="d">
        <x:v>2026-06-01T00:00:00.000Z</x:v>
      </x:c>
      <x:c r="D964" s="34" t="str">
        <x:v>0008</x:v>
      </x:c>
      <x:c r="E964" s="7" t="str">
        <x:v>North</x:v>
      </x:c>
      <x:c r="F964" s="7" t="n">
        <x:v>4</x:v>
      </x:c>
      <x:c r="G964" s="7" t="n">
        <x:v>300</x:v>
      </x:c>
      <x:c r="H964" s="9" t="n">
        <x:v>0.05</x:v>
      </x:c>
      <x:c r="I964" s="7" t="n">
        <x:v>1140</x:v>
      </x:c>
    </x:row>
    <x:row r="965" ht="23" customHeight="1">
      <x:c r="A965" s="7" t="str">
        <x:v>INV00960</x:v>
      </x:c>
      <x:c r="B965" s="15" t="d">
        <x:v>2026-01-16T00:00:00.000Z</x:v>
      </x:c>
      <x:c r="C965" s="14" t="d">
        <x:v>2026-01-01T00:00:00.000Z</x:v>
      </x:c>
      <x:c r="D965" s="34" t="str">
        <x:v>0001</x:v>
      </x:c>
      <x:c r="E965" s="7" t="str">
        <x:v>Central</x:v>
      </x:c>
      <x:c r="F965" s="7" t="n">
        <x:v>1</x:v>
      </x:c>
      <x:c r="G965" s="7" t="n">
        <x:v>160</x:v>
      </x:c>
      <x:c r="H965" s="9" t="n">
        <x:v>0</x:v>
      </x:c>
      <x:c r="I965" s="7" t="n">
        <x:v>160</x:v>
      </x:c>
    </x:row>
    <x:row r="966" ht="23" customHeight="1">
      <x:c r="A966" s="7" t="str">
        <x:v>INV00961</x:v>
      </x:c>
      <x:c r="B966" s="15" t="d">
        <x:v>2026-01-17T00:00:00.000Z</x:v>
      </x:c>
      <x:c r="C966" s="14" t="d">
        <x:v>2026-01-01T00:00:00.000Z</x:v>
      </x:c>
      <x:c r="D966" s="34" t="str">
        <x:v>0002</x:v>
      </x:c>
      <x:c r="E966" s="7" t="str">
        <x:v>Central</x:v>
      </x:c>
      <x:c r="F966" s="7" t="n">
        <x:v>5</x:v>
      </x:c>
      <x:c r="G966" s="7" t="n">
        <x:v>180</x:v>
      </x:c>
      <x:c r="H966" s="9" t="n">
        <x:v>0.02</x:v>
      </x:c>
      <x:c r="I966" s="7" t="n">
        <x:v>882</x:v>
      </x:c>
    </x:row>
    <x:row r="967" ht="23" customHeight="1">
      <x:c r="A967" s="7" t="str">
        <x:v>INV00962</x:v>
      </x:c>
      <x:c r="B967" s="15" t="d">
        <x:v>2026-01-18T00:00:00.000Z</x:v>
      </x:c>
      <x:c r="C967" s="14" t="d">
        <x:v>2026-01-01T00:00:00.000Z</x:v>
      </x:c>
      <x:c r="D967" s="34" t="str">
        <x:v>0003</x:v>
      </x:c>
      <x:c r="E967" s="7" t="str">
        <x:v>Central</x:v>
      </x:c>
      <x:c r="F967" s="7" t="n">
        <x:v>5</x:v>
      </x:c>
      <x:c r="G967" s="7" t="n">
        <x:v>200</x:v>
      </x:c>
      <x:c r="H967" s="9" t="n">
        <x:v>0.05</x:v>
      </x:c>
      <x:c r="I967" s="7" t="n">
        <x:v>950</x:v>
      </x:c>
    </x:row>
    <x:row r="968" ht="23" customHeight="1">
      <x:c r="A968" s="7" t="str">
        <x:v>INV00963</x:v>
      </x:c>
      <x:c r="B968" s="15" t="d">
        <x:v>2026-01-19T00:00:00.000Z</x:v>
      </x:c>
      <x:c r="C968" s="14" t="d">
        <x:v>2026-01-01T00:00:00.000Z</x:v>
      </x:c>
      <x:c r="D968" s="34" t="str">
        <x:v>0004</x:v>
      </x:c>
      <x:c r="E968" s="7" t="str">
        <x:v>Central</x:v>
      </x:c>
      <x:c r="F968" s="7" t="n">
        <x:v>5</x:v>
      </x:c>
      <x:c r="G968" s="7" t="n">
        <x:v>220</x:v>
      </x:c>
      <x:c r="H968" s="9" t="n">
        <x:v>0</x:v>
      </x:c>
      <x:c r="I968" s="7" t="n">
        <x:v>1100</x:v>
      </x:c>
    </x:row>
    <x:row r="969" ht="23" customHeight="1">
      <x:c r="A969" s="7" t="str">
        <x:v>INV00964</x:v>
      </x:c>
      <x:c r="B969" s="15" t="d">
        <x:v>2026-01-20T00:00:00.000Z</x:v>
      </x:c>
      <x:c r="C969" s="14" t="d">
        <x:v>2026-01-01T00:00:00.000Z</x:v>
      </x:c>
      <x:c r="D969" s="34" t="str">
        <x:v>0005</x:v>
      </x:c>
      <x:c r="E969" s="7" t="str">
        <x:v>Central</x:v>
      </x:c>
      <x:c r="F969" s="7" t="n">
        <x:v>1</x:v>
      </x:c>
      <x:c r="G969" s="7" t="n">
        <x:v>240</x:v>
      </x:c>
      <x:c r="H969" s="9" t="n">
        <x:v>0.02</x:v>
      </x:c>
      <x:c r="I969" s="7" t="n">
        <x:v>235.2</x:v>
      </x:c>
    </x:row>
    <x:row r="970" ht="23" customHeight="1">
      <x:c r="A970" s="7" t="str">
        <x:v>INV00965</x:v>
      </x:c>
      <x:c r="B970" s="15" t="d">
        <x:v>2026-01-21T00:00:00.000Z</x:v>
      </x:c>
      <x:c r="C970" s="14" t="d">
        <x:v>2026-01-01T00:00:00.000Z</x:v>
      </x:c>
      <x:c r="D970" s="34" t="str">
        <x:v>0006</x:v>
      </x:c>
      <x:c r="E970" s="7" t="str">
        <x:v>Central</x:v>
      </x:c>
      <x:c r="F970" s="7" t="n">
        <x:v>6</x:v>
      </x:c>
      <x:c r="G970" s="7" t="n">
        <x:v>260</x:v>
      </x:c>
      <x:c r="H970" s="9" t="n">
        <x:v>0.05</x:v>
      </x:c>
      <x:c r="I970" s="7" t="n">
        <x:v>1482</x:v>
      </x:c>
    </x:row>
    <x:row r="971" ht="23" customHeight="1">
      <x:c r="A971" s="7" t="str">
        <x:v>INV00966</x:v>
      </x:c>
      <x:c r="B971" s="15" t="d">
        <x:v>2026-01-22T00:00:00.000Z</x:v>
      </x:c>
      <x:c r="C971" s="14" t="d">
        <x:v>2026-01-01T00:00:00.000Z</x:v>
      </x:c>
      <x:c r="D971" s="34" t="str">
        <x:v>0007</x:v>
      </x:c>
      <x:c r="E971" s="7" t="str">
        <x:v>Central</x:v>
      </x:c>
      <x:c r="F971" s="7" t="n">
        <x:v>4</x:v>
      </x:c>
      <x:c r="G971" s="7" t="n">
        <x:v>280</x:v>
      </x:c>
      <x:c r="H971" s="9" t="n">
        <x:v>0</x:v>
      </x:c>
      <x:c r="I971" s="7" t="n">
        <x:v>1120</x:v>
      </x:c>
    </x:row>
    <x:row r="972" ht="23" customHeight="1">
      <x:c r="A972" s="7" t="str">
        <x:v>INV00967</x:v>
      </x:c>
      <x:c r="B972" s="15" t="d">
        <x:v>2026-01-23T00:00:00.000Z</x:v>
      </x:c>
      <x:c r="C972" s="14" t="d">
        <x:v>2026-01-01T00:00:00.000Z</x:v>
      </x:c>
      <x:c r="D972" s="34" t="str">
        <x:v>0008</x:v>
      </x:c>
      <x:c r="E972" s="7" t="str">
        <x:v>Central</x:v>
      </x:c>
      <x:c r="F972" s="7" t="n">
        <x:v>6</x:v>
      </x:c>
      <x:c r="G972" s="7" t="n">
        <x:v>300</x:v>
      </x:c>
      <x:c r="H972" s="9" t="n">
        <x:v>0.02</x:v>
      </x:c>
      <x:c r="I972" s="7" t="n">
        <x:v>1764</x:v>
      </x:c>
    </x:row>
    <x:row r="973" ht="23" customHeight="1">
      <x:c r="A973" s="7" t="str">
        <x:v>INV00968</x:v>
      </x:c>
      <x:c r="B973" s="15" t="d">
        <x:v>2026-01-24T00:00:00.000Z</x:v>
      </x:c>
      <x:c r="C973" s="14" t="d">
        <x:v>2026-01-01T00:00:00.000Z</x:v>
      </x:c>
      <x:c r="D973" s="34" t="str">
        <x:v>0001</x:v>
      </x:c>
      <x:c r="E973" s="7" t="str">
        <x:v>East</x:v>
      </x:c>
      <x:c r="F973" s="7" t="n">
        <x:v>2</x:v>
      </x:c>
      <x:c r="G973" s="7" t="n">
        <x:v>160</x:v>
      </x:c>
      <x:c r="H973" s="9" t="n">
        <x:v>0.05</x:v>
      </x:c>
      <x:c r="I973" s="7" t="n">
        <x:v>304</x:v>
      </x:c>
    </x:row>
    <x:row r="974" ht="23" customHeight="1">
      <x:c r="A974" s="7" t="str">
        <x:v>INV00969</x:v>
      </x:c>
      <x:c r="B974" s="15" t="d">
        <x:v>2026-01-25T00:00:00.000Z</x:v>
      </x:c>
      <x:c r="C974" s="14" t="d">
        <x:v>2026-01-01T00:00:00.000Z</x:v>
      </x:c>
      <x:c r="D974" s="34" t="str">
        <x:v>0002</x:v>
      </x:c>
      <x:c r="E974" s="7" t="str">
        <x:v>East</x:v>
      </x:c>
      <x:c r="F974" s="7" t="n">
        <x:v>7</x:v>
      </x:c>
      <x:c r="G974" s="7" t="n">
        <x:v>180</x:v>
      </x:c>
      <x:c r="H974" s="9" t="n">
        <x:v>0</x:v>
      </x:c>
      <x:c r="I974" s="7" t="n">
        <x:v>1260</x:v>
      </x:c>
    </x:row>
    <x:row r="975" ht="23" customHeight="1">
      <x:c r="A975" s="7" t="str">
        <x:v>INV00970</x:v>
      </x:c>
      <x:c r="B975" s="15" t="d">
        <x:v>2026-01-26T00:00:00.000Z</x:v>
      </x:c>
      <x:c r="C975" s="14" t="d">
        <x:v>2026-01-01T00:00:00.000Z</x:v>
      </x:c>
      <x:c r="D975" s="34" t="str">
        <x:v>0003</x:v>
      </x:c>
      <x:c r="E975" s="7" t="str">
        <x:v>East</x:v>
      </x:c>
      <x:c r="F975" s="7" t="n">
        <x:v>1</x:v>
      </x:c>
      <x:c r="G975" s="7" t="n">
        <x:v>200</x:v>
      </x:c>
      <x:c r="H975" s="9" t="n">
        <x:v>0.02</x:v>
      </x:c>
      <x:c r="I975" s="7" t="n">
        <x:v>196</x:v>
      </x:c>
    </x:row>
    <x:row r="976" ht="23" customHeight="1">
      <x:c r="A976" s="7" t="str">
        <x:v>INV00971</x:v>
      </x:c>
      <x:c r="B976" s="15" t="d">
        <x:v>2026-01-27T00:00:00.000Z</x:v>
      </x:c>
      <x:c r="C976" s="14" t="d">
        <x:v>2026-01-01T00:00:00.000Z</x:v>
      </x:c>
      <x:c r="D976" s="34" t="str">
        <x:v>0004</x:v>
      </x:c>
      <x:c r="E976" s="7" t="str">
        <x:v>East</x:v>
      </x:c>
      <x:c r="F976" s="7" t="n">
        <x:v>4</x:v>
      </x:c>
      <x:c r="G976" s="7" t="n">
        <x:v>220</x:v>
      </x:c>
      <x:c r="H976" s="9" t="n">
        <x:v>0.05</x:v>
      </x:c>
      <x:c r="I976" s="7" t="n">
        <x:v>836</x:v>
      </x:c>
    </x:row>
    <x:row r="977" ht="23" customHeight="1">
      <x:c r="A977" s="7" t="str">
        <x:v>INV00972</x:v>
      </x:c>
      <x:c r="B977" s="15" t="d">
        <x:v>2026-01-01T00:00:00.000Z</x:v>
      </x:c>
      <x:c r="C977" s="14" t="d">
        <x:v>2026-01-01T00:00:00.000Z</x:v>
      </x:c>
      <x:c r="D977" s="34" t="str">
        <x:v>0005</x:v>
      </x:c>
      <x:c r="E977" s="7" t="str">
        <x:v>East</x:v>
      </x:c>
      <x:c r="F977" s="7" t="n">
        <x:v>5</x:v>
      </x:c>
      <x:c r="G977" s="7" t="n">
        <x:v>240</x:v>
      </x:c>
      <x:c r="H977" s="9" t="n">
        <x:v>0</x:v>
      </x:c>
      <x:c r="I977" s="7" t="n">
        <x:v>1200</x:v>
      </x:c>
    </x:row>
    <x:row r="978" ht="23" customHeight="1">
      <x:c r="A978" s="7" t="str">
        <x:v>INV00973</x:v>
      </x:c>
      <x:c r="B978" s="15" t="d">
        <x:v>2026-01-02T00:00:00.000Z</x:v>
      </x:c>
      <x:c r="C978" s="14" t="d">
        <x:v>2026-01-01T00:00:00.000Z</x:v>
      </x:c>
      <x:c r="D978" s="34" t="str">
        <x:v>0006</x:v>
      </x:c>
      <x:c r="E978" s="7" t="str">
        <x:v>East</x:v>
      </x:c>
      <x:c r="F978" s="7" t="n">
        <x:v>2</x:v>
      </x:c>
      <x:c r="G978" s="7" t="n">
        <x:v>260</x:v>
      </x:c>
      <x:c r="H978" s="9" t="n">
        <x:v>0.02</x:v>
      </x:c>
      <x:c r="I978" s="7" t="n">
        <x:v>509.6</x:v>
      </x:c>
    </x:row>
    <x:row r="979" ht="23" customHeight="1">
      <x:c r="A979" s="7" t="str">
        <x:v>INV00974</x:v>
      </x:c>
      <x:c r="B979" s="15" t="d">
        <x:v>2026-01-03T00:00:00.000Z</x:v>
      </x:c>
      <x:c r="C979" s="14" t="d">
        <x:v>2026-01-01T00:00:00.000Z</x:v>
      </x:c>
      <x:c r="D979" s="34" t="str">
        <x:v>0007</x:v>
      </x:c>
      <x:c r="E979" s="7" t="str">
        <x:v>East</x:v>
      </x:c>
      <x:c r="F979" s="7" t="n">
        <x:v>7</x:v>
      </x:c>
      <x:c r="G979" s="7" t="n">
        <x:v>280</x:v>
      </x:c>
      <x:c r="H979" s="9" t="n">
        <x:v>0.05</x:v>
      </x:c>
      <x:c r="I979" s="7" t="n">
        <x:v>1862</x:v>
      </x:c>
    </x:row>
    <x:row r="980" ht="23" customHeight="1">
      <x:c r="A980" s="7" t="str">
        <x:v>INV00975</x:v>
      </x:c>
      <x:c r="B980" s="15" t="d">
        <x:v>2026-01-04T00:00:00.000Z</x:v>
      </x:c>
      <x:c r="C980" s="14" t="d">
        <x:v>2026-01-01T00:00:00.000Z</x:v>
      </x:c>
      <x:c r="D980" s="34" t="str">
        <x:v>0008</x:v>
      </x:c>
      <x:c r="E980" s="7" t="str">
        <x:v>East</x:v>
      </x:c>
      <x:c r="F980" s="7" t="n">
        <x:v>3</x:v>
      </x:c>
      <x:c r="G980" s="7" t="n">
        <x:v>300</x:v>
      </x:c>
      <x:c r="H980" s="9" t="n">
        <x:v>0</x:v>
      </x:c>
      <x:c r="I980" s="7" t="n">
        <x:v>900</x:v>
      </x:c>
    </x:row>
    <x:row r="981" ht="23" customHeight="1">
      <x:c r="A981" s="7" t="str">
        <x:v>INV00976</x:v>
      </x:c>
      <x:c r="B981" s="15" t="d">
        <x:v>2026-01-05T00:00:00.000Z</x:v>
      </x:c>
      <x:c r="C981" s="14" t="d">
        <x:v>2026-01-01T00:00:00.000Z</x:v>
      </x:c>
      <x:c r="D981" s="34" t="str">
        <x:v>0001</x:v>
      </x:c>
      <x:c r="E981" s="7" t="str">
        <x:v>West</x:v>
      </x:c>
      <x:c r="F981" s="7" t="n">
        <x:v>5</x:v>
      </x:c>
      <x:c r="G981" s="7" t="n">
        <x:v>160</x:v>
      </x:c>
      <x:c r="H981" s="9" t="n">
        <x:v>0.02</x:v>
      </x:c>
      <x:c r="I981" s="7" t="n">
        <x:v>784</x:v>
      </x:c>
    </x:row>
    <x:row r="982" ht="23" customHeight="1">
      <x:c r="A982" s="7" t="str">
        <x:v>INV00977</x:v>
      </x:c>
      <x:c r="B982" s="15" t="d">
        <x:v>2026-01-06T00:00:00.000Z</x:v>
      </x:c>
      <x:c r="C982" s="14" t="d">
        <x:v>2026-01-01T00:00:00.000Z</x:v>
      </x:c>
      <x:c r="D982" s="34" t="str">
        <x:v>0002</x:v>
      </x:c>
      <x:c r="E982" s="7" t="str">
        <x:v>West</x:v>
      </x:c>
      <x:c r="F982" s="7" t="n">
        <x:v>7</x:v>
      </x:c>
      <x:c r="G982" s="7" t="n">
        <x:v>180</x:v>
      </x:c>
      <x:c r="H982" s="9" t="n">
        <x:v>0.05</x:v>
      </x:c>
      <x:c r="I982" s="7" t="n">
        <x:v>1197</x:v>
      </x:c>
    </x:row>
    <x:row r="983" ht="23" customHeight="1">
      <x:c r="A983" s="7" t="str">
        <x:v>INV00978</x:v>
      </x:c>
      <x:c r="B983" s="15" t="d">
        <x:v>2026-01-07T00:00:00.000Z</x:v>
      </x:c>
      <x:c r="C983" s="14" t="d">
        <x:v>2026-01-01T00:00:00.000Z</x:v>
      </x:c>
      <x:c r="D983" s="34" t="str">
        <x:v>0003</x:v>
      </x:c>
      <x:c r="E983" s="7" t="str">
        <x:v>West</x:v>
      </x:c>
      <x:c r="F983" s="7" t="n">
        <x:v>7</x:v>
      </x:c>
      <x:c r="G983" s="7" t="n">
        <x:v>200</x:v>
      </x:c>
      <x:c r="H983" s="9" t="n">
        <x:v>0</x:v>
      </x:c>
      <x:c r="I983" s="7" t="n">
        <x:v>1400</x:v>
      </x:c>
    </x:row>
    <x:row r="984" ht="23" customHeight="1">
      <x:c r="A984" s="7" t="str">
        <x:v>INV00979</x:v>
      </x:c>
      <x:c r="B984" s="15" t="d">
        <x:v>2026-01-08T00:00:00.000Z</x:v>
      </x:c>
      <x:c r="C984" s="14" t="d">
        <x:v>2026-01-01T00:00:00.000Z</x:v>
      </x:c>
      <x:c r="D984" s="34" t="str">
        <x:v>0004</x:v>
      </x:c>
      <x:c r="E984" s="7" t="str">
        <x:v>West</x:v>
      </x:c>
      <x:c r="F984" s="7" t="n">
        <x:v>1</x:v>
      </x:c>
      <x:c r="G984" s="7" t="n">
        <x:v>220</x:v>
      </x:c>
      <x:c r="H984" s="9" t="n">
        <x:v>0.02</x:v>
      </x:c>
      <x:c r="I984" s="7" t="n">
        <x:v>215.6</x:v>
      </x:c>
    </x:row>
    <x:row r="985" ht="23" customHeight="1">
      <x:c r="A985" s="7" t="str">
        <x:v>INV00980</x:v>
      </x:c>
      <x:c r="B985" s="15" t="d">
        <x:v>2026-01-09T00:00:00.000Z</x:v>
      </x:c>
      <x:c r="C985" s="14" t="d">
        <x:v>2026-01-01T00:00:00.000Z</x:v>
      </x:c>
      <x:c r="D985" s="34" t="str">
        <x:v>0005</x:v>
      </x:c>
      <x:c r="E985" s="7" t="str">
        <x:v>West</x:v>
      </x:c>
      <x:c r="F985" s="7" t="n">
        <x:v>5</x:v>
      </x:c>
      <x:c r="G985" s="7" t="n">
        <x:v>240</x:v>
      </x:c>
      <x:c r="H985" s="9" t="n">
        <x:v>0.05</x:v>
      </x:c>
      <x:c r="I985" s="7" t="n">
        <x:v>1140</x:v>
      </x:c>
    </x:row>
    <x:row r="986" ht="23" customHeight="1">
      <x:c r="A986" s="7" t="str">
        <x:v>INV00981</x:v>
      </x:c>
      <x:c r="B986" s="15" t="d">
        <x:v>2026-01-10T00:00:00.000Z</x:v>
      </x:c>
      <x:c r="C986" s="14" t="d">
        <x:v>2026-01-01T00:00:00.000Z</x:v>
      </x:c>
      <x:c r="D986" s="34" t="str">
        <x:v>0006</x:v>
      </x:c>
      <x:c r="E986" s="7" t="str">
        <x:v>West</x:v>
      </x:c>
      <x:c r="F986" s="7" t="n">
        <x:v>7</x:v>
      </x:c>
      <x:c r="G986" s="7" t="n">
        <x:v>260</x:v>
      </x:c>
      <x:c r="H986" s="9" t="n">
        <x:v>0</x:v>
      </x:c>
      <x:c r="I986" s="7" t="n">
        <x:v>1820</x:v>
      </x:c>
    </x:row>
    <x:row r="987" ht="23" customHeight="1">
      <x:c r="A987" s="7" t="str">
        <x:v>INV00982</x:v>
      </x:c>
      <x:c r="B987" s="15" t="d">
        <x:v>2026-01-11T00:00:00.000Z</x:v>
      </x:c>
      <x:c r="C987" s="14" t="d">
        <x:v>2026-01-01T00:00:00.000Z</x:v>
      </x:c>
      <x:c r="D987" s="34" t="str">
        <x:v>0007</x:v>
      </x:c>
      <x:c r="E987" s="7" t="str">
        <x:v>West</x:v>
      </x:c>
      <x:c r="F987" s="7" t="n">
        <x:v>4</x:v>
      </x:c>
      <x:c r="G987" s="7" t="n">
        <x:v>280</x:v>
      </x:c>
      <x:c r="H987" s="9" t="n">
        <x:v>0.02</x:v>
      </x:c>
      <x:c r="I987" s="7" t="n">
        <x:v>1097.6</x:v>
      </x:c>
    </x:row>
    <x:row r="988" ht="23" customHeight="1">
      <x:c r="A988" s="7" t="str">
        <x:v>INV00983</x:v>
      </x:c>
      <x:c r="B988" s="15" t="d">
        <x:v>2026-01-12T00:00:00.000Z</x:v>
      </x:c>
      <x:c r="C988" s="14" t="d">
        <x:v>2026-01-01T00:00:00.000Z</x:v>
      </x:c>
      <x:c r="D988" s="34" t="str">
        <x:v>0008</x:v>
      </x:c>
      <x:c r="E988" s="7" t="str">
        <x:v>West</x:v>
      </x:c>
      <x:c r="F988" s="7" t="n">
        <x:v>6</x:v>
      </x:c>
      <x:c r="G988" s="7" t="n">
        <x:v>300</x:v>
      </x:c>
      <x:c r="H988" s="9" t="n">
        <x:v>0.05</x:v>
      </x:c>
      <x:c r="I988" s="7" t="n">
        <x:v>1710</x:v>
      </x:c>
    </x:row>
    <x:row r="989" ht="23" customHeight="1">
      <x:c r="A989" s="7" t="str">
        <x:v>INV00984</x:v>
      </x:c>
      <x:c r="B989" s="15" t="d">
        <x:v>2026-01-13T00:00:00.000Z</x:v>
      </x:c>
      <x:c r="C989" s="14" t="d">
        <x:v>2026-01-01T00:00:00.000Z</x:v>
      </x:c>
      <x:c r="D989" s="34" t="str">
        <x:v>0001</x:v>
      </x:c>
      <x:c r="E989" s="7" t="str">
        <x:v>North</x:v>
      </x:c>
      <x:c r="F989" s="7" t="n">
        <x:v>-1</x:v>
      </x:c>
      <x:c r="G989" s="7" t="n">
        <x:v>160</x:v>
      </x:c>
      <x:c r="H989" s="9" t="n">
        <x:v>0</x:v>
      </x:c>
      <x:c r="I989" s="7" t="n">
        <x:v>-160</x:v>
      </x:c>
    </x:row>
    <x:row r="990" ht="23" customHeight="1">
      <x:c r="A990" s="7" t="str">
        <x:v>INV00985</x:v>
      </x:c>
      <x:c r="B990" s="15" t="d">
        <x:v>2026-01-14T00:00:00.000Z</x:v>
      </x:c>
      <x:c r="C990" s="14" t="d">
        <x:v>2026-01-01T00:00:00.000Z</x:v>
      </x:c>
      <x:c r="D990" s="34" t="str">
        <x:v>0002</x:v>
      </x:c>
      <x:c r="E990" s="7" t="str">
        <x:v>North</x:v>
      </x:c>
      <x:c r="F990" s="7" t="n">
        <x:v>1</x:v>
      </x:c>
      <x:c r="G990" s="7" t="n">
        <x:v>180</x:v>
      </x:c>
      <x:c r="H990" s="9" t="n">
        <x:v>0.02</x:v>
      </x:c>
      <x:c r="I990" s="7" t="n">
        <x:v>176.4</x:v>
      </x:c>
    </x:row>
    <x:row r="991" ht="23" customHeight="1">
      <x:c r="A991" s="7" t="str">
        <x:v>INV00986</x:v>
      </x:c>
      <x:c r="B991" s="15" t="d">
        <x:v>2026-01-15T00:00:00.000Z</x:v>
      </x:c>
      <x:c r="C991" s="14" t="d">
        <x:v>2026-01-01T00:00:00.000Z</x:v>
      </x:c>
      <x:c r="D991" s="34" t="str">
        <x:v>0003</x:v>
      </x:c>
      <x:c r="E991" s="7" t="str">
        <x:v>North</x:v>
      </x:c>
      <x:c r="F991" s="7" t="n">
        <x:v>6</x:v>
      </x:c>
      <x:c r="G991" s="7" t="n">
        <x:v>200</x:v>
      </x:c>
      <x:c r="H991" s="9" t="n">
        <x:v>0.05</x:v>
      </x:c>
      <x:c r="I991" s="7" t="n">
        <x:v>1140</x:v>
      </x:c>
    </x:row>
    <x:row r="992" ht="23" customHeight="1">
      <x:c r="A992" s="7" t="str">
        <x:v>INV00987</x:v>
      </x:c>
      <x:c r="B992" s="15" t="d">
        <x:v>2026-01-16T00:00:00.000Z</x:v>
      </x:c>
      <x:c r="C992" s="14" t="d">
        <x:v>2026-01-01T00:00:00.000Z</x:v>
      </x:c>
      <x:c r="D992" s="34" t="str">
        <x:v>0004</x:v>
      </x:c>
      <x:c r="E992" s="7" t="str">
        <x:v>North</x:v>
      </x:c>
      <x:c r="F992" s="7" t="n">
        <x:v>7</x:v>
      </x:c>
      <x:c r="G992" s="7" t="n">
        <x:v>220</x:v>
      </x:c>
      <x:c r="H992" s="9" t="n">
        <x:v>0</x:v>
      </x:c>
      <x:c r="I992" s="7" t="n">
        <x:v>1540</x:v>
      </x:c>
    </x:row>
    <x:row r="993" ht="23" customHeight="1">
      <x:c r="A993" s="7" t="str">
        <x:v>INV00988</x:v>
      </x:c>
      <x:c r="B993" s="15" t="d">
        <x:v>2026-01-17T00:00:00.000Z</x:v>
      </x:c>
      <x:c r="C993" s="14" t="d">
        <x:v>2026-01-01T00:00:00.000Z</x:v>
      </x:c>
      <x:c r="D993" s="34" t="str">
        <x:v>0005</x:v>
      </x:c>
      <x:c r="E993" s="7" t="str">
        <x:v>North</x:v>
      </x:c>
      <x:c r="F993" s="7" t="n">
        <x:v>2</x:v>
      </x:c>
      <x:c r="G993" s="7" t="n">
        <x:v>240</x:v>
      </x:c>
      <x:c r="H993" s="9" t="n">
        <x:v>0.02</x:v>
      </x:c>
      <x:c r="I993" s="7" t="n">
        <x:v>470.4</x:v>
      </x:c>
    </x:row>
    <x:row r="994" ht="23" customHeight="1">
      <x:c r="A994" s="7" t="str">
        <x:v>INV00989</x:v>
      </x:c>
      <x:c r="B994" s="15" t="d">
        <x:v>2026-01-18T00:00:00.000Z</x:v>
      </x:c>
      <x:c r="C994" s="14" t="d">
        <x:v>2026-01-01T00:00:00.000Z</x:v>
      </x:c>
      <x:c r="D994" s="34" t="str">
        <x:v>0006</x:v>
      </x:c>
      <x:c r="E994" s="7" t="str">
        <x:v>North</x:v>
      </x:c>
      <x:c r="F994" s="7" t="n">
        <x:v>6</x:v>
      </x:c>
      <x:c r="G994" s="7" t="n">
        <x:v>260</x:v>
      </x:c>
      <x:c r="H994" s="9" t="n">
        <x:v>0.05</x:v>
      </x:c>
      <x:c r="I994" s="7" t="n">
        <x:v>1482</x:v>
      </x:c>
    </x:row>
    <x:row r="995" ht="23" customHeight="1">
      <x:c r="A995" s="7" t="str">
        <x:v>INV00990</x:v>
      </x:c>
      <x:c r="B995" s="15" t="d">
        <x:v>2026-01-19T00:00:00.000Z</x:v>
      </x:c>
      <x:c r="C995" s="14" t="d">
        <x:v>2026-01-01T00:00:00.000Z</x:v>
      </x:c>
      <x:c r="D995" s="34" t="str">
        <x:v>0007</x:v>
      </x:c>
      <x:c r="E995" s="7" t="str">
        <x:v>North</x:v>
      </x:c>
      <x:c r="F995" s="7" t="n">
        <x:v>4</x:v>
      </x:c>
      <x:c r="G995" s="7" t="n">
        <x:v>280</x:v>
      </x:c>
      <x:c r="H995" s="9" t="n">
        <x:v>0</x:v>
      </x:c>
      <x:c r="I995" s="7" t="n">
        <x:v>1120</x:v>
      </x:c>
    </x:row>
    <x:row r="996" ht="23" customHeight="1">
      <x:c r="A996" s="7" t="str">
        <x:v>INV00991</x:v>
      </x:c>
      <x:c r="B996" s="15" t="d">
        <x:v>2026-01-20T00:00:00.000Z</x:v>
      </x:c>
      <x:c r="C996" s="14" t="d">
        <x:v>2026-01-01T00:00:00.000Z</x:v>
      </x:c>
      <x:c r="D996" s="34" t="str">
        <x:v>0008</x:v>
      </x:c>
      <x:c r="E996" s="7" t="str">
        <x:v>North</x:v>
      </x:c>
      <x:c r="F996" s="7" t="n">
        <x:v>6</x:v>
      </x:c>
      <x:c r="G996" s="7" t="n">
        <x:v>300</x:v>
      </x:c>
      <x:c r="H996" s="9" t="n">
        <x:v>0.02</x:v>
      </x:c>
      <x:c r="I996" s="7" t="n">
        <x:v>1764</x:v>
      </x:c>
    </x:row>
    <x:row r="997" ht="23" customHeight="1">
      <x:c r="A997" s="7" t="str">
        <x:v>INV00992</x:v>
      </x:c>
      <x:c r="B997" s="15" t="d">
        <x:v>2026-02-21T00:00:00.000Z</x:v>
      </x:c>
      <x:c r="C997" s="14" t="d">
        <x:v>2026-02-01T00:00:00.000Z</x:v>
      </x:c>
      <x:c r="D997" s="34" t="str">
        <x:v>0001</x:v>
      </x:c>
      <x:c r="E997" s="7" t="str">
        <x:v>Central</x:v>
      </x:c>
      <x:c r="F997" s="7" t="n">
        <x:v>2</x:v>
      </x:c>
      <x:c r="G997" s="7" t="n">
        <x:v>160</x:v>
      </x:c>
      <x:c r="H997" s="9" t="n">
        <x:v>0.05</x:v>
      </x:c>
      <x:c r="I997" s="7" t="n">
        <x:v>304</x:v>
      </x:c>
    </x:row>
    <x:row r="998" ht="23" customHeight="1">
      <x:c r="A998" s="7" t="str">
        <x:v>INV00993</x:v>
      </x:c>
      <x:c r="B998" s="15" t="d">
        <x:v>2026-02-22T00:00:00.000Z</x:v>
      </x:c>
      <x:c r="C998" s="14" t="d">
        <x:v>2026-02-01T00:00:00.000Z</x:v>
      </x:c>
      <x:c r="D998" s="34" t="str">
        <x:v>0002</x:v>
      </x:c>
      <x:c r="E998" s="7" t="str">
        <x:v>Central</x:v>
      </x:c>
      <x:c r="F998" s="7" t="n">
        <x:v>7</x:v>
      </x:c>
      <x:c r="G998" s="7" t="n">
        <x:v>180</x:v>
      </x:c>
      <x:c r="H998" s="9" t="n">
        <x:v>0</x:v>
      </x:c>
      <x:c r="I998" s="7" t="n">
        <x:v>1260</x:v>
      </x:c>
    </x:row>
    <x:row r="999" ht="23" customHeight="1">
      <x:c r="A999" s="7" t="str">
        <x:v>INV00994</x:v>
      </x:c>
      <x:c r="B999" s="15" t="d">
        <x:v>2026-02-23T00:00:00.000Z</x:v>
      </x:c>
      <x:c r="C999" s="14" t="d">
        <x:v>2026-02-01T00:00:00.000Z</x:v>
      </x:c>
      <x:c r="D999" s="34" t="str">
        <x:v>0003</x:v>
      </x:c>
      <x:c r="E999" s="7" t="str">
        <x:v>Central</x:v>
      </x:c>
      <x:c r="F999" s="7" t="n">
        <x:v>3</x:v>
      </x:c>
      <x:c r="G999" s="7" t="n">
        <x:v>200</x:v>
      </x:c>
      <x:c r="H999" s="9" t="n">
        <x:v>0.02</x:v>
      </x:c>
      <x:c r="I999" s="7" t="n">
        <x:v>588</x:v>
      </x:c>
    </x:row>
    <x:row r="1000" ht="23" customHeight="1">
      <x:c r="A1000" s="7" t="str">
        <x:v>INV00995</x:v>
      </x:c>
      <x:c r="B1000" s="15" t="d">
        <x:v>2026-02-24T00:00:00.000Z</x:v>
      </x:c>
      <x:c r="C1000" s="14" t="d">
        <x:v>2026-02-01T00:00:00.000Z</x:v>
      </x:c>
      <x:c r="D1000" s="34" t="str">
        <x:v>0004</x:v>
      </x:c>
      <x:c r="E1000" s="7" t="str">
        <x:v>Central</x:v>
      </x:c>
      <x:c r="F1000" s="7" t="n">
        <x:v>5</x:v>
      </x:c>
      <x:c r="G1000" s="7" t="n">
        <x:v>220</x:v>
      </x:c>
      <x:c r="H1000" s="9" t="n">
        <x:v>0.05</x:v>
      </x:c>
      <x:c r="I1000" s="7" t="n">
        <x:v>1045</x:v>
      </x:c>
    </x:row>
    <x:row r="1001" ht="23" customHeight="1">
      <x:c r="A1001" s="7" t="str">
        <x:v>INV00996</x:v>
      </x:c>
      <x:c r="B1001" s="15" t="d">
        <x:v>2026-02-25T00:00:00.000Z</x:v>
      </x:c>
      <x:c r="C1001" s="14" t="d">
        <x:v>2026-02-01T00:00:00.000Z</x:v>
      </x:c>
      <x:c r="D1001" s="34" t="str">
        <x:v>0005</x:v>
      </x:c>
      <x:c r="E1001" s="7" t="str">
        <x:v>Central</x:v>
      </x:c>
      <x:c r="F1001" s="7" t="n">
        <x:v>6</x:v>
      </x:c>
      <x:c r="G1001" s="7" t="n">
        <x:v>240</x:v>
      </x:c>
      <x:c r="H1001" s="9" t="n">
        <x:v>0</x:v>
      </x:c>
      <x:c r="I1001" s="7" t="n">
        <x:v>1440</x:v>
      </x:c>
    </x:row>
    <x:row r="1002" ht="23" customHeight="1">
      <x:c r="A1002" s="7" t="str">
        <x:v>INV00997</x:v>
      </x:c>
      <x:c r="B1002" s="15" t="d">
        <x:v>2026-02-26T00:00:00.000Z</x:v>
      </x:c>
      <x:c r="C1002" s="14" t="d">
        <x:v>2026-02-01T00:00:00.000Z</x:v>
      </x:c>
      <x:c r="D1002" s="34" t="str">
        <x:v>0006</x:v>
      </x:c>
      <x:c r="E1002" s="7" t="str">
        <x:v>Central</x:v>
      </x:c>
      <x:c r="F1002" s="7" t="n">
        <x:v>3</x:v>
      </x:c>
      <x:c r="G1002" s="7" t="n">
        <x:v>260</x:v>
      </x:c>
      <x:c r="H1002" s="9" t="n">
        <x:v>0.02</x:v>
      </x:c>
      <x:c r="I1002" s="7" t="n">
        <x:v>764.4</x:v>
      </x:c>
    </x:row>
    <x:row r="1003" ht="23" customHeight="1">
      <x:c r="A1003" s="7" t="str">
        <x:v>INV00998</x:v>
      </x:c>
      <x:c r="B1003" s="15" t="d">
        <x:v>2026-02-27T00:00:00.000Z</x:v>
      </x:c>
      <x:c r="C1003" s="14" t="d">
        <x:v>2026-02-01T00:00:00.000Z</x:v>
      </x:c>
      <x:c r="D1003" s="34" t="str">
        <x:v>0007</x:v>
      </x:c>
      <x:c r="E1003" s="7" t="str">
        <x:v>Central</x:v>
      </x:c>
      <x:c r="F1003" s="7" t="n">
        <x:v>7</x:v>
      </x:c>
      <x:c r="G1003" s="7" t="n">
        <x:v>280</x:v>
      </x:c>
      <x:c r="H1003" s="9" t="n">
        <x:v>0.05</x:v>
      </x:c>
      <x:c r="I1003" s="7" t="n">
        <x:v>1862</x:v>
      </x:c>
    </x:row>
    <x:row r="1004" ht="23" customHeight="1">
      <x:c r="A1004" s="7" t="str">
        <x:v>INV00999</x:v>
      </x:c>
      <x:c r="B1004" s="15" t="d">
        <x:v>2026-02-01T00:00:00.000Z</x:v>
      </x:c>
      <x:c r="C1004" s="14" t="d">
        <x:v>2026-02-01T00:00:00.000Z</x:v>
      </x:c>
      <x:c r="D1004" s="34" t="str">
        <x:v>0008</x:v>
      </x:c>
      <x:c r="E1004" s="7" t="str">
        <x:v>Central</x:v>
      </x:c>
      <x:c r="F1004" s="7" t="n">
        <x:v>4</x:v>
      </x:c>
      <x:c r="G1004" s="7" t="n">
        <x:v>300</x:v>
      </x:c>
      <x:c r="H1004" s="9" t="n">
        <x:v>0</x:v>
      </x:c>
      <x:c r="I1004" s="7" t="n">
        <x:v>1200</x:v>
      </x:c>
    </x:row>
    <x:row r="1005" ht="23" customHeight="1">
      <x:c r="A1005" s="7" t="str">
        <x:v>INV01000</x:v>
      </x:c>
      <x:c r="B1005" s="15" t="d">
        <x:v>2026-02-02T00:00:00.000Z</x:v>
      </x:c>
      <x:c r="C1005" s="14" t="d">
        <x:v>2026-02-01T00:00:00.000Z</x:v>
      </x:c>
      <x:c r="D1005" s="34" t="str">
        <x:v>0001</x:v>
      </x:c>
      <x:c r="E1005" s="7" t="str">
        <x:v>East</x:v>
      </x:c>
      <x:c r="F1005" s="7" t="n">
        <x:v>4</x:v>
      </x:c>
      <x:c r="G1005" s="7" t="n">
        <x:v>160</x:v>
      </x:c>
      <x:c r="H1005" s="9" t="n">
        <x:v>0.02</x:v>
      </x:c>
      <x:c r="I1005" s="7" t="n">
        <x:v>627.2</x:v>
      </x:c>
    </x:row>
    <x:row r="1006" ht="23" customHeight="1">
      <x:c r="A1006" s="7" t="str">
        <x:v>INV01001</x:v>
      </x:c>
      <x:c r="B1006" s="15" t="d">
        <x:v>2026-02-03T00:00:00.000Z</x:v>
      </x:c>
      <x:c r="C1006" s="14" t="d">
        <x:v>2026-02-01T00:00:00.000Z</x:v>
      </x:c>
      <x:c r="D1006" s="34" t="str">
        <x:v>0002</x:v>
      </x:c>
      <x:c r="E1006" s="7" t="str">
        <x:v>East</x:v>
      </x:c>
      <x:c r="F1006" s="7" t="n">
        <x:v>3</x:v>
      </x:c>
      <x:c r="G1006" s="7" t="n">
        <x:v>180</x:v>
      </x:c>
      <x:c r="H1006" s="9" t="n">
        <x:v>0.05</x:v>
      </x:c>
      <x:c r="I1006" s="7" t="n">
        <x:v>513</x:v>
      </x:c>
    </x:row>
    <x:row r="1007" ht="23" customHeight="1">
      <x:c r="A1007" s="7" t="str">
        <x:v>INV01002</x:v>
      </x:c>
      <x:c r="B1007" s="15" t="d">
        <x:v>2026-02-04T00:00:00.000Z</x:v>
      </x:c>
      <x:c r="C1007" s="14" t="d">
        <x:v>2026-02-01T00:00:00.000Z</x:v>
      </x:c>
      <x:c r="D1007" s="34" t="str">
        <x:v>0003</x:v>
      </x:c>
      <x:c r="E1007" s="7" t="str">
        <x:v>East</x:v>
      </x:c>
      <x:c r="F1007" s="7" t="n">
        <x:v>2</x:v>
      </x:c>
      <x:c r="G1007" s="7" t="n">
        <x:v>200</x:v>
      </x:c>
      <x:c r="H1007" s="9" t="n">
        <x:v>0</x:v>
      </x:c>
      <x:c r="I1007" s="7" t="n">
        <x:v>400</x:v>
      </x:c>
    </x:row>
    <x:row r="1008" ht="23" customHeight="1">
      <x:c r="A1008" s="7" t="str">
        <x:v>INV01003</x:v>
      </x:c>
      <x:c r="B1008" s="15" t="d">
        <x:v>2026-02-05T00:00:00.000Z</x:v>
      </x:c>
      <x:c r="C1008" s="14" t="d">
        <x:v>2026-02-01T00:00:00.000Z</x:v>
      </x:c>
      <x:c r="D1008" s="34" t="str">
        <x:v>0004</x:v>
      </x:c>
      <x:c r="E1008" s="7" t="str">
        <x:v>East</x:v>
      </x:c>
      <x:c r="F1008" s="7" t="n">
        <x:v>2</x:v>
      </x:c>
      <x:c r="G1008" s="7" t="n">
        <x:v>220</x:v>
      </x:c>
      <x:c r="H1008" s="9" t="n">
        <x:v>0.02</x:v>
      </x:c>
      <x:c r="I1008" s="7" t="n">
        <x:v>431.2</x:v>
      </x:c>
    </x:row>
    <x:row r="1009" ht="23" customHeight="1">
      <x:c r="A1009" s="7" t="str">
        <x:v>INV01004</x:v>
      </x:c>
      <x:c r="B1009" s="15" t="d">
        <x:v>2026-02-06T00:00:00.000Z</x:v>
      </x:c>
      <x:c r="C1009" s="14" t="d">
        <x:v>2026-02-01T00:00:00.000Z</x:v>
      </x:c>
      <x:c r="D1009" s="34" t="str">
        <x:v>0005</x:v>
      </x:c>
      <x:c r="E1009" s="7" t="str">
        <x:v>East</x:v>
      </x:c>
      <x:c r="F1009" s="7" t="n">
        <x:v>5</x:v>
      </x:c>
      <x:c r="G1009" s="7" t="n">
        <x:v>240</x:v>
      </x:c>
      <x:c r="H1009" s="9" t="n">
        <x:v>0.05</x:v>
      </x:c>
      <x:c r="I1009" s="7" t="n">
        <x:v>1140</x:v>
      </x:c>
    </x:row>
    <x:row r="1010" ht="23" customHeight="1">
      <x:c r="A1010" s="7" t="str">
        <x:v>INV01005</x:v>
      </x:c>
      <x:c r="B1010" s="15" t="d">
        <x:v>2026-02-07T00:00:00.000Z</x:v>
      </x:c>
      <x:c r="C1010" s="14" t="d">
        <x:v>2026-02-01T00:00:00.000Z</x:v>
      </x:c>
      <x:c r="D1010" s="34" t="str">
        <x:v>0006</x:v>
      </x:c>
      <x:c r="E1010" s="7" t="str">
        <x:v>East</x:v>
      </x:c>
      <x:c r="F1010" s="7" t="n">
        <x:v>2</x:v>
      </x:c>
      <x:c r="G1010" s="7" t="n">
        <x:v>260</x:v>
      </x:c>
      <x:c r="H1010" s="9" t="n">
        <x:v>0</x:v>
      </x:c>
      <x:c r="I1010" s="7" t="n">
        <x:v>520</x:v>
      </x:c>
    </x:row>
    <x:row r="1011" ht="23" customHeight="1">
      <x:c r="A1011" s="7" t="str">
        <x:v>INV01006</x:v>
      </x:c>
      <x:c r="B1011" s="15" t="d">
        <x:v>2026-02-08T00:00:00.000Z</x:v>
      </x:c>
      <x:c r="C1011" s="14" t="d">
        <x:v>2026-02-01T00:00:00.000Z</x:v>
      </x:c>
      <x:c r="D1011" s="34" t="str">
        <x:v>0007</x:v>
      </x:c>
      <x:c r="E1011" s="7" t="str">
        <x:v>East</x:v>
      </x:c>
      <x:c r="F1011" s="7" t="n">
        <x:v>7</x:v>
      </x:c>
      <x:c r="G1011" s="7" t="n">
        <x:v>280</x:v>
      </x:c>
      <x:c r="H1011" s="9" t="n">
        <x:v>0.02</x:v>
      </x:c>
      <x:c r="I1011" s="7" t="n">
        <x:v>1920.8</x:v>
      </x:c>
    </x:row>
    <x:row r="1012" ht="23" customHeight="1">
      <x:c r="A1012" s="7" t="str">
        <x:v>INV01007</x:v>
      </x:c>
      <x:c r="B1012" s="15" t="d">
        <x:v>2026-02-09T00:00:00.000Z</x:v>
      </x:c>
      <x:c r="C1012" s="14" t="d">
        <x:v>2026-02-01T00:00:00.000Z</x:v>
      </x:c>
      <x:c r="D1012" s="34" t="str">
        <x:v>0008</x:v>
      </x:c>
      <x:c r="E1012" s="7" t="str">
        <x:v>East</x:v>
      </x:c>
      <x:c r="F1012" s="7" t="n">
        <x:v>4</x:v>
      </x:c>
      <x:c r="G1012" s="7" t="n">
        <x:v>300</x:v>
      </x:c>
      <x:c r="H1012" s="9" t="n">
        <x:v>0.05</x:v>
      </x:c>
      <x:c r="I1012" s="7" t="n">
        <x:v>1140</x:v>
      </x:c>
    </x:row>
    <x:row r="1013" ht="23" customHeight="1">
      <x:c r="A1013" s="7" t="str">
        <x:v>INV01008</x:v>
      </x:c>
      <x:c r="B1013" s="15" t="d">
        <x:v>2026-02-10T00:00:00.000Z</x:v>
      </x:c>
      <x:c r="C1013" s="14" t="d">
        <x:v>2026-02-01T00:00:00.000Z</x:v>
      </x:c>
      <x:c r="D1013" s="34" t="str">
        <x:v>0001</x:v>
      </x:c>
      <x:c r="E1013" s="7" t="str">
        <x:v>West</x:v>
      </x:c>
      <x:c r="F1013" s="7" t="n">
        <x:v>2</x:v>
      </x:c>
      <x:c r="G1013" s="7" t="n">
        <x:v>160</x:v>
      </x:c>
      <x:c r="H1013" s="9" t="n">
        <x:v>0</x:v>
      </x:c>
      <x:c r="I1013" s="7" t="n">
        <x:v>320</x:v>
      </x:c>
    </x:row>
    <x:row r="1014" ht="23" customHeight="1">
      <x:c r="A1014" s="7" t="str">
        <x:v>INV01009</x:v>
      </x:c>
      <x:c r="B1014" s="15" t="d">
        <x:v>2026-02-11T00:00:00.000Z</x:v>
      </x:c>
      <x:c r="C1014" s="14" t="d">
        <x:v>2026-02-01T00:00:00.000Z</x:v>
      </x:c>
      <x:c r="D1014" s="34" t="str">
        <x:v>0002</x:v>
      </x:c>
      <x:c r="E1014" s="7" t="str">
        <x:v>West</x:v>
      </x:c>
      <x:c r="F1014" s="7" t="n">
        <x:v>1</x:v>
      </x:c>
      <x:c r="G1014" s="7" t="n">
        <x:v>180</x:v>
      </x:c>
      <x:c r="H1014" s="9" t="n">
        <x:v>0.02</x:v>
      </x:c>
      <x:c r="I1014" s="7" t="n">
        <x:v>176.4</x:v>
      </x:c>
    </x:row>
    <x:row r="1015" ht="23" customHeight="1">
      <x:c r="A1015" s="7" t="str">
        <x:v>INV01010</x:v>
      </x:c>
      <x:c r="B1015" s="15" t="d">
        <x:v>2026-02-12T00:00:00.000Z</x:v>
      </x:c>
      <x:c r="C1015" s="14" t="d">
        <x:v>2026-02-01T00:00:00.000Z</x:v>
      </x:c>
      <x:c r="D1015" s="34" t="str">
        <x:v>0003</x:v>
      </x:c>
      <x:c r="E1015" s="7" t="str">
        <x:v>West</x:v>
      </x:c>
      <x:c r="F1015" s="7" t="n">
        <x:v>5</x:v>
      </x:c>
      <x:c r="G1015" s="7" t="n">
        <x:v>200</x:v>
      </x:c>
      <x:c r="H1015" s="9" t="n">
        <x:v>0.05</x:v>
      </x:c>
      <x:c r="I1015" s="7" t="n">
        <x:v>950</x:v>
      </x:c>
    </x:row>
    <x:row r="1016" ht="23" customHeight="1">
      <x:c r="A1016" s="7" t="str">
        <x:v>INV01011</x:v>
      </x:c>
      <x:c r="B1016" s="15" t="d">
        <x:v>2026-02-13T00:00:00.000Z</x:v>
      </x:c>
      <x:c r="C1016" s="14" t="d">
        <x:v>2026-02-01T00:00:00.000Z</x:v>
      </x:c>
      <x:c r="D1016" s="34" t="str">
        <x:v>0004</x:v>
      </x:c>
      <x:c r="E1016" s="7" t="str">
        <x:v>West</x:v>
      </x:c>
      <x:c r="F1016" s="7" t="n">
        <x:v>7</x:v>
      </x:c>
      <x:c r="G1016" s="7" t="n">
        <x:v>220</x:v>
      </x:c>
      <x:c r="H1016" s="9" t="n">
        <x:v>0</x:v>
      </x:c>
      <x:c r="I1016" s="7" t="n">
        <x:v>1540</x:v>
      </x:c>
    </x:row>
    <x:row r="1017" ht="23" customHeight="1">
      <x:c r="A1017" s="7" t="str">
        <x:v>INV01012</x:v>
      </x:c>
      <x:c r="B1017" s="15" t="d">
        <x:v>2026-02-14T00:00:00.000Z</x:v>
      </x:c>
      <x:c r="C1017" s="14" t="d">
        <x:v>2026-02-01T00:00:00.000Z</x:v>
      </x:c>
      <x:c r="D1017" s="34" t="str">
        <x:v>0005</x:v>
      </x:c>
      <x:c r="E1017" s="7" t="str">
        <x:v>West</x:v>
      </x:c>
      <x:c r="F1017" s="7" t="n">
        <x:v>2</x:v>
      </x:c>
      <x:c r="G1017" s="7" t="n">
        <x:v>240</x:v>
      </x:c>
      <x:c r="H1017" s="9" t="n">
        <x:v>0.02</x:v>
      </x:c>
      <x:c r="I1017" s="7" t="n">
        <x:v>470.4</x:v>
      </x:c>
    </x:row>
    <x:row r="1018" ht="23" customHeight="1">
      <x:c r="A1018" s="7" t="str">
        <x:v>INV01013</x:v>
      </x:c>
      <x:c r="B1018" s="15" t="d">
        <x:v>2026-02-15T00:00:00.000Z</x:v>
      </x:c>
      <x:c r="C1018" s="14" t="d">
        <x:v>2026-02-01T00:00:00.000Z</x:v>
      </x:c>
      <x:c r="D1018" s="34" t="str">
        <x:v>0006</x:v>
      </x:c>
      <x:c r="E1018" s="7" t="str">
        <x:v>West</x:v>
      </x:c>
      <x:c r="F1018" s="7" t="n">
        <x:v>1</x:v>
      </x:c>
      <x:c r="G1018" s="7" t="n">
        <x:v>260</x:v>
      </x:c>
      <x:c r="H1018" s="9" t="n">
        <x:v>0.05</x:v>
      </x:c>
      <x:c r="I1018" s="7" t="n">
        <x:v>247</x:v>
      </x:c>
    </x:row>
    <x:row r="1019" ht="23" customHeight="1">
      <x:c r="A1019" s="7" t="str">
        <x:v>INV01014</x:v>
      </x:c>
      <x:c r="B1019" s="15" t="d">
        <x:v>2026-02-16T00:00:00.000Z</x:v>
      </x:c>
      <x:c r="C1019" s="14" t="d">
        <x:v>2026-02-01T00:00:00.000Z</x:v>
      </x:c>
      <x:c r="D1019" s="34" t="str">
        <x:v>0007</x:v>
      </x:c>
      <x:c r="E1019" s="7" t="str">
        <x:v>West</x:v>
      </x:c>
      <x:c r="F1019" s="7" t="n">
        <x:v>4</x:v>
      </x:c>
      <x:c r="G1019" s="7" t="n">
        <x:v>280</x:v>
      </x:c>
      <x:c r="H1019" s="9" t="n">
        <x:v>0</x:v>
      </x:c>
      <x:c r="I1019" s="7" t="n">
        <x:v>1120</x:v>
      </x:c>
    </x:row>
    <x:row r="1020" ht="23" customHeight="1">
      <x:c r="A1020" s="7" t="str">
        <x:v>INV01015</x:v>
      </x:c>
      <x:c r="B1020" s="15" t="d">
        <x:v>2026-02-17T00:00:00.000Z</x:v>
      </x:c>
      <x:c r="C1020" s="14" t="d">
        <x:v>2026-02-01T00:00:00.000Z</x:v>
      </x:c>
      <x:c r="D1020" s="34" t="str">
        <x:v>0008</x:v>
      </x:c>
      <x:c r="E1020" s="7" t="str">
        <x:v>West</x:v>
      </x:c>
      <x:c r="F1020" s="7" t="n">
        <x:v>2</x:v>
      </x:c>
      <x:c r="G1020" s="7" t="n">
        <x:v>300</x:v>
      </x:c>
      <x:c r="H1020" s="9" t="n">
        <x:v>0.02</x:v>
      </x:c>
      <x:c r="I1020" s="7" t="n">
        <x:v>588</x:v>
      </x:c>
    </x:row>
    <x:row r="1021" ht="23" customHeight="1">
      <x:c r="A1021" s="7" t="str">
        <x:v>INV01016</x:v>
      </x:c>
      <x:c r="B1021" s="15" t="d">
        <x:v>2026-02-18T00:00:00.000Z</x:v>
      </x:c>
      <x:c r="C1021" s="14" t="d">
        <x:v>2026-02-01T00:00:00.000Z</x:v>
      </x:c>
      <x:c r="D1021" s="34" t="str">
        <x:v>0001</x:v>
      </x:c>
      <x:c r="E1021" s="7" t="str">
        <x:v>North</x:v>
      </x:c>
      <x:c r="F1021" s="7" t="n">
        <x:v>2</x:v>
      </x:c>
      <x:c r="G1021" s="7" t="n">
        <x:v>160</x:v>
      </x:c>
      <x:c r="H1021" s="9" t="n">
        <x:v>0.05</x:v>
      </x:c>
      <x:c r="I1021" s="7" t="n">
        <x:v>304</x:v>
      </x:c>
    </x:row>
    <x:row r="1022" ht="23" customHeight="1">
      <x:c r="A1022" s="7" t="str">
        <x:v>INV01017</x:v>
      </x:c>
      <x:c r="B1022" s="15" t="d">
        <x:v>2026-02-19T00:00:00.000Z</x:v>
      </x:c>
      <x:c r="C1022" s="14" t="d">
        <x:v>2026-02-01T00:00:00.000Z</x:v>
      </x:c>
      <x:c r="D1022" s="34" t="str">
        <x:v>0002</x:v>
      </x:c>
      <x:c r="E1022" s="7" t="str">
        <x:v>North</x:v>
      </x:c>
      <x:c r="F1022" s="7" t="n">
        <x:v>2</x:v>
      </x:c>
      <x:c r="G1022" s="7" t="n">
        <x:v>180</x:v>
      </x:c>
      <x:c r="H1022" s="9" t="n">
        <x:v>0</x:v>
      </x:c>
      <x:c r="I1022" s="7" t="n">
        <x:v>360</x:v>
      </x:c>
    </x:row>
    <x:row r="1023" ht="23" customHeight="1">
      <x:c r="A1023" s="7" t="str">
        <x:v>INV01018</x:v>
      </x:c>
      <x:c r="B1023" s="15" t="d">
        <x:v>2026-02-20T00:00:00.000Z</x:v>
      </x:c>
      <x:c r="C1023" s="14" t="d">
        <x:v>2026-02-01T00:00:00.000Z</x:v>
      </x:c>
      <x:c r="D1023" s="34" t="str">
        <x:v>0003</x:v>
      </x:c>
      <x:c r="E1023" s="7" t="str">
        <x:v>North</x:v>
      </x:c>
      <x:c r="F1023" s="7" t="n">
        <x:v>5</x:v>
      </x:c>
      <x:c r="G1023" s="7" t="n">
        <x:v>200</x:v>
      </x:c>
      <x:c r="H1023" s="9" t="n">
        <x:v>0.02</x:v>
      </x:c>
      <x:c r="I1023" s="7" t="n">
        <x:v>980</x:v>
      </x:c>
    </x:row>
    <x:row r="1024" ht="23" customHeight="1">
      <x:c r="A1024" s="7" t="str">
        <x:v>INV01019</x:v>
      </x:c>
      <x:c r="B1024" s="15" t="d">
        <x:v>2026-02-21T00:00:00.000Z</x:v>
      </x:c>
      <x:c r="C1024" s="14" t="d">
        <x:v>2026-02-01T00:00:00.000Z</x:v>
      </x:c>
      <x:c r="D1024" s="34" t="str">
        <x:v>0004</x:v>
      </x:c>
      <x:c r="E1024" s="7" t="str">
        <x:v>North</x:v>
      </x:c>
      <x:c r="F1024" s="7" t="n">
        <x:v>7</x:v>
      </x:c>
      <x:c r="G1024" s="7" t="n">
        <x:v>220</x:v>
      </x:c>
      <x:c r="H1024" s="9" t="n">
        <x:v>0.05</x:v>
      </x:c>
      <x:c r="I1024" s="7" t="n">
        <x:v>1463</x:v>
      </x:c>
    </x:row>
    <x:row r="1025" ht="23" customHeight="1">
      <x:c r="A1025" s="7" t="str">
        <x:v>INV01020</x:v>
      </x:c>
      <x:c r="B1025" s="15" t="d">
        <x:v>2026-02-22T00:00:00.000Z</x:v>
      </x:c>
      <x:c r="C1025" s="14" t="d">
        <x:v>2026-02-01T00:00:00.000Z</x:v>
      </x:c>
      <x:c r="D1025" s="34" t="str">
        <x:v>0005</x:v>
      </x:c>
      <x:c r="E1025" s="7" t="str">
        <x:v>North</x:v>
      </x:c>
      <x:c r="F1025" s="7" t="n">
        <x:v>5</x:v>
      </x:c>
      <x:c r="G1025" s="7" t="n">
        <x:v>240</x:v>
      </x:c>
      <x:c r="H1025" s="9" t="n">
        <x:v>0</x:v>
      </x:c>
      <x:c r="I1025" s="7" t="n">
        <x:v>1200</x:v>
      </x:c>
    </x:row>
    <x:row r="1026" ht="23" customHeight="1">
      <x:c r="A1026" s="7" t="str">
        <x:v>INV01021</x:v>
      </x:c>
      <x:c r="B1026" s="15" t="d">
        <x:v>2026-02-23T00:00:00.000Z</x:v>
      </x:c>
      <x:c r="C1026" s="14" t="d">
        <x:v>2026-02-01T00:00:00.000Z</x:v>
      </x:c>
      <x:c r="D1026" s="34" t="str">
        <x:v>0006</x:v>
      </x:c>
      <x:c r="E1026" s="7" t="str">
        <x:v>North</x:v>
      </x:c>
      <x:c r="F1026" s="7" t="n">
        <x:v>6</x:v>
      </x:c>
      <x:c r="G1026" s="7" t="n">
        <x:v>260</x:v>
      </x:c>
      <x:c r="H1026" s="9" t="n">
        <x:v>0.02</x:v>
      </x:c>
      <x:c r="I1026" s="7" t="n">
        <x:v>1528.8</x:v>
      </x:c>
    </x:row>
    <x:row r="1027" ht="23" customHeight="1">
      <x:c r="A1027" s="7" t="str">
        <x:v>INV01022</x:v>
      </x:c>
      <x:c r="B1027" s="15" t="d">
        <x:v>2026-02-24T00:00:00.000Z</x:v>
      </x:c>
      <x:c r="C1027" s="14" t="d">
        <x:v>2026-02-01T00:00:00.000Z</x:v>
      </x:c>
      <x:c r="D1027" s="34" t="str">
        <x:v>0007</x:v>
      </x:c>
      <x:c r="E1027" s="7" t="str">
        <x:v>North</x:v>
      </x:c>
      <x:c r="F1027" s="7" t="n">
        <x:v>2</x:v>
      </x:c>
      <x:c r="G1027" s="7" t="n">
        <x:v>280</x:v>
      </x:c>
      <x:c r="H1027" s="9" t="n">
        <x:v>0.05</x:v>
      </x:c>
      <x:c r="I1027" s="7" t="n">
        <x:v>532</x:v>
      </x:c>
    </x:row>
    <x:row r="1028" ht="23" customHeight="1">
      <x:c r="A1028" s="7" t="str">
        <x:v>INV01023</x:v>
      </x:c>
      <x:c r="B1028" s="15" t="d">
        <x:v>2026-02-25T00:00:00.000Z</x:v>
      </x:c>
      <x:c r="C1028" s="14" t="d">
        <x:v>2026-02-01T00:00:00.000Z</x:v>
      </x:c>
      <x:c r="D1028" s="34" t="str">
        <x:v>0008</x:v>
      </x:c>
      <x:c r="E1028" s="7" t="str">
        <x:v>North</x:v>
      </x:c>
      <x:c r="F1028" s="7" t="n">
        <x:v>1</x:v>
      </x:c>
      <x:c r="G1028" s="7" t="n">
        <x:v>300</x:v>
      </x:c>
      <x:c r="H1028" s="9" t="n">
        <x:v>0</x:v>
      </x:c>
      <x:c r="I1028" s="7" t="n">
        <x:v>300</x:v>
      </x:c>
    </x:row>
    <x:row r="1029" ht="23" customHeight="1">
      <x:c r="A1029" s="7" t="str">
        <x:v>INV01024</x:v>
      </x:c>
      <x:c r="B1029" s="15" t="d">
        <x:v>2026-03-26T00:00:00.000Z</x:v>
      </x:c>
      <x:c r="C1029" s="14" t="d">
        <x:v>2026-03-01T00:00:00.000Z</x:v>
      </x:c>
      <x:c r="D1029" s="34" t="str">
        <x:v>0001</x:v>
      </x:c>
      <x:c r="E1029" s="7" t="str">
        <x:v>Central</x:v>
      </x:c>
      <x:c r="F1029" s="7" t="n">
        <x:v>1</x:v>
      </x:c>
      <x:c r="G1029" s="7" t="n">
        <x:v>160</x:v>
      </x:c>
      <x:c r="H1029" s="9" t="n">
        <x:v>0.02</x:v>
      </x:c>
      <x:c r="I1029" s="7" t="n">
        <x:v>156.8</x:v>
      </x:c>
    </x:row>
    <x:row r="1030" ht="23" customHeight="1">
      <x:c r="A1030" s="7" t="str">
        <x:v>INV01025</x:v>
      </x:c>
      <x:c r="B1030" s="15" t="d">
        <x:v>2026-03-27T00:00:00.000Z</x:v>
      </x:c>
      <x:c r="C1030" s="14" t="d">
        <x:v>2026-03-01T00:00:00.000Z</x:v>
      </x:c>
      <x:c r="D1030" s="34" t="str">
        <x:v>0002</x:v>
      </x:c>
      <x:c r="E1030" s="7" t="str">
        <x:v>Central</x:v>
      </x:c>
      <x:c r="F1030" s="7" t="n">
        <x:v>-2</x:v>
      </x:c>
      <x:c r="G1030" s="7" t="n">
        <x:v>180</x:v>
      </x:c>
      <x:c r="H1030" s="9" t="n">
        <x:v>0.05</x:v>
      </x:c>
      <x:c r="I1030" s="7" t="n">
        <x:v>-342</x:v>
      </x:c>
    </x:row>
    <x:row r="1031" ht="23" customHeight="1">
      <x:c r="A1031" s="7" t="str">
        <x:v>INV01026</x:v>
      </x:c>
      <x:c r="B1031" s="15" t="d">
        <x:v>2026-03-01T00:00:00.000Z</x:v>
      </x:c>
      <x:c r="C1031" s="14" t="d">
        <x:v>2026-03-01T00:00:00.000Z</x:v>
      </x:c>
      <x:c r="D1031" s="34" t="str">
        <x:v>0003</x:v>
      </x:c>
      <x:c r="E1031" s="7" t="str">
        <x:v>Central</x:v>
      </x:c>
      <x:c r="F1031" s="7" t="n">
        <x:v>5</x:v>
      </x:c>
      <x:c r="G1031" s="7" t="n">
        <x:v>200</x:v>
      </x:c>
      <x:c r="H1031" s="9" t="n">
        <x:v>0</x:v>
      </x:c>
      <x:c r="I1031" s="7" t="n">
        <x:v>1000</x:v>
      </x:c>
    </x:row>
    <x:row r="1032" ht="23" customHeight="1">
      <x:c r="A1032" s="7" t="str">
        <x:v>INV01027</x:v>
      </x:c>
      <x:c r="B1032" s="15" t="d">
        <x:v>2026-03-02T00:00:00.000Z</x:v>
      </x:c>
      <x:c r="C1032" s="14" t="d">
        <x:v>2026-03-01T00:00:00.000Z</x:v>
      </x:c>
      <x:c r="D1032" s="34" t="str">
        <x:v>0004</x:v>
      </x:c>
      <x:c r="E1032" s="7" t="str">
        <x:v>Central</x:v>
      </x:c>
      <x:c r="F1032" s="7" t="n">
        <x:v>7</x:v>
      </x:c>
      <x:c r="G1032" s="7" t="n">
        <x:v>220</x:v>
      </x:c>
      <x:c r="H1032" s="9" t="n">
        <x:v>0.02</x:v>
      </x:c>
      <x:c r="I1032" s="7" t="n">
        <x:v>1509.2</x:v>
      </x:c>
    </x:row>
    <x:row r="1033" ht="23" customHeight="1">
      <x:c r="A1033" s="7" t="str">
        <x:v>INV01028</x:v>
      </x:c>
      <x:c r="B1033" s="15" t="d">
        <x:v>2026-03-03T00:00:00.000Z</x:v>
      </x:c>
      <x:c r="C1033" s="14" t="d">
        <x:v>2026-03-01T00:00:00.000Z</x:v>
      </x:c>
      <x:c r="D1033" s="34" t="str">
        <x:v>0005</x:v>
      </x:c>
      <x:c r="E1033" s="7" t="str">
        <x:v>Central</x:v>
      </x:c>
      <x:c r="F1033" s="7" t="n">
        <x:v>4</x:v>
      </x:c>
      <x:c r="G1033" s="7" t="n">
        <x:v>240</x:v>
      </x:c>
      <x:c r="H1033" s="9" t="n">
        <x:v>0.05</x:v>
      </x:c>
      <x:c r="I1033" s="7" t="n">
        <x:v>912</x:v>
      </x:c>
    </x:row>
    <x:row r="1034" ht="23" customHeight="1">
      <x:c r="A1034" s="7" t="str">
        <x:v>INV01029</x:v>
      </x:c>
      <x:c r="B1034" s="15" t="d">
        <x:v>2026-03-04T00:00:00.000Z</x:v>
      </x:c>
      <x:c r="C1034" s="14" t="d">
        <x:v>2026-03-01T00:00:00.000Z</x:v>
      </x:c>
      <x:c r="D1034" s="34" t="str">
        <x:v>0006</x:v>
      </x:c>
      <x:c r="E1034" s="7" t="str">
        <x:v>Central</x:v>
      </x:c>
      <x:c r="F1034" s="7" t="n">
        <x:v>5</x:v>
      </x:c>
      <x:c r="G1034" s="7" t="n">
        <x:v>260</x:v>
      </x:c>
      <x:c r="H1034" s="9" t="n">
        <x:v>0</x:v>
      </x:c>
      <x:c r="I1034" s="7" t="n">
        <x:v>1300</x:v>
      </x:c>
    </x:row>
    <x:row r="1035" ht="23" customHeight="1">
      <x:c r="A1035" s="7" t="str">
        <x:v>INV01030</x:v>
      </x:c>
      <x:c r="B1035" s="15" t="d">
        <x:v>2026-03-05T00:00:00.000Z</x:v>
      </x:c>
      <x:c r="C1035" s="14" t="d">
        <x:v>2026-03-01T00:00:00.000Z</x:v>
      </x:c>
      <x:c r="D1035" s="34" t="str">
        <x:v>0007</x:v>
      </x:c>
      <x:c r="E1035" s="7" t="str">
        <x:v>Central</x:v>
      </x:c>
      <x:c r="F1035" s="7" t="n">
        <x:v>7</x:v>
      </x:c>
      <x:c r="G1035" s="7" t="n">
        <x:v>280</x:v>
      </x:c>
      <x:c r="H1035" s="9" t="n">
        <x:v>0.02</x:v>
      </x:c>
      <x:c r="I1035" s="7" t="n">
        <x:v>1920.8</x:v>
      </x:c>
    </x:row>
    <x:row r="1036" ht="23" customHeight="1">
      <x:c r="A1036" s="7" t="str">
        <x:v>INV01031</x:v>
      </x:c>
      <x:c r="B1036" s="15" t="d">
        <x:v>2026-03-06T00:00:00.000Z</x:v>
      </x:c>
      <x:c r="C1036" s="14" t="d">
        <x:v>2026-03-01T00:00:00.000Z</x:v>
      </x:c>
      <x:c r="D1036" s="34" t="str">
        <x:v>0008</x:v>
      </x:c>
      <x:c r="E1036" s="7" t="str">
        <x:v>Central</x:v>
      </x:c>
      <x:c r="F1036" s="7" t="n">
        <x:v>1</x:v>
      </x:c>
      <x:c r="G1036" s="7" t="n">
        <x:v>300</x:v>
      </x:c>
      <x:c r="H1036" s="9" t="n">
        <x:v>0.05</x:v>
      </x:c>
      <x:c r="I1036" s="7" t="n">
        <x:v>285</x:v>
      </x:c>
    </x:row>
    <x:row r="1037" ht="23" customHeight="1">
      <x:c r="A1037" s="7" t="str">
        <x:v>INV01032</x:v>
      </x:c>
      <x:c r="B1037" s="15" t="d">
        <x:v>2026-03-07T00:00:00.000Z</x:v>
      </x:c>
      <x:c r="C1037" s="14" t="d">
        <x:v>2026-03-01T00:00:00.000Z</x:v>
      </x:c>
      <x:c r="D1037" s="34" t="str">
        <x:v>0001</x:v>
      </x:c>
      <x:c r="E1037" s="7" t="str">
        <x:v>East</x:v>
      </x:c>
      <x:c r="F1037" s="7" t="n">
        <x:v>1</x:v>
      </x:c>
      <x:c r="G1037" s="7" t="n">
        <x:v>160</x:v>
      </x:c>
      <x:c r="H1037" s="9" t="n">
        <x:v>0</x:v>
      </x:c>
      <x:c r="I1037" s="7" t="n">
        <x:v>160</x:v>
      </x:c>
    </x:row>
    <x:row r="1038" ht="23" customHeight="1">
      <x:c r="A1038" s="7" t="str">
        <x:v>INV01033</x:v>
      </x:c>
      <x:c r="B1038" s="15" t="d">
        <x:v>2026-03-08T00:00:00.000Z</x:v>
      </x:c>
      <x:c r="C1038" s="14" t="d">
        <x:v>2026-03-01T00:00:00.000Z</x:v>
      </x:c>
      <x:c r="D1038" s="34" t="str">
        <x:v>0002</x:v>
      </x:c>
      <x:c r="E1038" s="7" t="str">
        <x:v>East</x:v>
      </x:c>
      <x:c r="F1038" s="7" t="n">
        <x:v>1</x:v>
      </x:c>
      <x:c r="G1038" s="7" t="n">
        <x:v>180</x:v>
      </x:c>
      <x:c r="H1038" s="9" t="n">
        <x:v>0.02</x:v>
      </x:c>
      <x:c r="I1038" s="7" t="n">
        <x:v>176.4</x:v>
      </x:c>
    </x:row>
    <x:row r="1039" ht="23" customHeight="1">
      <x:c r="A1039" s="7" t="str">
        <x:v>INV01034</x:v>
      </x:c>
      <x:c r="B1039" s="15" t="d">
        <x:v>2026-03-09T00:00:00.000Z</x:v>
      </x:c>
      <x:c r="C1039" s="14" t="d">
        <x:v>2026-03-01T00:00:00.000Z</x:v>
      </x:c>
      <x:c r="D1039" s="34" t="str">
        <x:v>0003</x:v>
      </x:c>
      <x:c r="E1039" s="7" t="str">
        <x:v>East</x:v>
      </x:c>
      <x:c r="F1039" s="7" t="n">
        <x:v>4</x:v>
      </x:c>
      <x:c r="G1039" s="7" t="n">
        <x:v>200</x:v>
      </x:c>
      <x:c r="H1039" s="9" t="n">
        <x:v>0.05</x:v>
      </x:c>
      <x:c r="I1039" s="7" t="n">
        <x:v>760</x:v>
      </x:c>
    </x:row>
    <x:row r="1040" ht="23" customHeight="1">
      <x:c r="A1040" s="7" t="str">
        <x:v>INV01035</x:v>
      </x:c>
      <x:c r="B1040" s="15" t="d">
        <x:v>2026-03-10T00:00:00.000Z</x:v>
      </x:c>
      <x:c r="C1040" s="14" t="d">
        <x:v>2026-03-01T00:00:00.000Z</x:v>
      </x:c>
      <x:c r="D1040" s="34" t="str">
        <x:v>0004</x:v>
      </x:c>
      <x:c r="E1040" s="7" t="str">
        <x:v>East</x:v>
      </x:c>
      <x:c r="F1040" s="7" t="n">
        <x:v>6</x:v>
      </x:c>
      <x:c r="G1040" s="7" t="n">
        <x:v>220</x:v>
      </x:c>
      <x:c r="H1040" s="9" t="n">
        <x:v>0</x:v>
      </x:c>
      <x:c r="I1040" s="7" t="n">
        <x:v>1320</x:v>
      </x:c>
    </x:row>
    <x:row r="1041" ht="23" customHeight="1">
      <x:c r="A1041" s="7" t="str">
        <x:v>INV01036</x:v>
      </x:c>
      <x:c r="B1041" s="15" t="d">
        <x:v>2026-03-11T00:00:00.000Z</x:v>
      </x:c>
      <x:c r="C1041" s="14" t="d">
        <x:v>2026-03-01T00:00:00.000Z</x:v>
      </x:c>
      <x:c r="D1041" s="34" t="str">
        <x:v>0005</x:v>
      </x:c>
      <x:c r="E1041" s="7" t="str">
        <x:v>East</x:v>
      </x:c>
      <x:c r="F1041" s="7" t="n">
        <x:v>7</x:v>
      </x:c>
      <x:c r="G1041" s="7" t="n">
        <x:v>240</x:v>
      </x:c>
      <x:c r="H1041" s="9" t="n">
        <x:v>0.02</x:v>
      </x:c>
      <x:c r="I1041" s="7" t="n">
        <x:v>1646.4</x:v>
      </x:c>
    </x:row>
    <x:row r="1042" ht="23" customHeight="1">
      <x:c r="A1042" s="7" t="str">
        <x:v>INV01037</x:v>
      </x:c>
      <x:c r="B1042" s="15" t="d">
        <x:v>2026-03-12T00:00:00.000Z</x:v>
      </x:c>
      <x:c r="C1042" s="14" t="d">
        <x:v>2026-03-01T00:00:00.000Z</x:v>
      </x:c>
      <x:c r="D1042" s="34" t="str">
        <x:v>0006</x:v>
      </x:c>
      <x:c r="E1042" s="7" t="str">
        <x:v>East</x:v>
      </x:c>
      <x:c r="F1042" s="7" t="n">
        <x:v>2</x:v>
      </x:c>
      <x:c r="G1042" s="7" t="n">
        <x:v>260</x:v>
      </x:c>
      <x:c r="H1042" s="9" t="n">
        <x:v>0.05</x:v>
      </x:c>
      <x:c r="I1042" s="7" t="n">
        <x:v>494</x:v>
      </x:c>
    </x:row>
    <x:row r="1043" ht="23" customHeight="1">
      <x:c r="A1043" s="7" t="str">
        <x:v>INV01038</x:v>
      </x:c>
      <x:c r="B1043" s="15" t="d">
        <x:v>2026-03-13T00:00:00.000Z</x:v>
      </x:c>
      <x:c r="C1043" s="14" t="d">
        <x:v>2026-03-01T00:00:00.000Z</x:v>
      </x:c>
      <x:c r="D1043" s="34" t="str">
        <x:v>0007</x:v>
      </x:c>
      <x:c r="E1043" s="7" t="str">
        <x:v>East</x:v>
      </x:c>
      <x:c r="F1043" s="7" t="n">
        <x:v>3</x:v>
      </x:c>
      <x:c r="G1043" s="7" t="n">
        <x:v>280</x:v>
      </x:c>
      <x:c r="H1043" s="9" t="n">
        <x:v>0</x:v>
      </x:c>
      <x:c r="I1043" s="7" t="n">
        <x:v>840</x:v>
      </x:c>
    </x:row>
    <x:row r="1044" ht="23" customHeight="1">
      <x:c r="A1044" s="7" t="str">
        <x:v>INV01039</x:v>
      </x:c>
      <x:c r="B1044" s="15" t="d">
        <x:v>2026-03-14T00:00:00.000Z</x:v>
      </x:c>
      <x:c r="C1044" s="14" t="d">
        <x:v>2026-03-01T00:00:00.000Z</x:v>
      </x:c>
      <x:c r="D1044" s="34" t="str">
        <x:v>0008</x:v>
      </x:c>
      <x:c r="E1044" s="7" t="str">
        <x:v>East</x:v>
      </x:c>
      <x:c r="F1044" s="7" t="n">
        <x:v>2</x:v>
      </x:c>
      <x:c r="G1044" s="7" t="n">
        <x:v>300</x:v>
      </x:c>
      <x:c r="H1044" s="9" t="n">
        <x:v>0.02</x:v>
      </x:c>
      <x:c r="I1044" s="7" t="n">
        <x:v>588</x:v>
      </x:c>
    </x:row>
    <x:row r="1045" ht="23" customHeight="1">
      <x:c r="A1045" s="7" t="str">
        <x:v>INV01040</x:v>
      </x:c>
      <x:c r="B1045" s="15" t="d">
        <x:v>2026-03-15T00:00:00.000Z</x:v>
      </x:c>
      <x:c r="C1045" s="14" t="d">
        <x:v>2026-03-01T00:00:00.000Z</x:v>
      </x:c>
      <x:c r="D1045" s="34" t="str">
        <x:v>0001</x:v>
      </x:c>
      <x:c r="E1045" s="7" t="str">
        <x:v>West</x:v>
      </x:c>
      <x:c r="F1045" s="7" t="n">
        <x:v>1</x:v>
      </x:c>
      <x:c r="G1045" s="7" t="n">
        <x:v>160</x:v>
      </x:c>
      <x:c r="H1045" s="9" t="n">
        <x:v>0.05</x:v>
      </x:c>
      <x:c r="I1045" s="7" t="n">
        <x:v>152</x:v>
      </x:c>
    </x:row>
    <x:row r="1046" ht="23" customHeight="1">
      <x:c r="A1046" s="7" t="str">
        <x:v>INV01041</x:v>
      </x:c>
      <x:c r="B1046" s="15" t="d">
        <x:v>2026-03-16T00:00:00.000Z</x:v>
      </x:c>
      <x:c r="C1046" s="14" t="d">
        <x:v>2026-03-01T00:00:00.000Z</x:v>
      </x:c>
      <x:c r="D1046" s="34" t="str">
        <x:v>0002</x:v>
      </x:c>
      <x:c r="E1046" s="7" t="str">
        <x:v>West</x:v>
      </x:c>
      <x:c r="F1046" s="7" t="n">
        <x:v>1</x:v>
      </x:c>
      <x:c r="G1046" s="7" t="n">
        <x:v>180</x:v>
      </x:c>
      <x:c r="H1046" s="9" t="n">
        <x:v>0</x:v>
      </x:c>
      <x:c r="I1046" s="7" t="n">
        <x:v>180</x:v>
      </x:c>
    </x:row>
    <x:row r="1047" ht="23" customHeight="1">
      <x:c r="A1047" s="7" t="str">
        <x:v>INV01042</x:v>
      </x:c>
      <x:c r="B1047" s="15" t="d">
        <x:v>2026-03-17T00:00:00.000Z</x:v>
      </x:c>
      <x:c r="C1047" s="14" t="d">
        <x:v>2026-03-01T00:00:00.000Z</x:v>
      </x:c>
      <x:c r="D1047" s="34" t="str">
        <x:v>0003</x:v>
      </x:c>
      <x:c r="E1047" s="7" t="str">
        <x:v>West</x:v>
      </x:c>
      <x:c r="F1047" s="7" t="n">
        <x:v>2</x:v>
      </x:c>
      <x:c r="G1047" s="7" t="n">
        <x:v>200</x:v>
      </x:c>
      <x:c r="H1047" s="9" t="n">
        <x:v>0.02</x:v>
      </x:c>
      <x:c r="I1047" s="7" t="n">
        <x:v>392</x:v>
      </x:c>
    </x:row>
    <x:row r="1048" ht="23" customHeight="1">
      <x:c r="A1048" s="7" t="str">
        <x:v>INV01043</x:v>
      </x:c>
      <x:c r="B1048" s="15" t="d">
        <x:v>2026-03-18T00:00:00.000Z</x:v>
      </x:c>
      <x:c r="C1048" s="14" t="d">
        <x:v>2026-03-01T00:00:00.000Z</x:v>
      </x:c>
      <x:c r="D1048" s="34" t="str">
        <x:v>0004</x:v>
      </x:c>
      <x:c r="E1048" s="7" t="str">
        <x:v>West</x:v>
      </x:c>
      <x:c r="F1048" s="7" t="n">
        <x:v>3</x:v>
      </x:c>
      <x:c r="G1048" s="7" t="n">
        <x:v>220</x:v>
      </x:c>
      <x:c r="H1048" s="9" t="n">
        <x:v>0.05</x:v>
      </x:c>
      <x:c r="I1048" s="7" t="n">
        <x:v>627</x:v>
      </x:c>
    </x:row>
    <x:row r="1049" ht="23" customHeight="1">
      <x:c r="A1049" s="7" t="str">
        <x:v>INV01044</x:v>
      </x:c>
      <x:c r="B1049" s="15" t="d">
        <x:v>2026-03-19T00:00:00.000Z</x:v>
      </x:c>
      <x:c r="C1049" s="14" t="d">
        <x:v>2026-03-01T00:00:00.000Z</x:v>
      </x:c>
      <x:c r="D1049" s="34" t="str">
        <x:v>0005</x:v>
      </x:c>
      <x:c r="E1049" s="7" t="str">
        <x:v>West</x:v>
      </x:c>
      <x:c r="F1049" s="7" t="n">
        <x:v>1</x:v>
      </x:c>
      <x:c r="G1049" s="7" t="n">
        <x:v>240</x:v>
      </x:c>
      <x:c r="H1049" s="9" t="n">
        <x:v>0</x:v>
      </x:c>
      <x:c r="I1049" s="7" t="n">
        <x:v>240</x:v>
      </x:c>
    </x:row>
    <x:row r="1050" ht="23" customHeight="1">
      <x:c r="A1050" s="7" t="str">
        <x:v>INV01045</x:v>
      </x:c>
      <x:c r="B1050" s="15" t="d">
        <x:v>2026-03-20T00:00:00.000Z</x:v>
      </x:c>
      <x:c r="C1050" s="14" t="d">
        <x:v>2026-03-01T00:00:00.000Z</x:v>
      </x:c>
      <x:c r="D1050" s="34" t="str">
        <x:v>0006</x:v>
      </x:c>
      <x:c r="E1050" s="7" t="str">
        <x:v>West</x:v>
      </x:c>
      <x:c r="F1050" s="7" t="n">
        <x:v>3</x:v>
      </x:c>
      <x:c r="G1050" s="7" t="n">
        <x:v>260</x:v>
      </x:c>
      <x:c r="H1050" s="9" t="n">
        <x:v>0.02</x:v>
      </x:c>
      <x:c r="I1050" s="7" t="n">
        <x:v>764.4</x:v>
      </x:c>
    </x:row>
    <x:row r="1051" ht="23" customHeight="1">
      <x:c r="A1051" s="7" t="str">
        <x:v>INV01046</x:v>
      </x:c>
      <x:c r="B1051" s="15" t="d">
        <x:v>2026-03-21T00:00:00.000Z</x:v>
      </x:c>
      <x:c r="C1051" s="14" t="d">
        <x:v>2026-03-01T00:00:00.000Z</x:v>
      </x:c>
      <x:c r="D1051" s="34" t="str">
        <x:v>0007</x:v>
      </x:c>
      <x:c r="E1051" s="7" t="str">
        <x:v>West</x:v>
      </x:c>
      <x:c r="F1051" s="7" t="n">
        <x:v>6</x:v>
      </x:c>
      <x:c r="G1051" s="7" t="n">
        <x:v>280</x:v>
      </x:c>
      <x:c r="H1051" s="9" t="n">
        <x:v>0.05</x:v>
      </x:c>
      <x:c r="I1051" s="7" t="n">
        <x:v>1596</x:v>
      </x:c>
    </x:row>
    <x:row r="1052" ht="23" customHeight="1">
      <x:c r="A1052" s="7" t="str">
        <x:v>INV01047</x:v>
      </x:c>
      <x:c r="B1052" s="15" t="d">
        <x:v>2026-03-22T00:00:00.000Z</x:v>
      </x:c>
      <x:c r="C1052" s="14" t="d">
        <x:v>2026-03-01T00:00:00.000Z</x:v>
      </x:c>
      <x:c r="D1052" s="34" t="str">
        <x:v>0008</x:v>
      </x:c>
      <x:c r="E1052" s="7" t="str">
        <x:v>West</x:v>
      </x:c>
      <x:c r="F1052" s="7" t="n">
        <x:v>4</x:v>
      </x:c>
      <x:c r="G1052" s="7" t="n">
        <x:v>300</x:v>
      </x:c>
      <x:c r="H1052" s="9" t="n">
        <x:v>0</x:v>
      </x:c>
      <x:c r="I1052" s="7" t="n">
        <x:v>1200</x:v>
      </x:c>
    </x:row>
    <x:row r="1053" ht="23" customHeight="1">
      <x:c r="A1053" s="7" t="str">
        <x:v>INV01048</x:v>
      </x:c>
      <x:c r="B1053" s="15" t="d">
        <x:v>2026-03-23T00:00:00.000Z</x:v>
      </x:c>
      <x:c r="C1053" s="14" t="d">
        <x:v>2026-03-01T00:00:00.000Z</x:v>
      </x:c>
      <x:c r="D1053" s="34" t="str">
        <x:v>0001</x:v>
      </x:c>
      <x:c r="E1053" s="7" t="str">
        <x:v>North</x:v>
      </x:c>
      <x:c r="F1053" s="7" t="n">
        <x:v>3</x:v>
      </x:c>
      <x:c r="G1053" s="7" t="n">
        <x:v>160</x:v>
      </x:c>
      <x:c r="H1053" s="9" t="n">
        <x:v>0.02</x:v>
      </x:c>
      <x:c r="I1053" s="7" t="n">
        <x:v>470.4</x:v>
      </x:c>
    </x:row>
    <x:row r="1054" ht="23" customHeight="1">
      <x:c r="A1054" s="7" t="str">
        <x:v>INV01049</x:v>
      </x:c>
      <x:c r="B1054" s="15" t="d">
        <x:v>2026-03-24T00:00:00.000Z</x:v>
      </x:c>
      <x:c r="C1054" s="14" t="d">
        <x:v>2026-03-01T00:00:00.000Z</x:v>
      </x:c>
      <x:c r="D1054" s="34" t="str">
        <x:v>0002</x:v>
      </x:c>
      <x:c r="E1054" s="7" t="str">
        <x:v>North</x:v>
      </x:c>
      <x:c r="F1054" s="7" t="n">
        <x:v>3</x:v>
      </x:c>
      <x:c r="G1054" s="7" t="n">
        <x:v>180</x:v>
      </x:c>
      <x:c r="H1054" s="9" t="n">
        <x:v>0.05</x:v>
      </x:c>
      <x:c r="I1054" s="7" t="n">
        <x:v>513</x:v>
      </x:c>
    </x:row>
    <x:row r="1055" ht="23" customHeight="1">
      <x:c r="A1055" s="7" t="str">
        <x:v>INV01050</x:v>
      </x:c>
      <x:c r="B1055" s="15" t="d">
        <x:v>2026-03-25T00:00:00.000Z</x:v>
      </x:c>
      <x:c r="C1055" s="14" t="d">
        <x:v>2026-03-01T00:00:00.000Z</x:v>
      </x:c>
      <x:c r="D1055" s="34" t="str">
        <x:v>0003</x:v>
      </x:c>
      <x:c r="E1055" s="7" t="str">
        <x:v>North</x:v>
      </x:c>
      <x:c r="F1055" s="7" t="n">
        <x:v>4</x:v>
      </x:c>
      <x:c r="G1055" s="7" t="n">
        <x:v>200</x:v>
      </x:c>
      <x:c r="H1055" s="9" t="n">
        <x:v>0</x:v>
      </x:c>
      <x:c r="I1055" s="7" t="n">
        <x:v>800</x:v>
      </x:c>
    </x:row>
    <x:row r="1056" ht="23" customHeight="1">
      <x:c r="A1056" s="7" t="str">
        <x:v>INV01051</x:v>
      </x:c>
      <x:c r="B1056" s="15" t="d">
        <x:v>2026-03-26T00:00:00.000Z</x:v>
      </x:c>
      <x:c r="C1056" s="14" t="d">
        <x:v>2026-03-01T00:00:00.000Z</x:v>
      </x:c>
      <x:c r="D1056" s="34" t="str">
        <x:v>0004</x:v>
      </x:c>
      <x:c r="E1056" s="7" t="str">
        <x:v>North</x:v>
      </x:c>
      <x:c r="F1056" s="7" t="n">
        <x:v>2</x:v>
      </x:c>
      <x:c r="G1056" s="7" t="n">
        <x:v>220</x:v>
      </x:c>
      <x:c r="H1056" s="9" t="n">
        <x:v>0.02</x:v>
      </x:c>
      <x:c r="I1056" s="7" t="n">
        <x:v>431.2</x:v>
      </x:c>
    </x:row>
    <x:row r="1057" ht="23" customHeight="1">
      <x:c r="A1057" s="7" t="str">
        <x:v>INV01052</x:v>
      </x:c>
      <x:c r="B1057" s="15" t="d">
        <x:v>2026-03-27T00:00:00.000Z</x:v>
      </x:c>
      <x:c r="C1057" s="14" t="d">
        <x:v>2026-03-01T00:00:00.000Z</x:v>
      </x:c>
      <x:c r="D1057" s="34" t="str">
        <x:v>0005</x:v>
      </x:c>
      <x:c r="E1057" s="7" t="str">
        <x:v>North</x:v>
      </x:c>
      <x:c r="F1057" s="7" t="n">
        <x:v>2</x:v>
      </x:c>
      <x:c r="G1057" s="7" t="n">
        <x:v>240</x:v>
      </x:c>
      <x:c r="H1057" s="9" t="n">
        <x:v>0.05</x:v>
      </x:c>
      <x:c r="I1057" s="7" t="n">
        <x:v>456</x:v>
      </x:c>
    </x:row>
    <x:row r="1058" ht="23" customHeight="1">
      <x:c r="A1058" s="7" t="str">
        <x:v>INV01053</x:v>
      </x:c>
      <x:c r="B1058" s="15" t="d">
        <x:v>2026-03-01T00:00:00.000Z</x:v>
      </x:c>
      <x:c r="C1058" s="14" t="d">
        <x:v>2026-03-01T00:00:00.000Z</x:v>
      </x:c>
      <x:c r="D1058" s="34" t="str">
        <x:v>0006</x:v>
      </x:c>
      <x:c r="E1058" s="7" t="str">
        <x:v>North</x:v>
      </x:c>
      <x:c r="F1058" s="7" t="n">
        <x:v>3</x:v>
      </x:c>
      <x:c r="G1058" s="7" t="n">
        <x:v>260</x:v>
      </x:c>
      <x:c r="H1058" s="9" t="n">
        <x:v>0</x:v>
      </x:c>
      <x:c r="I1058" s="7" t="n">
        <x:v>780</x:v>
      </x:c>
    </x:row>
    <x:row r="1059" ht="23" customHeight="1">
      <x:c r="A1059" s="7" t="str">
        <x:v>INV01054</x:v>
      </x:c>
      <x:c r="B1059" s="15" t="d">
        <x:v>2026-03-02T00:00:00.000Z</x:v>
      </x:c>
      <x:c r="C1059" s="14" t="d">
        <x:v>2026-03-01T00:00:00.000Z</x:v>
      </x:c>
      <x:c r="D1059" s="34" t="str">
        <x:v>0007</x:v>
      </x:c>
      <x:c r="E1059" s="7" t="str">
        <x:v>North</x:v>
      </x:c>
      <x:c r="F1059" s="7" t="n">
        <x:v>4</x:v>
      </x:c>
      <x:c r="G1059" s="7" t="n">
        <x:v>280</x:v>
      </x:c>
      <x:c r="H1059" s="9" t="n">
        <x:v>0.02</x:v>
      </x:c>
      <x:c r="I1059" s="7" t="n">
        <x:v>1097.6</x:v>
      </x:c>
    </x:row>
    <x:row r="1060" ht="23" customHeight="1">
      <x:c r="A1060" s="7" t="str">
        <x:v>INV01055</x:v>
      </x:c>
      <x:c r="B1060" s="15" t="d">
        <x:v>2026-03-03T00:00:00.000Z</x:v>
      </x:c>
      <x:c r="C1060" s="14" t="d">
        <x:v>2026-03-01T00:00:00.000Z</x:v>
      </x:c>
      <x:c r="D1060" s="34" t="str">
        <x:v>0008</x:v>
      </x:c>
      <x:c r="E1060" s="7" t="str">
        <x:v>North</x:v>
      </x:c>
      <x:c r="F1060" s="7" t="n">
        <x:v>5</x:v>
      </x:c>
      <x:c r="G1060" s="7" t="n">
        <x:v>300</x:v>
      </x:c>
      <x:c r="H1060" s="9" t="n">
        <x:v>0.05</x:v>
      </x:c>
      <x:c r="I1060" s="7" t="n">
        <x:v>1425</x:v>
      </x:c>
    </x:row>
    <x:row r="1061" ht="23" customHeight="1">
      <x:c r="A1061" s="7" t="str">
        <x:v>INV01056</x:v>
      </x:c>
      <x:c r="B1061" s="15" t="d">
        <x:v>2026-04-04T00:00:00.000Z</x:v>
      </x:c>
      <x:c r="C1061" s="14" t="d">
        <x:v>2026-04-01T00:00:00.000Z</x:v>
      </x:c>
      <x:c r="D1061" s="34" t="str">
        <x:v>0001</x:v>
      </x:c>
      <x:c r="E1061" s="7" t="str">
        <x:v>Central</x:v>
      </x:c>
      <x:c r="F1061" s="7" t="n">
        <x:v>4</x:v>
      </x:c>
      <x:c r="G1061" s="7" t="n">
        <x:v>160</x:v>
      </x:c>
      <x:c r="H1061" s="9" t="n">
        <x:v>0</x:v>
      </x:c>
      <x:c r="I1061" s="7" t="n">
        <x:v>640</x:v>
      </x:c>
    </x:row>
    <x:row r="1062" ht="23" customHeight="1">
      <x:c r="A1062" s="7" t="str">
        <x:v>INV01057</x:v>
      </x:c>
      <x:c r="B1062" s="15" t="d">
        <x:v>2026-04-05T00:00:00.000Z</x:v>
      </x:c>
      <x:c r="C1062" s="14" t="d">
        <x:v>2026-04-01T00:00:00.000Z</x:v>
      </x:c>
      <x:c r="D1062" s="34" t="str">
        <x:v>0002</x:v>
      </x:c>
      <x:c r="E1062" s="7" t="str">
        <x:v>Central</x:v>
      </x:c>
      <x:c r="F1062" s="7" t="n">
        <x:v>5</x:v>
      </x:c>
      <x:c r="G1062" s="7" t="n">
        <x:v>180</x:v>
      </x:c>
      <x:c r="H1062" s="9" t="n">
        <x:v>0.02</x:v>
      </x:c>
      <x:c r="I1062" s="7" t="n">
        <x:v>882</x:v>
      </x:c>
    </x:row>
    <x:row r="1063" ht="23" customHeight="1">
      <x:c r="A1063" s="7" t="str">
        <x:v>INV01058</x:v>
      </x:c>
      <x:c r="B1063" s="15" t="d">
        <x:v>2026-04-06T00:00:00.000Z</x:v>
      </x:c>
      <x:c r="C1063" s="14" t="d">
        <x:v>2026-04-01T00:00:00.000Z</x:v>
      </x:c>
      <x:c r="D1063" s="34" t="str">
        <x:v>0003</x:v>
      </x:c>
      <x:c r="E1063" s="7" t="str">
        <x:v>Central</x:v>
      </x:c>
      <x:c r="F1063" s="7" t="n">
        <x:v>5</x:v>
      </x:c>
      <x:c r="G1063" s="7" t="n">
        <x:v>200</x:v>
      </x:c>
      <x:c r="H1063" s="9" t="n">
        <x:v>0.05</x:v>
      </x:c>
      <x:c r="I1063" s="7" t="n">
        <x:v>950</x:v>
      </x:c>
    </x:row>
    <x:row r="1064" ht="23" customHeight="1">
      <x:c r="A1064" s="7" t="str">
        <x:v>INV01059</x:v>
      </x:c>
      <x:c r="B1064" s="15" t="d">
        <x:v>2026-04-07T00:00:00.000Z</x:v>
      </x:c>
      <x:c r="C1064" s="14" t="d">
        <x:v>2026-04-01T00:00:00.000Z</x:v>
      </x:c>
      <x:c r="D1064" s="34" t="str">
        <x:v>0004</x:v>
      </x:c>
      <x:c r="E1064" s="7" t="str">
        <x:v>Central</x:v>
      </x:c>
      <x:c r="F1064" s="7" t="n">
        <x:v>7</x:v>
      </x:c>
      <x:c r="G1064" s="7" t="n">
        <x:v>220</x:v>
      </x:c>
      <x:c r="H1064" s="9" t="n">
        <x:v>0</x:v>
      </x:c>
      <x:c r="I1064" s="7" t="n">
        <x:v>1540</x:v>
      </x:c>
    </x:row>
    <x:row r="1065" ht="23" customHeight="1">
      <x:c r="A1065" s="7" t="str">
        <x:v>INV01060</x:v>
      </x:c>
      <x:c r="B1065" s="15" t="d">
        <x:v>2026-04-08T00:00:00.000Z</x:v>
      </x:c>
      <x:c r="C1065" s="14" t="d">
        <x:v>2026-04-01T00:00:00.000Z</x:v>
      </x:c>
      <x:c r="D1065" s="34" t="str">
        <x:v>0005</x:v>
      </x:c>
      <x:c r="E1065" s="7" t="str">
        <x:v>Central</x:v>
      </x:c>
      <x:c r="F1065" s="7" t="n">
        <x:v>1</x:v>
      </x:c>
      <x:c r="G1065" s="7" t="n">
        <x:v>240</x:v>
      </x:c>
      <x:c r="H1065" s="9" t="n">
        <x:v>0.02</x:v>
      </x:c>
      <x:c r="I1065" s="7" t="n">
        <x:v>235.2</x:v>
      </x:c>
    </x:row>
    <x:row r="1066" ht="23" customHeight="1">
      <x:c r="A1066" s="7" t="str">
        <x:v>INV01061</x:v>
      </x:c>
      <x:c r="B1066" s="15" t="d">
        <x:v>2026-04-09T00:00:00.000Z</x:v>
      </x:c>
      <x:c r="C1066" s="14" t="d">
        <x:v>2026-04-01T00:00:00.000Z</x:v>
      </x:c>
      <x:c r="D1066" s="34" t="str">
        <x:v>0006</x:v>
      </x:c>
      <x:c r="E1066" s="7" t="str">
        <x:v>Central</x:v>
      </x:c>
      <x:c r="F1066" s="7" t="n">
        <x:v>5</x:v>
      </x:c>
      <x:c r="G1066" s="7" t="n">
        <x:v>260</x:v>
      </x:c>
      <x:c r="H1066" s="9" t="n">
        <x:v>0.05</x:v>
      </x:c>
      <x:c r="I1066" s="7" t="n">
        <x:v>1235</x:v>
      </x:c>
    </x:row>
    <x:row r="1067" ht="23" customHeight="1">
      <x:c r="A1067" s="7" t="str">
        <x:v>INV01062</x:v>
      </x:c>
      <x:c r="B1067" s="15" t="d">
        <x:v>2026-04-10T00:00:00.000Z</x:v>
      </x:c>
      <x:c r="C1067" s="14" t="d">
        <x:v>2026-04-01T00:00:00.000Z</x:v>
      </x:c>
      <x:c r="D1067" s="34" t="str">
        <x:v>0007</x:v>
      </x:c>
      <x:c r="E1067" s="7" t="str">
        <x:v>Central</x:v>
      </x:c>
      <x:c r="F1067" s="7" t="n">
        <x:v>1</x:v>
      </x:c>
      <x:c r="G1067" s="7" t="n">
        <x:v>280</x:v>
      </x:c>
      <x:c r="H1067" s="9" t="n">
        <x:v>0</x:v>
      </x:c>
      <x:c r="I1067" s="7" t="n">
        <x:v>280</x:v>
      </x:c>
    </x:row>
    <x:row r="1068" ht="23" customHeight="1">
      <x:c r="A1068" s="7" t="str">
        <x:v>INV01063</x:v>
      </x:c>
      <x:c r="B1068" s="15" t="d">
        <x:v>2026-04-11T00:00:00.000Z</x:v>
      </x:c>
      <x:c r="C1068" s="14" t="d">
        <x:v>2026-04-01T00:00:00.000Z</x:v>
      </x:c>
      <x:c r="D1068" s="34" t="str">
        <x:v>0008</x:v>
      </x:c>
      <x:c r="E1068" s="7" t="str">
        <x:v>Central</x:v>
      </x:c>
      <x:c r="F1068" s="7" t="n">
        <x:v>6</x:v>
      </x:c>
      <x:c r="G1068" s="7" t="n">
        <x:v>300</x:v>
      </x:c>
      <x:c r="H1068" s="9" t="n">
        <x:v>0.02</x:v>
      </x:c>
      <x:c r="I1068" s="7" t="n">
        <x:v>1764</x:v>
      </x:c>
    </x:row>
    <x:row r="1069" ht="23" customHeight="1">
      <x:c r="A1069" s="7" t="str">
        <x:v>INV01064</x:v>
      </x:c>
      <x:c r="B1069" s="15" t="d">
        <x:v>2026-04-12T00:00:00.000Z</x:v>
      </x:c>
      <x:c r="C1069" s="14" t="d">
        <x:v>2026-04-01T00:00:00.000Z</x:v>
      </x:c>
      <x:c r="D1069" s="34" t="str">
        <x:v>0001</x:v>
      </x:c>
      <x:c r="E1069" s="7" t="str">
        <x:v>East</x:v>
      </x:c>
      <x:c r="F1069" s="7" t="n">
        <x:v>5</x:v>
      </x:c>
      <x:c r="G1069" s="7" t="n">
        <x:v>160</x:v>
      </x:c>
      <x:c r="H1069" s="9" t="n">
        <x:v>0.05</x:v>
      </x:c>
      <x:c r="I1069" s="7" t="n">
        <x:v>760</x:v>
      </x:c>
    </x:row>
    <x:row r="1070" ht="23" customHeight="1">
      <x:c r="A1070" s="7" t="str">
        <x:v>INV01065</x:v>
      </x:c>
      <x:c r="B1070" s="15" t="d">
        <x:v>2026-04-13T00:00:00.000Z</x:v>
      </x:c>
      <x:c r="C1070" s="14" t="d">
        <x:v>2026-04-01T00:00:00.000Z</x:v>
      </x:c>
      <x:c r="D1070" s="34" t="str">
        <x:v>0002</x:v>
      </x:c>
      <x:c r="E1070" s="7" t="str">
        <x:v>East</x:v>
      </x:c>
      <x:c r="F1070" s="7" t="n">
        <x:v>5</x:v>
      </x:c>
      <x:c r="G1070" s="7" t="n">
        <x:v>180</x:v>
      </x:c>
      <x:c r="H1070" s="9" t="n">
        <x:v>0</x:v>
      </x:c>
      <x:c r="I1070" s="7" t="n">
        <x:v>900</x:v>
      </x:c>
    </x:row>
    <x:row r="1071" ht="23" customHeight="1">
      <x:c r="A1071" s="7" t="str">
        <x:v>INV01066</x:v>
      </x:c>
      <x:c r="B1071" s="15" t="d">
        <x:v>2026-04-14T00:00:00.000Z</x:v>
      </x:c>
      <x:c r="C1071" s="14" t="d">
        <x:v>2026-04-01T00:00:00.000Z</x:v>
      </x:c>
      <x:c r="D1071" s="34" t="str">
        <x:v>0003</x:v>
      </x:c>
      <x:c r="E1071" s="7" t="str">
        <x:v>East</x:v>
      </x:c>
      <x:c r="F1071" s="7" t="n">
        <x:v>-5</x:v>
      </x:c>
      <x:c r="G1071" s="7" t="n">
        <x:v>200</x:v>
      </x:c>
      <x:c r="H1071" s="9" t="n">
        <x:v>0.02</x:v>
      </x:c>
      <x:c r="I1071" s="7" t="n">
        <x:v>-980</x:v>
      </x:c>
    </x:row>
    <x:row r="1072" ht="23" customHeight="1">
      <x:c r="A1072" s="7" t="str">
        <x:v>INV01067</x:v>
      </x:c>
      <x:c r="B1072" s="15" t="d">
        <x:v>2026-04-15T00:00:00.000Z</x:v>
      </x:c>
      <x:c r="C1072" s="14" t="d">
        <x:v>2026-04-01T00:00:00.000Z</x:v>
      </x:c>
      <x:c r="D1072" s="34" t="str">
        <x:v>0004</x:v>
      </x:c>
      <x:c r="E1072" s="7" t="str">
        <x:v>East</x:v>
      </x:c>
      <x:c r="F1072" s="7" t="n">
        <x:v>2</x:v>
      </x:c>
      <x:c r="G1072" s="7" t="n">
        <x:v>220</x:v>
      </x:c>
      <x:c r="H1072" s="9" t="n">
        <x:v>0.05</x:v>
      </x:c>
      <x:c r="I1072" s="7" t="n">
        <x:v>418</x:v>
      </x:c>
    </x:row>
    <x:row r="1073" ht="23" customHeight="1">
      <x:c r="A1073" s="7" t="str">
        <x:v>INV01068</x:v>
      </x:c>
      <x:c r="B1073" s="15" t="d">
        <x:v>2026-04-16T00:00:00.000Z</x:v>
      </x:c>
      <x:c r="C1073" s="14" t="d">
        <x:v>2026-04-01T00:00:00.000Z</x:v>
      </x:c>
      <x:c r="D1073" s="34" t="str">
        <x:v>0005</x:v>
      </x:c>
      <x:c r="E1073" s="7" t="str">
        <x:v>East</x:v>
      </x:c>
      <x:c r="F1073" s="7" t="n">
        <x:v>5</x:v>
      </x:c>
      <x:c r="G1073" s="7" t="n">
        <x:v>240</x:v>
      </x:c>
      <x:c r="H1073" s="9" t="n">
        <x:v>0</x:v>
      </x:c>
      <x:c r="I1073" s="7" t="n">
        <x:v>1200</x:v>
      </x:c>
    </x:row>
    <x:row r="1074" ht="23" customHeight="1">
      <x:c r="A1074" s="7" t="str">
        <x:v>INV01069</x:v>
      </x:c>
      <x:c r="B1074" s="15" t="d">
        <x:v>2026-04-17T00:00:00.000Z</x:v>
      </x:c>
      <x:c r="C1074" s="14" t="d">
        <x:v>2026-04-01T00:00:00.000Z</x:v>
      </x:c>
      <x:c r="D1074" s="34" t="str">
        <x:v>0006</x:v>
      </x:c>
      <x:c r="E1074" s="7" t="str">
        <x:v>East</x:v>
      </x:c>
      <x:c r="F1074" s="7" t="n">
        <x:v>2</x:v>
      </x:c>
      <x:c r="G1074" s="7" t="n">
        <x:v>260</x:v>
      </x:c>
      <x:c r="H1074" s="9" t="n">
        <x:v>0.02</x:v>
      </x:c>
      <x:c r="I1074" s="7" t="n">
        <x:v>509.6</x:v>
      </x:c>
    </x:row>
    <x:row r="1075" ht="23" customHeight="1">
      <x:c r="A1075" s="7" t="str">
        <x:v>INV01070</x:v>
      </x:c>
      <x:c r="B1075" s="15" t="d">
        <x:v>2026-04-18T00:00:00.000Z</x:v>
      </x:c>
      <x:c r="C1075" s="14" t="d">
        <x:v>2026-04-01T00:00:00.000Z</x:v>
      </x:c>
      <x:c r="D1075" s="34" t="str">
        <x:v>0007</x:v>
      </x:c>
      <x:c r="E1075" s="7" t="str">
        <x:v>East</x:v>
      </x:c>
      <x:c r="F1075" s="7" t="n">
        <x:v>1</x:v>
      </x:c>
      <x:c r="G1075" s="7" t="n">
        <x:v>280</x:v>
      </x:c>
      <x:c r="H1075" s="9" t="n">
        <x:v>0.05</x:v>
      </x:c>
      <x:c r="I1075" s="7" t="n">
        <x:v>266</x:v>
      </x:c>
    </x:row>
    <x:row r="1076" ht="23" customHeight="1">
      <x:c r="A1076" s="7" t="str">
        <x:v>INV01071</x:v>
      </x:c>
      <x:c r="B1076" s="15" t="d">
        <x:v>2026-04-19T00:00:00.000Z</x:v>
      </x:c>
      <x:c r="C1076" s="14" t="d">
        <x:v>2026-04-01T00:00:00.000Z</x:v>
      </x:c>
      <x:c r="D1076" s="34" t="str">
        <x:v>0008</x:v>
      </x:c>
      <x:c r="E1076" s="7" t="str">
        <x:v>East</x:v>
      </x:c>
      <x:c r="F1076" s="7" t="n">
        <x:v>6</x:v>
      </x:c>
      <x:c r="G1076" s="7" t="n">
        <x:v>300</x:v>
      </x:c>
      <x:c r="H1076" s="9" t="n">
        <x:v>0</x:v>
      </x:c>
      <x:c r="I1076" s="7" t="n">
        <x:v>1800</x:v>
      </x:c>
    </x:row>
    <x:row r="1077" ht="23" customHeight="1">
      <x:c r="A1077" s="7" t="str">
        <x:v>INV01072</x:v>
      </x:c>
      <x:c r="B1077" s="15" t="d">
        <x:v>2026-04-20T00:00:00.000Z</x:v>
      </x:c>
      <x:c r="C1077" s="14" t="d">
        <x:v>2026-04-01T00:00:00.000Z</x:v>
      </x:c>
      <x:c r="D1077" s="34" t="str">
        <x:v>0001</x:v>
      </x:c>
      <x:c r="E1077" s="7" t="str">
        <x:v>West</x:v>
      </x:c>
      <x:c r="F1077" s="7" t="n">
        <x:v>6</x:v>
      </x:c>
      <x:c r="G1077" s="7" t="n">
        <x:v>160</x:v>
      </x:c>
      <x:c r="H1077" s="9" t="n">
        <x:v>0.02</x:v>
      </x:c>
      <x:c r="I1077" s="7" t="n">
        <x:v>940.8</x:v>
      </x:c>
    </x:row>
    <x:row r="1078" ht="23" customHeight="1">
      <x:c r="A1078" s="7" t="str">
        <x:v>INV01073</x:v>
      </x:c>
      <x:c r="B1078" s="15" t="d">
        <x:v>2026-04-21T00:00:00.000Z</x:v>
      </x:c>
      <x:c r="C1078" s="14" t="d">
        <x:v>2026-04-01T00:00:00.000Z</x:v>
      </x:c>
      <x:c r="D1078" s="34" t="str">
        <x:v>0002</x:v>
      </x:c>
      <x:c r="E1078" s="7" t="str">
        <x:v>West</x:v>
      </x:c>
      <x:c r="F1078" s="7" t="n">
        <x:v>7</x:v>
      </x:c>
      <x:c r="G1078" s="7" t="n">
        <x:v>180</x:v>
      </x:c>
      <x:c r="H1078" s="9" t="n">
        <x:v>0.05</x:v>
      </x:c>
      <x:c r="I1078" s="7" t="n">
        <x:v>1197</x:v>
      </x:c>
    </x:row>
    <x:row r="1079" ht="23" customHeight="1">
      <x:c r="A1079" s="7" t="str">
        <x:v>INV01074</x:v>
      </x:c>
      <x:c r="B1079" s="15" t="d">
        <x:v>2026-04-22T00:00:00.000Z</x:v>
      </x:c>
      <x:c r="C1079" s="14" t="d">
        <x:v>2026-04-01T00:00:00.000Z</x:v>
      </x:c>
      <x:c r="D1079" s="34" t="str">
        <x:v>0003</x:v>
      </x:c>
      <x:c r="E1079" s="7" t="str">
        <x:v>West</x:v>
      </x:c>
      <x:c r="F1079" s="7" t="n">
        <x:v>2</x:v>
      </x:c>
      <x:c r="G1079" s="7" t="n">
        <x:v>200</x:v>
      </x:c>
      <x:c r="H1079" s="9" t="n">
        <x:v>0</x:v>
      </x:c>
      <x:c r="I1079" s="7" t="n">
        <x:v>400</x:v>
      </x:c>
    </x:row>
    <x:row r="1080" ht="23" customHeight="1">
      <x:c r="A1080" s="7" t="str">
        <x:v>INV01075</x:v>
      </x:c>
      <x:c r="B1080" s="15" t="d">
        <x:v>2026-04-23T00:00:00.000Z</x:v>
      </x:c>
      <x:c r="C1080" s="14" t="d">
        <x:v>2026-04-01T00:00:00.000Z</x:v>
      </x:c>
      <x:c r="D1080" s="34" t="str">
        <x:v>0004</x:v>
      </x:c>
      <x:c r="E1080" s="7" t="str">
        <x:v>West</x:v>
      </x:c>
      <x:c r="F1080" s="7" t="n">
        <x:v>7</x:v>
      </x:c>
      <x:c r="G1080" s="7" t="n">
        <x:v>220</x:v>
      </x:c>
      <x:c r="H1080" s="9" t="n">
        <x:v>0.02</x:v>
      </x:c>
      <x:c r="I1080" s="7" t="n">
        <x:v>1509.2</x:v>
      </x:c>
    </x:row>
    <x:row r="1081" ht="23" customHeight="1">
      <x:c r="A1081" s="7" t="str">
        <x:v>INV01076</x:v>
      </x:c>
      <x:c r="B1081" s="15" t="d">
        <x:v>2026-04-24T00:00:00.000Z</x:v>
      </x:c>
      <x:c r="C1081" s="14" t="d">
        <x:v>2026-04-01T00:00:00.000Z</x:v>
      </x:c>
      <x:c r="D1081" s="34" t="str">
        <x:v>0005</x:v>
      </x:c>
      <x:c r="E1081" s="7" t="str">
        <x:v>West</x:v>
      </x:c>
      <x:c r="F1081" s="7" t="n">
        <x:v>6</x:v>
      </x:c>
      <x:c r="G1081" s="7" t="n">
        <x:v>240</x:v>
      </x:c>
      <x:c r="H1081" s="9" t="n">
        <x:v>0.05</x:v>
      </x:c>
      <x:c r="I1081" s="7" t="n">
        <x:v>1368</x:v>
      </x:c>
    </x:row>
    <x:row r="1082" ht="23" customHeight="1">
      <x:c r="A1082" s="7" t="str">
        <x:v>INV01077</x:v>
      </x:c>
      <x:c r="B1082" s="15" t="d">
        <x:v>2026-04-25T00:00:00.000Z</x:v>
      </x:c>
      <x:c r="C1082" s="14" t="d">
        <x:v>2026-04-01T00:00:00.000Z</x:v>
      </x:c>
      <x:c r="D1082" s="34" t="str">
        <x:v>0006</x:v>
      </x:c>
      <x:c r="E1082" s="7" t="str">
        <x:v>West</x:v>
      </x:c>
      <x:c r="F1082" s="7" t="n">
        <x:v>7</x:v>
      </x:c>
      <x:c r="G1082" s="7" t="n">
        <x:v>260</x:v>
      </x:c>
      <x:c r="H1082" s="9" t="n">
        <x:v>0</x:v>
      </x:c>
      <x:c r="I1082" s="7" t="n">
        <x:v>1820</x:v>
      </x:c>
    </x:row>
    <x:row r="1083" ht="23" customHeight="1">
      <x:c r="A1083" s="7" t="str">
        <x:v>INV01078</x:v>
      </x:c>
      <x:c r="B1083" s="15" t="d">
        <x:v>2026-04-26T00:00:00.000Z</x:v>
      </x:c>
      <x:c r="C1083" s="14" t="d">
        <x:v>2026-04-01T00:00:00.000Z</x:v>
      </x:c>
      <x:c r="D1083" s="34" t="str">
        <x:v>0007</x:v>
      </x:c>
      <x:c r="E1083" s="7" t="str">
        <x:v>West</x:v>
      </x:c>
      <x:c r="F1083" s="7" t="n">
        <x:v>5</x:v>
      </x:c>
      <x:c r="G1083" s="7" t="n">
        <x:v>280</x:v>
      </x:c>
      <x:c r="H1083" s="9" t="n">
        <x:v>0.02</x:v>
      </x:c>
      <x:c r="I1083" s="7" t="n">
        <x:v>1372</x:v>
      </x:c>
    </x:row>
    <x:row r="1084" ht="23" customHeight="1">
      <x:c r="A1084" s="7" t="str">
        <x:v>INV01079</x:v>
      </x:c>
      <x:c r="B1084" s="15" t="d">
        <x:v>2026-04-27T00:00:00.000Z</x:v>
      </x:c>
      <x:c r="C1084" s="14" t="d">
        <x:v>2026-04-01T00:00:00.000Z</x:v>
      </x:c>
      <x:c r="D1084" s="34" t="str">
        <x:v>0008</x:v>
      </x:c>
      <x:c r="E1084" s="7" t="str">
        <x:v>West</x:v>
      </x:c>
      <x:c r="F1084" s="7" t="n">
        <x:v>1</x:v>
      </x:c>
      <x:c r="G1084" s="7" t="n">
        <x:v>300</x:v>
      </x:c>
      <x:c r="H1084" s="9" t="n">
        <x:v>0.05</x:v>
      </x:c>
      <x:c r="I1084" s="7" t="n">
        <x:v>285</x:v>
      </x:c>
    </x:row>
    <x:row r="1085" ht="23" customHeight="1">
      <x:c r="A1085" s="7" t="str">
        <x:v>INV01080</x:v>
      </x:c>
      <x:c r="B1085" s="15" t="d">
        <x:v>2026-04-01T00:00:00.000Z</x:v>
      </x:c>
      <x:c r="C1085" s="14" t="d">
        <x:v>2026-04-01T00:00:00.000Z</x:v>
      </x:c>
      <x:c r="D1085" s="34" t="str">
        <x:v>0001</x:v>
      </x:c>
      <x:c r="E1085" s="7" t="str">
        <x:v>North</x:v>
      </x:c>
      <x:c r="F1085" s="7" t="n">
        <x:v>2</x:v>
      </x:c>
      <x:c r="G1085" s="7" t="n">
        <x:v>160</x:v>
      </x:c>
      <x:c r="H1085" s="9" t="n">
        <x:v>0</x:v>
      </x:c>
      <x:c r="I1085" s="7" t="n">
        <x:v>320</x:v>
      </x:c>
    </x:row>
    <x:row r="1086" ht="23" customHeight="1">
      <x:c r="A1086" s="7" t="str">
        <x:v>INV01081</x:v>
      </x:c>
      <x:c r="B1086" s="15" t="d">
        <x:v>2026-04-02T00:00:00.000Z</x:v>
      </x:c>
      <x:c r="C1086" s="14" t="d">
        <x:v>2026-04-01T00:00:00.000Z</x:v>
      </x:c>
      <x:c r="D1086" s="34" t="str">
        <x:v>0002</x:v>
      </x:c>
      <x:c r="E1086" s="7" t="str">
        <x:v>North</x:v>
      </x:c>
      <x:c r="F1086" s="7" t="n">
        <x:v>7</x:v>
      </x:c>
      <x:c r="G1086" s="7" t="n">
        <x:v>180</x:v>
      </x:c>
      <x:c r="H1086" s="9" t="n">
        <x:v>0.02</x:v>
      </x:c>
      <x:c r="I1086" s="7" t="n">
        <x:v>1234.8</x:v>
      </x:c>
    </x:row>
    <x:row r="1087" ht="23" customHeight="1">
      <x:c r="A1087" s="7" t="str">
        <x:v>INV01082</x:v>
      </x:c>
      <x:c r="B1087" s="15" t="d">
        <x:v>2026-04-03T00:00:00.000Z</x:v>
      </x:c>
      <x:c r="C1087" s="14" t="d">
        <x:v>2026-04-01T00:00:00.000Z</x:v>
      </x:c>
      <x:c r="D1087" s="34" t="str">
        <x:v>0003</x:v>
      </x:c>
      <x:c r="E1087" s="7" t="str">
        <x:v>North</x:v>
      </x:c>
      <x:c r="F1087" s="7" t="n">
        <x:v>3</x:v>
      </x:c>
      <x:c r="G1087" s="7" t="n">
        <x:v>200</x:v>
      </x:c>
      <x:c r="H1087" s="9" t="n">
        <x:v>0.05</x:v>
      </x:c>
      <x:c r="I1087" s="7" t="n">
        <x:v>570</x:v>
      </x:c>
    </x:row>
    <x:row r="1088" ht="23" customHeight="1">
      <x:c r="A1088" s="7" t="str">
        <x:v>INV01083</x:v>
      </x:c>
      <x:c r="B1088" s="15" t="d">
        <x:v>2026-04-04T00:00:00.000Z</x:v>
      </x:c>
      <x:c r="C1088" s="14" t="d">
        <x:v>2026-04-01T00:00:00.000Z</x:v>
      </x:c>
      <x:c r="D1088" s="34" t="str">
        <x:v>0004</x:v>
      </x:c>
      <x:c r="E1088" s="7" t="str">
        <x:v>North</x:v>
      </x:c>
      <x:c r="F1088" s="7" t="n">
        <x:v>6</x:v>
      </x:c>
      <x:c r="G1088" s="7" t="n">
        <x:v>220</x:v>
      </x:c>
      <x:c r="H1088" s="9" t="n">
        <x:v>0</x:v>
      </x:c>
      <x:c r="I1088" s="7" t="n">
        <x:v>1320</x:v>
      </x:c>
    </x:row>
    <x:row r="1089" ht="23" customHeight="1">
      <x:c r="A1089" s="7" t="str">
        <x:v>INV01084</x:v>
      </x:c>
      <x:c r="B1089" s="15" t="d">
        <x:v>2026-04-05T00:00:00.000Z</x:v>
      </x:c>
      <x:c r="C1089" s="14" t="d">
        <x:v>2026-04-01T00:00:00.000Z</x:v>
      </x:c>
      <x:c r="D1089" s="34" t="str">
        <x:v>0005</x:v>
      </x:c>
      <x:c r="E1089" s="7" t="str">
        <x:v>North</x:v>
      </x:c>
      <x:c r="F1089" s="7" t="n">
        <x:v>7</x:v>
      </x:c>
      <x:c r="G1089" s="7" t="n">
        <x:v>240</x:v>
      </x:c>
      <x:c r="H1089" s="9" t="n">
        <x:v>0.02</x:v>
      </x:c>
      <x:c r="I1089" s="7" t="n">
        <x:v>1646.4</x:v>
      </x:c>
    </x:row>
    <x:row r="1090" ht="23" customHeight="1">
      <x:c r="A1090" s="7" t="str">
        <x:v>INV01085</x:v>
      </x:c>
      <x:c r="B1090" s="15" t="d">
        <x:v>2026-04-06T00:00:00.000Z</x:v>
      </x:c>
      <x:c r="C1090" s="14" t="d">
        <x:v>2026-04-01T00:00:00.000Z</x:v>
      </x:c>
      <x:c r="D1090" s="34" t="str">
        <x:v>0006</x:v>
      </x:c>
      <x:c r="E1090" s="7" t="str">
        <x:v>North</x:v>
      </x:c>
      <x:c r="F1090" s="7" t="n">
        <x:v>5</x:v>
      </x:c>
      <x:c r="G1090" s="7" t="n">
        <x:v>260</x:v>
      </x:c>
      <x:c r="H1090" s="9" t="n">
        <x:v>0.05</x:v>
      </x:c>
      <x:c r="I1090" s="7" t="n">
        <x:v>1235</x:v>
      </x:c>
    </x:row>
    <x:row r="1091" ht="23" customHeight="1">
      <x:c r="A1091" s="7" t="str">
        <x:v>INV01086</x:v>
      </x:c>
      <x:c r="B1091" s="15" t="d">
        <x:v>2026-04-07T00:00:00.000Z</x:v>
      </x:c>
      <x:c r="C1091" s="14" t="d">
        <x:v>2026-04-01T00:00:00.000Z</x:v>
      </x:c>
      <x:c r="D1091" s="34" t="str">
        <x:v>0007</x:v>
      </x:c>
      <x:c r="E1091" s="7" t="str">
        <x:v>North</x:v>
      </x:c>
      <x:c r="F1091" s="7" t="n">
        <x:v>7</x:v>
      </x:c>
      <x:c r="G1091" s="7" t="n">
        <x:v>280</x:v>
      </x:c>
      <x:c r="H1091" s="9" t="n">
        <x:v>0</x:v>
      </x:c>
      <x:c r="I1091" s="7" t="n">
        <x:v>1960</x:v>
      </x:c>
    </x:row>
    <x:row r="1092" ht="23" customHeight="1">
      <x:c r="A1092" s="7" t="str">
        <x:v>INV01087</x:v>
      </x:c>
      <x:c r="B1092" s="15" t="d">
        <x:v>2026-04-08T00:00:00.000Z</x:v>
      </x:c>
      <x:c r="C1092" s="14" t="d">
        <x:v>2026-04-01T00:00:00.000Z</x:v>
      </x:c>
      <x:c r="D1092" s="34" t="str">
        <x:v>0008</x:v>
      </x:c>
      <x:c r="E1092" s="7" t="str">
        <x:v>North</x:v>
      </x:c>
      <x:c r="F1092" s="7" t="n">
        <x:v>3</x:v>
      </x:c>
      <x:c r="G1092" s="7" t="n">
        <x:v>300</x:v>
      </x:c>
      <x:c r="H1092" s="9" t="n">
        <x:v>0.02</x:v>
      </x:c>
      <x:c r="I1092" s="7" t="n">
        <x:v>882</x:v>
      </x:c>
    </x:row>
    <x:row r="1093" ht="23" customHeight="1">
      <x:c r="A1093" s="7" t="str">
        <x:v>INV01088</x:v>
      </x:c>
      <x:c r="B1093" s="15" t="d">
        <x:v>2026-05-09T00:00:00.000Z</x:v>
      </x:c>
      <x:c r="C1093" s="14" t="d">
        <x:v>2026-05-01T00:00:00.000Z</x:v>
      </x:c>
      <x:c r="D1093" s="34" t="str">
        <x:v>0001</x:v>
      </x:c>
      <x:c r="E1093" s="7" t="str">
        <x:v>Central</x:v>
      </x:c>
      <x:c r="F1093" s="7" t="n">
        <x:v>4</x:v>
      </x:c>
      <x:c r="G1093" s="7" t="n">
        <x:v>160</x:v>
      </x:c>
      <x:c r="H1093" s="9" t="n">
        <x:v>0.05</x:v>
      </x:c>
      <x:c r="I1093" s="7" t="n">
        <x:v>608</x:v>
      </x:c>
    </x:row>
    <x:row r="1094" ht="23" customHeight="1">
      <x:c r="A1094" s="7" t="str">
        <x:v>INV01089</x:v>
      </x:c>
      <x:c r="B1094" s="15" t="d">
        <x:v>2026-05-10T00:00:00.000Z</x:v>
      </x:c>
      <x:c r="C1094" s="14" t="d">
        <x:v>2026-05-01T00:00:00.000Z</x:v>
      </x:c>
      <x:c r="D1094" s="34" t="str">
        <x:v>0002</x:v>
      </x:c>
      <x:c r="E1094" s="7" t="str">
        <x:v>Central</x:v>
      </x:c>
      <x:c r="F1094" s="7" t="n">
        <x:v>6</x:v>
      </x:c>
      <x:c r="G1094" s="7" t="n">
        <x:v>180</x:v>
      </x:c>
      <x:c r="H1094" s="9" t="n">
        <x:v>0</x:v>
      </x:c>
      <x:c r="I1094" s="7" t="n">
        <x:v>1080</x:v>
      </x:c>
    </x:row>
    <x:row r="1095" ht="23" customHeight="1">
      <x:c r="A1095" s="7" t="str">
        <x:v>INV01090</x:v>
      </x:c>
      <x:c r="B1095" s="15" t="d">
        <x:v>2026-05-11T00:00:00.000Z</x:v>
      </x:c>
      <x:c r="C1095" s="14" t="d">
        <x:v>2026-05-01T00:00:00.000Z</x:v>
      </x:c>
      <x:c r="D1095" s="34" t="str">
        <x:v>0003</x:v>
      </x:c>
      <x:c r="E1095" s="7" t="str">
        <x:v>Central</x:v>
      </x:c>
      <x:c r="F1095" s="7" t="n">
        <x:v>1</x:v>
      </x:c>
      <x:c r="G1095" s="7" t="n">
        <x:v>200</x:v>
      </x:c>
      <x:c r="H1095" s="9" t="n">
        <x:v>0.02</x:v>
      </x:c>
      <x:c r="I1095" s="7" t="n">
        <x:v>196</x:v>
      </x:c>
    </x:row>
    <x:row r="1096" ht="23" customHeight="1">
      <x:c r="A1096" s="7" t="str">
        <x:v>INV01091</x:v>
      </x:c>
      <x:c r="B1096" s="15" t="d">
        <x:v>2026-05-12T00:00:00.000Z</x:v>
      </x:c>
      <x:c r="C1096" s="14" t="d">
        <x:v>2026-05-01T00:00:00.000Z</x:v>
      </x:c>
      <x:c r="D1096" s="34" t="str">
        <x:v>0004</x:v>
      </x:c>
      <x:c r="E1096" s="7" t="str">
        <x:v>Central</x:v>
      </x:c>
      <x:c r="F1096" s="7" t="n">
        <x:v>4</x:v>
      </x:c>
      <x:c r="G1096" s="7" t="n">
        <x:v>220</x:v>
      </x:c>
      <x:c r="H1096" s="9" t="n">
        <x:v>0.05</x:v>
      </x:c>
      <x:c r="I1096" s="7" t="n">
        <x:v>836</x:v>
      </x:c>
    </x:row>
    <x:row r="1097" ht="23" customHeight="1">
      <x:c r="A1097" s="7" t="str">
        <x:v>INV01092</x:v>
      </x:c>
      <x:c r="B1097" s="15" t="d">
        <x:v>2026-05-13T00:00:00.000Z</x:v>
      </x:c>
      <x:c r="C1097" s="14" t="d">
        <x:v>2026-05-01T00:00:00.000Z</x:v>
      </x:c>
      <x:c r="D1097" s="34" t="str">
        <x:v>0005</x:v>
      </x:c>
      <x:c r="E1097" s="7" t="str">
        <x:v>Central</x:v>
      </x:c>
      <x:c r="F1097" s="7" t="n">
        <x:v>2</x:v>
      </x:c>
      <x:c r="G1097" s="7" t="n">
        <x:v>240</x:v>
      </x:c>
      <x:c r="H1097" s="9" t="n">
        <x:v>0</x:v>
      </x:c>
      <x:c r="I1097" s="7" t="n">
        <x:v>480</x:v>
      </x:c>
    </x:row>
    <x:row r="1098" ht="23" customHeight="1">
      <x:c r="A1098" s="7" t="str">
        <x:v>INV01093</x:v>
      </x:c>
      <x:c r="B1098" s="15" t="d">
        <x:v>2026-05-14T00:00:00.000Z</x:v>
      </x:c>
      <x:c r="C1098" s="14" t="d">
        <x:v>2026-05-01T00:00:00.000Z</x:v>
      </x:c>
      <x:c r="D1098" s="34" t="str">
        <x:v>0006</x:v>
      </x:c>
      <x:c r="E1098" s="7" t="str">
        <x:v>Central</x:v>
      </x:c>
      <x:c r="F1098" s="7" t="n">
        <x:v>3</x:v>
      </x:c>
      <x:c r="G1098" s="7" t="n">
        <x:v>260</x:v>
      </x:c>
      <x:c r="H1098" s="9" t="n">
        <x:v>0.02</x:v>
      </x:c>
      <x:c r="I1098" s="7" t="n">
        <x:v>764.4</x:v>
      </x:c>
    </x:row>
    <x:row r="1099" ht="23" customHeight="1">
      <x:c r="A1099" s="7" t="str">
        <x:v>INV01094</x:v>
      </x:c>
      <x:c r="B1099" s="15" t="d">
        <x:v>2026-05-15T00:00:00.000Z</x:v>
      </x:c>
      <x:c r="C1099" s="14" t="d">
        <x:v>2026-05-01T00:00:00.000Z</x:v>
      </x:c>
      <x:c r="D1099" s="34" t="str">
        <x:v>0007</x:v>
      </x:c>
      <x:c r="E1099" s="7" t="str">
        <x:v>Central</x:v>
      </x:c>
      <x:c r="F1099" s="7" t="n">
        <x:v>4</x:v>
      </x:c>
      <x:c r="G1099" s="7" t="n">
        <x:v>280</x:v>
      </x:c>
      <x:c r="H1099" s="9" t="n">
        <x:v>0.05</x:v>
      </x:c>
      <x:c r="I1099" s="7" t="n">
        <x:v>1064</x:v>
      </x:c>
    </x:row>
    <x:row r="1100" ht="23" customHeight="1">
      <x:c r="A1100" s="7" t="str">
        <x:v>INV01095</x:v>
      </x:c>
      <x:c r="B1100" s="15" t="d">
        <x:v>2026-05-16T00:00:00.000Z</x:v>
      </x:c>
      <x:c r="C1100" s="14" t="d">
        <x:v>2026-05-01T00:00:00.000Z</x:v>
      </x:c>
      <x:c r="D1100" s="34" t="str">
        <x:v>0008</x:v>
      </x:c>
      <x:c r="E1100" s="7" t="str">
        <x:v>Central</x:v>
      </x:c>
      <x:c r="F1100" s="7" t="n">
        <x:v>5</x:v>
      </x:c>
      <x:c r="G1100" s="7" t="n">
        <x:v>300</x:v>
      </x:c>
      <x:c r="H1100" s="9" t="n">
        <x:v>0</x:v>
      </x:c>
      <x:c r="I1100" s="7" t="n">
        <x:v>1500</x:v>
      </x:c>
    </x:row>
    <x:row r="1101" ht="23" customHeight="1">
      <x:c r="A1101" s="7" t="str">
        <x:v>INV01096</x:v>
      </x:c>
      <x:c r="B1101" s="15" t="d">
        <x:v>2026-05-17T00:00:00.000Z</x:v>
      </x:c>
      <x:c r="C1101" s="14" t="d">
        <x:v>2026-05-01T00:00:00.000Z</x:v>
      </x:c>
      <x:c r="D1101" s="34" t="str">
        <x:v>0001</x:v>
      </x:c>
      <x:c r="E1101" s="7" t="str">
        <x:v>East</x:v>
      </x:c>
      <x:c r="F1101" s="7" t="n">
        <x:v>5</x:v>
      </x:c>
      <x:c r="G1101" s="7" t="n">
        <x:v>160</x:v>
      </x:c>
      <x:c r="H1101" s="9" t="n">
        <x:v>0.02</x:v>
      </x:c>
      <x:c r="I1101" s="7" t="n">
        <x:v>784</x:v>
      </x:c>
    </x:row>
    <x:row r="1102" ht="23" customHeight="1">
      <x:c r="A1102" s="7" t="str">
        <x:v>INV01097</x:v>
      </x:c>
      <x:c r="B1102" s="15" t="d">
        <x:v>2026-05-18T00:00:00.000Z</x:v>
      </x:c>
      <x:c r="C1102" s="14" t="d">
        <x:v>2026-05-01T00:00:00.000Z</x:v>
      </x:c>
      <x:c r="D1102" s="34" t="str">
        <x:v>0002</x:v>
      </x:c>
      <x:c r="E1102" s="7" t="str">
        <x:v>East</x:v>
      </x:c>
      <x:c r="F1102" s="7" t="n">
        <x:v>2</x:v>
      </x:c>
      <x:c r="G1102" s="7" t="n">
        <x:v>180</x:v>
      </x:c>
      <x:c r="H1102" s="9" t="n">
        <x:v>0.05</x:v>
      </x:c>
      <x:c r="I1102" s="7" t="n">
        <x:v>342</x:v>
      </x:c>
    </x:row>
    <x:row r="1103" ht="23" customHeight="1">
      <x:c r="A1103" s="7" t="str">
        <x:v>INV01098</x:v>
      </x:c>
      <x:c r="B1103" s="15" t="d">
        <x:v>2026-05-19T00:00:00.000Z</x:v>
      </x:c>
      <x:c r="C1103" s="14" t="d">
        <x:v>2026-05-01T00:00:00.000Z</x:v>
      </x:c>
      <x:c r="D1103" s="34" t="str">
        <x:v>0003</x:v>
      </x:c>
      <x:c r="E1103" s="7" t="str">
        <x:v>East</x:v>
      </x:c>
      <x:c r="F1103" s="7" t="n">
        <x:v>5</x:v>
      </x:c>
      <x:c r="G1103" s="7" t="n">
        <x:v>200</x:v>
      </x:c>
      <x:c r="H1103" s="9" t="n">
        <x:v>0</x:v>
      </x:c>
      <x:c r="I1103" s="7" t="n">
        <x:v>1000</x:v>
      </x:c>
    </x:row>
    <x:row r="1104" ht="23" customHeight="1">
      <x:c r="A1104" s="7" t="str">
        <x:v>INV01099</x:v>
      </x:c>
      <x:c r="B1104" s="15" t="d">
        <x:v>2026-05-20T00:00:00.000Z</x:v>
      </x:c>
      <x:c r="C1104" s="14" t="d">
        <x:v>2026-05-01T00:00:00.000Z</x:v>
      </x:c>
      <x:c r="D1104" s="34" t="str">
        <x:v>0004</x:v>
      </x:c>
      <x:c r="E1104" s="7" t="str">
        <x:v>East</x:v>
      </x:c>
      <x:c r="F1104" s="7" t="n">
        <x:v>2</x:v>
      </x:c>
      <x:c r="G1104" s="7" t="n">
        <x:v>220</x:v>
      </x:c>
      <x:c r="H1104" s="9" t="n">
        <x:v>0.02</x:v>
      </x:c>
      <x:c r="I1104" s="7" t="n">
        <x:v>431.2</x:v>
      </x:c>
    </x:row>
    <x:row r="1105" ht="23" customHeight="1">
      <x:c r="A1105" s="7" t="str">
        <x:v>INV01100</x:v>
      </x:c>
      <x:c r="B1105" s="15" t="d">
        <x:v>2026-05-21T00:00:00.000Z</x:v>
      </x:c>
      <x:c r="C1105" s="14" t="d">
        <x:v>2026-05-01T00:00:00.000Z</x:v>
      </x:c>
      <x:c r="D1105" s="34" t="str">
        <x:v>0005</x:v>
      </x:c>
      <x:c r="E1105" s="7" t="str">
        <x:v>East</x:v>
      </x:c>
      <x:c r="F1105" s="7" t="n">
        <x:v>2</x:v>
      </x:c>
      <x:c r="G1105" s="7" t="n">
        <x:v>240</x:v>
      </x:c>
      <x:c r="H1105" s="9" t="n">
        <x:v>0.05</x:v>
      </x:c>
      <x:c r="I1105" s="7" t="n">
        <x:v>456</x:v>
      </x:c>
    </x:row>
    <x:row r="1106" ht="23" customHeight="1">
      <x:c r="A1106" s="7" t="str">
        <x:v>INV01101</x:v>
      </x:c>
      <x:c r="B1106" s="15" t="d">
        <x:v>2026-05-22T00:00:00.000Z</x:v>
      </x:c>
      <x:c r="C1106" s="14" t="d">
        <x:v>2026-05-01T00:00:00.000Z</x:v>
      </x:c>
      <x:c r="D1106" s="34" t="str">
        <x:v>0006</x:v>
      </x:c>
      <x:c r="E1106" s="7" t="str">
        <x:v>East</x:v>
      </x:c>
      <x:c r="F1106" s="7" t="n">
        <x:v>2</x:v>
      </x:c>
      <x:c r="G1106" s="7" t="n">
        <x:v>260</x:v>
      </x:c>
      <x:c r="H1106" s="9" t="n">
        <x:v>0</x:v>
      </x:c>
      <x:c r="I1106" s="7" t="n">
        <x:v>520</x:v>
      </x:c>
    </x:row>
    <x:row r="1107" ht="23" customHeight="1">
      <x:c r="A1107" s="7" t="str">
        <x:v>INV01102</x:v>
      </x:c>
      <x:c r="B1107" s="15" t="d">
        <x:v>2026-05-23T00:00:00.000Z</x:v>
      </x:c>
      <x:c r="C1107" s="14" t="d">
        <x:v>2026-05-01T00:00:00.000Z</x:v>
      </x:c>
      <x:c r="D1107" s="34" t="str">
        <x:v>0007</x:v>
      </x:c>
      <x:c r="E1107" s="7" t="str">
        <x:v>East</x:v>
      </x:c>
      <x:c r="F1107" s="7" t="n">
        <x:v>3</x:v>
      </x:c>
      <x:c r="G1107" s="7" t="n">
        <x:v>280</x:v>
      </x:c>
      <x:c r="H1107" s="9" t="n">
        <x:v>0.02</x:v>
      </x:c>
      <x:c r="I1107" s="7" t="n">
        <x:v>823.2</x:v>
      </x:c>
    </x:row>
    <x:row r="1108" ht="23" customHeight="1">
      <x:c r="A1108" s="7" t="str">
        <x:v>INV01103</x:v>
      </x:c>
      <x:c r="B1108" s="15" t="d">
        <x:v>2026-05-24T00:00:00.000Z</x:v>
      </x:c>
      <x:c r="C1108" s="14" t="d">
        <x:v>2026-05-01T00:00:00.000Z</x:v>
      </x:c>
      <x:c r="D1108" s="34" t="str">
        <x:v>0008</x:v>
      </x:c>
      <x:c r="E1108" s="7" t="str">
        <x:v>East</x:v>
      </x:c>
      <x:c r="F1108" s="7" t="n">
        <x:v>2</x:v>
      </x:c>
      <x:c r="G1108" s="7" t="n">
        <x:v>300</x:v>
      </x:c>
      <x:c r="H1108" s="9" t="n">
        <x:v>0.05</x:v>
      </x:c>
      <x:c r="I1108" s="7" t="n">
        <x:v>570</x:v>
      </x:c>
    </x:row>
    <x:row r="1109" ht="23" customHeight="1">
      <x:c r="A1109" s="7" t="str">
        <x:v>INV01104</x:v>
      </x:c>
      <x:c r="B1109" s="15" t="d">
        <x:v>2026-05-25T00:00:00.000Z</x:v>
      </x:c>
      <x:c r="C1109" s="14" t="d">
        <x:v>2026-05-01T00:00:00.000Z</x:v>
      </x:c>
      <x:c r="D1109" s="34" t="str">
        <x:v>0001</x:v>
      </x:c>
      <x:c r="E1109" s="7" t="str">
        <x:v>West</x:v>
      </x:c>
      <x:c r="F1109" s="7" t="n">
        <x:v>1</x:v>
      </x:c>
      <x:c r="G1109" s="7" t="n">
        <x:v>160</x:v>
      </x:c>
      <x:c r="H1109" s="9" t="n">
        <x:v>0</x:v>
      </x:c>
      <x:c r="I1109" s="7" t="n">
        <x:v>160</x:v>
      </x:c>
    </x:row>
    <x:row r="1110" ht="23" customHeight="1">
      <x:c r="A1110" s="7" t="str">
        <x:v>INV01105</x:v>
      </x:c>
      <x:c r="B1110" s="15" t="d">
        <x:v>2026-05-26T00:00:00.000Z</x:v>
      </x:c>
      <x:c r="C1110" s="14" t="d">
        <x:v>2026-05-01T00:00:00.000Z</x:v>
      </x:c>
      <x:c r="D1110" s="34" t="str">
        <x:v>0002</x:v>
      </x:c>
      <x:c r="E1110" s="7" t="str">
        <x:v>West</x:v>
      </x:c>
      <x:c r="F1110" s="7" t="n">
        <x:v>3</x:v>
      </x:c>
      <x:c r="G1110" s="7" t="n">
        <x:v>180</x:v>
      </x:c>
      <x:c r="H1110" s="9" t="n">
        <x:v>0.02</x:v>
      </x:c>
      <x:c r="I1110" s="7" t="n">
        <x:v>529.2</x:v>
      </x:c>
    </x:row>
    <x:row r="1111" ht="23" customHeight="1">
      <x:c r="A1111" s="7" t="str">
        <x:v>INV01106</x:v>
      </x:c>
      <x:c r="B1111" s="15" t="d">
        <x:v>2026-05-27T00:00:00.000Z</x:v>
      </x:c>
      <x:c r="C1111" s="14" t="d">
        <x:v>2026-05-01T00:00:00.000Z</x:v>
      </x:c>
      <x:c r="D1111" s="34" t="str">
        <x:v>0003</x:v>
      </x:c>
      <x:c r="E1111" s="7" t="str">
        <x:v>West</x:v>
      </x:c>
      <x:c r="F1111" s="7" t="n">
        <x:v>2</x:v>
      </x:c>
      <x:c r="G1111" s="7" t="n">
        <x:v>200</x:v>
      </x:c>
      <x:c r="H1111" s="9" t="n">
        <x:v>0.05</x:v>
      </x:c>
      <x:c r="I1111" s="7" t="n">
        <x:v>380</x:v>
      </x:c>
    </x:row>
    <x:row r="1112" ht="23" customHeight="1">
      <x:c r="A1112" s="7" t="str">
        <x:v>INV01107</x:v>
      </x:c>
      <x:c r="B1112" s="15" t="d">
        <x:v>2026-05-01T00:00:00.000Z</x:v>
      </x:c>
      <x:c r="C1112" s="14" t="d">
        <x:v>2026-05-01T00:00:00.000Z</x:v>
      </x:c>
      <x:c r="D1112" s="34" t="str">
        <x:v>0004</x:v>
      </x:c>
      <x:c r="E1112" s="7" t="str">
        <x:v>West</x:v>
      </x:c>
      <x:c r="F1112" s="7" t="n">
        <x:v>-1</x:v>
      </x:c>
      <x:c r="G1112" s="7" t="n">
        <x:v>220</x:v>
      </x:c>
      <x:c r="H1112" s="9" t="n">
        <x:v>0</x:v>
      </x:c>
      <x:c r="I1112" s="7" t="n">
        <x:v>-220</x:v>
      </x:c>
    </x:row>
    <x:row r="1113" ht="23" customHeight="1">
      <x:c r="A1113" s="7" t="str">
        <x:v>INV01108</x:v>
      </x:c>
      <x:c r="B1113" s="15" t="d">
        <x:v>2026-05-02T00:00:00.000Z</x:v>
      </x:c>
      <x:c r="C1113" s="14" t="d">
        <x:v>2026-05-01T00:00:00.000Z</x:v>
      </x:c>
      <x:c r="D1113" s="34" t="str">
        <x:v>0005</x:v>
      </x:c>
      <x:c r="E1113" s="7" t="str">
        <x:v>West</x:v>
      </x:c>
      <x:c r="F1113" s="7" t="n">
        <x:v>1</x:v>
      </x:c>
      <x:c r="G1113" s="7" t="n">
        <x:v>240</x:v>
      </x:c>
      <x:c r="H1113" s="9" t="n">
        <x:v>0.02</x:v>
      </x:c>
      <x:c r="I1113" s="7" t="n">
        <x:v>235.2</x:v>
      </x:c>
    </x:row>
    <x:row r="1114" ht="23" customHeight="1">
      <x:c r="A1114" s="7" t="str">
        <x:v>INV01109</x:v>
      </x:c>
      <x:c r="B1114" s="15" t="d">
        <x:v>2026-05-03T00:00:00.000Z</x:v>
      </x:c>
      <x:c r="C1114" s="14" t="d">
        <x:v>2026-05-01T00:00:00.000Z</x:v>
      </x:c>
      <x:c r="D1114" s="34" t="str">
        <x:v>0006</x:v>
      </x:c>
      <x:c r="E1114" s="7" t="str">
        <x:v>West</x:v>
      </x:c>
      <x:c r="F1114" s="7" t="n">
        <x:v>5</x:v>
      </x:c>
      <x:c r="G1114" s="7" t="n">
        <x:v>260</x:v>
      </x:c>
      <x:c r="H1114" s="9" t="n">
        <x:v>0.05</x:v>
      </x:c>
      <x:c r="I1114" s="7" t="n">
        <x:v>1235</x:v>
      </x:c>
    </x:row>
    <x:row r="1115" ht="23" customHeight="1">
      <x:c r="A1115" s="7" t="str">
        <x:v>INV01110</x:v>
      </x:c>
      <x:c r="B1115" s="15" t="d">
        <x:v>2026-05-04T00:00:00.000Z</x:v>
      </x:c>
      <x:c r="C1115" s="14" t="d">
        <x:v>2026-05-01T00:00:00.000Z</x:v>
      </x:c>
      <x:c r="D1115" s="34" t="str">
        <x:v>0007</x:v>
      </x:c>
      <x:c r="E1115" s="7" t="str">
        <x:v>West</x:v>
      </x:c>
      <x:c r="F1115" s="7" t="n">
        <x:v>5</x:v>
      </x:c>
      <x:c r="G1115" s="7" t="n">
        <x:v>280</x:v>
      </x:c>
      <x:c r="H1115" s="9" t="n">
        <x:v>0</x:v>
      </x:c>
      <x:c r="I1115" s="7" t="n">
        <x:v>1400</x:v>
      </x:c>
    </x:row>
    <x:row r="1116" ht="23" customHeight="1">
      <x:c r="A1116" s="7" t="str">
        <x:v>INV01111</x:v>
      </x:c>
      <x:c r="B1116" s="15" t="d">
        <x:v>2026-05-05T00:00:00.000Z</x:v>
      </x:c>
      <x:c r="C1116" s="14" t="d">
        <x:v>2026-05-01T00:00:00.000Z</x:v>
      </x:c>
      <x:c r="D1116" s="34" t="str">
        <x:v>0008</x:v>
      </x:c>
      <x:c r="E1116" s="7" t="str">
        <x:v>West</x:v>
      </x:c>
      <x:c r="F1116" s="7" t="n">
        <x:v>5</x:v>
      </x:c>
      <x:c r="G1116" s="7" t="n">
        <x:v>300</x:v>
      </x:c>
      <x:c r="H1116" s="9" t="n">
        <x:v>0.02</x:v>
      </x:c>
      <x:c r="I1116" s="7" t="n">
        <x:v>1470</x:v>
      </x:c>
    </x:row>
    <x:row r="1117" ht="23" customHeight="1">
      <x:c r="A1117" s="7" t="str">
        <x:v>INV01112</x:v>
      </x:c>
      <x:c r="B1117" s="15" t="d">
        <x:v>2026-05-06T00:00:00.000Z</x:v>
      </x:c>
      <x:c r="C1117" s="14" t="d">
        <x:v>2026-05-01T00:00:00.000Z</x:v>
      </x:c>
      <x:c r="D1117" s="34" t="str">
        <x:v>0001</x:v>
      </x:c>
      <x:c r="E1117" s="7" t="str">
        <x:v>North</x:v>
      </x:c>
      <x:c r="F1117" s="7" t="n">
        <x:v>1</x:v>
      </x:c>
      <x:c r="G1117" s="7" t="n">
        <x:v>160</x:v>
      </x:c>
      <x:c r="H1117" s="9" t="n">
        <x:v>0.05</x:v>
      </x:c>
      <x:c r="I1117" s="7" t="n">
        <x:v>152</x:v>
      </x:c>
    </x:row>
    <x:row r="1118" ht="23" customHeight="1">
      <x:c r="A1118" s="7" t="str">
        <x:v>INV01113</x:v>
      </x:c>
      <x:c r="B1118" s="15" t="d">
        <x:v>2026-05-07T00:00:00.000Z</x:v>
      </x:c>
      <x:c r="C1118" s="14" t="d">
        <x:v>2026-05-01T00:00:00.000Z</x:v>
      </x:c>
      <x:c r="D1118" s="34" t="str">
        <x:v>0002</x:v>
      </x:c>
      <x:c r="E1118" s="7" t="str">
        <x:v>North</x:v>
      </x:c>
      <x:c r="F1118" s="7" t="n">
        <x:v>4</x:v>
      </x:c>
      <x:c r="G1118" s="7" t="n">
        <x:v>180</x:v>
      </x:c>
      <x:c r="H1118" s="9" t="n">
        <x:v>0</x:v>
      </x:c>
      <x:c r="I1118" s="7" t="n">
        <x:v>720</x:v>
      </x:c>
    </x:row>
    <x:row r="1119" ht="23" customHeight="1">
      <x:c r="A1119" s="7" t="str">
        <x:v>INV01114</x:v>
      </x:c>
      <x:c r="B1119" s="15" t="d">
        <x:v>2026-05-08T00:00:00.000Z</x:v>
      </x:c>
      <x:c r="C1119" s="14" t="d">
        <x:v>2026-05-01T00:00:00.000Z</x:v>
      </x:c>
      <x:c r="D1119" s="34" t="str">
        <x:v>0003</x:v>
      </x:c>
      <x:c r="E1119" s="7" t="str">
        <x:v>North</x:v>
      </x:c>
      <x:c r="F1119" s="7" t="n">
        <x:v>3</x:v>
      </x:c>
      <x:c r="G1119" s="7" t="n">
        <x:v>200</x:v>
      </x:c>
      <x:c r="H1119" s="9" t="n">
        <x:v>0.02</x:v>
      </x:c>
      <x:c r="I1119" s="7" t="n">
        <x:v>588</x:v>
      </x:c>
    </x:row>
    <x:row r="1120" ht="23" customHeight="1">
      <x:c r="A1120" s="7" t="str">
        <x:v>INV01115</x:v>
      </x:c>
      <x:c r="B1120" s="15" t="d">
        <x:v>2026-05-09T00:00:00.000Z</x:v>
      </x:c>
      <x:c r="C1120" s="14" t="d">
        <x:v>2026-05-01T00:00:00.000Z</x:v>
      </x:c>
      <x:c r="D1120" s="34" t="str">
        <x:v>0004</x:v>
      </x:c>
      <x:c r="E1120" s="7" t="str">
        <x:v>North</x:v>
      </x:c>
      <x:c r="F1120" s="7" t="n">
        <x:v>4</x:v>
      </x:c>
      <x:c r="G1120" s="7" t="n">
        <x:v>220</x:v>
      </x:c>
      <x:c r="H1120" s="9" t="n">
        <x:v>0.05</x:v>
      </x:c>
      <x:c r="I1120" s="7" t="n">
        <x:v>836</x:v>
      </x:c>
    </x:row>
    <x:row r="1121" ht="23" customHeight="1">
      <x:c r="A1121" s="7" t="str">
        <x:v>INV01116</x:v>
      </x:c>
      <x:c r="B1121" s="15" t="d">
        <x:v>2026-05-10T00:00:00.000Z</x:v>
      </x:c>
      <x:c r="C1121" s="14" t="d">
        <x:v>2026-05-01T00:00:00.000Z</x:v>
      </x:c>
      <x:c r="D1121" s="34" t="str">
        <x:v>0005</x:v>
      </x:c>
      <x:c r="E1121" s="7" t="str">
        <x:v>North</x:v>
      </x:c>
      <x:c r="F1121" s="7" t="n">
        <x:v>1</x:v>
      </x:c>
      <x:c r="G1121" s="7" t="n">
        <x:v>240</x:v>
      </x:c>
      <x:c r="H1121" s="9" t="n">
        <x:v>0</x:v>
      </x:c>
      <x:c r="I1121" s="7" t="n">
        <x:v>240</x:v>
      </x:c>
    </x:row>
    <x:row r="1122" ht="23" customHeight="1">
      <x:c r="A1122" s="7" t="str">
        <x:v>INV01117</x:v>
      </x:c>
      <x:c r="B1122" s="15" t="d">
        <x:v>2026-05-11T00:00:00.000Z</x:v>
      </x:c>
      <x:c r="C1122" s="14" t="d">
        <x:v>2026-05-01T00:00:00.000Z</x:v>
      </x:c>
      <x:c r="D1122" s="34" t="str">
        <x:v>0006</x:v>
      </x:c>
      <x:c r="E1122" s="7" t="str">
        <x:v>North</x:v>
      </x:c>
      <x:c r="F1122" s="7" t="n">
        <x:v>6</x:v>
      </x:c>
      <x:c r="G1122" s="7" t="n">
        <x:v>260</x:v>
      </x:c>
      <x:c r="H1122" s="9" t="n">
        <x:v>0.02</x:v>
      </x:c>
      <x:c r="I1122" s="7" t="n">
        <x:v>1528.8</x:v>
      </x:c>
    </x:row>
    <x:row r="1123" ht="23" customHeight="1">
      <x:c r="A1123" s="7" t="str">
        <x:v>INV01118</x:v>
      </x:c>
      <x:c r="B1123" s="15" t="d">
        <x:v>2026-05-12T00:00:00.000Z</x:v>
      </x:c>
      <x:c r="C1123" s="14" t="d">
        <x:v>2026-05-01T00:00:00.000Z</x:v>
      </x:c>
      <x:c r="D1123" s="34" t="str">
        <x:v>0007</x:v>
      </x:c>
      <x:c r="E1123" s="7" t="str">
        <x:v>North</x:v>
      </x:c>
      <x:c r="F1123" s="7" t="n">
        <x:v>4</x:v>
      </x:c>
      <x:c r="G1123" s="7" t="n">
        <x:v>280</x:v>
      </x:c>
      <x:c r="H1123" s="9" t="n">
        <x:v>0.05</x:v>
      </x:c>
      <x:c r="I1123" s="7" t="n">
        <x:v>1064</x:v>
      </x:c>
    </x:row>
    <x:row r="1124" ht="23" customHeight="1">
      <x:c r="A1124" s="7" t="str">
        <x:v>INV01119</x:v>
      </x:c>
      <x:c r="B1124" s="15" t="d">
        <x:v>2026-05-13T00:00:00.000Z</x:v>
      </x:c>
      <x:c r="C1124" s="14" t="d">
        <x:v>2026-05-01T00:00:00.000Z</x:v>
      </x:c>
      <x:c r="D1124" s="34" t="str">
        <x:v>0008</x:v>
      </x:c>
      <x:c r="E1124" s="7" t="str">
        <x:v>North</x:v>
      </x:c>
      <x:c r="F1124" s="7" t="n">
        <x:v>5</x:v>
      </x:c>
      <x:c r="G1124" s="7" t="n">
        <x:v>300</x:v>
      </x:c>
      <x:c r="H1124" s="9" t="n">
        <x:v>0</x:v>
      </x:c>
      <x:c r="I1124" s="7" t="n">
        <x:v>1500</x:v>
      </x:c>
    </x:row>
    <x:row r="1125" ht="23" customHeight="1">
      <x:c r="A1125" s="7" t="str">
        <x:v>INV01120</x:v>
      </x:c>
      <x:c r="B1125" s="15" t="d">
        <x:v>2026-06-14T00:00:00.000Z</x:v>
      </x:c>
      <x:c r="C1125" s="14" t="d">
        <x:v>2026-06-01T00:00:00.000Z</x:v>
      </x:c>
      <x:c r="D1125" s="34" t="str">
        <x:v>0001</x:v>
      </x:c>
      <x:c r="E1125" s="7" t="str">
        <x:v>Central</x:v>
      </x:c>
      <x:c r="F1125" s="7" t="n">
        <x:v>2</x:v>
      </x:c>
      <x:c r="G1125" s="7" t="n">
        <x:v>160</x:v>
      </x:c>
      <x:c r="H1125" s="9" t="n">
        <x:v>0.02</x:v>
      </x:c>
      <x:c r="I1125" s="7" t="n">
        <x:v>313.6</x:v>
      </x:c>
    </x:row>
    <x:row r="1126" ht="23" customHeight="1">
      <x:c r="A1126" s="7" t="str">
        <x:v>INV01121</x:v>
      </x:c>
      <x:c r="B1126" s="15" t="d">
        <x:v>2026-06-15T00:00:00.000Z</x:v>
      </x:c>
      <x:c r="C1126" s="14" t="d">
        <x:v>2026-06-01T00:00:00.000Z</x:v>
      </x:c>
      <x:c r="D1126" s="34" t="str">
        <x:v>0002</x:v>
      </x:c>
      <x:c r="E1126" s="7" t="str">
        <x:v>Central</x:v>
      </x:c>
      <x:c r="F1126" s="7" t="n">
        <x:v>1</x:v>
      </x:c>
      <x:c r="G1126" s="7" t="n">
        <x:v>180</x:v>
      </x:c>
      <x:c r="H1126" s="9" t="n">
        <x:v>0.05</x:v>
      </x:c>
      <x:c r="I1126" s="7" t="n">
        <x:v>171</x:v>
      </x:c>
    </x:row>
    <x:row r="1127" ht="23" customHeight="1">
      <x:c r="A1127" s="7" t="str">
        <x:v>INV01122</x:v>
      </x:c>
      <x:c r="B1127" s="15" t="d">
        <x:v>2026-06-16T00:00:00.000Z</x:v>
      </x:c>
      <x:c r="C1127" s="14" t="d">
        <x:v>2026-06-01T00:00:00.000Z</x:v>
      </x:c>
      <x:c r="D1127" s="34" t="str">
        <x:v>0003</x:v>
      </x:c>
      <x:c r="E1127" s="7" t="str">
        <x:v>Central</x:v>
      </x:c>
      <x:c r="F1127" s="7" t="n">
        <x:v>1</x:v>
      </x:c>
      <x:c r="G1127" s="7" t="n">
        <x:v>200</x:v>
      </x:c>
      <x:c r="H1127" s="9" t="n">
        <x:v>0</x:v>
      </x:c>
      <x:c r="I1127" s="7" t="n">
        <x:v>200</x:v>
      </x:c>
    </x:row>
    <x:row r="1128" ht="23" customHeight="1">
      <x:c r="A1128" s="7" t="str">
        <x:v>INV01123</x:v>
      </x:c>
      <x:c r="B1128" s="15" t="d">
        <x:v>2026-06-17T00:00:00.000Z</x:v>
      </x:c>
      <x:c r="C1128" s="14" t="d">
        <x:v>2026-06-01T00:00:00.000Z</x:v>
      </x:c>
      <x:c r="D1128" s="34" t="str">
        <x:v>0004</x:v>
      </x:c>
      <x:c r="E1128" s="7" t="str">
        <x:v>Central</x:v>
      </x:c>
      <x:c r="F1128" s="7" t="n">
        <x:v>4</x:v>
      </x:c>
      <x:c r="G1128" s="7" t="n">
        <x:v>220</x:v>
      </x:c>
      <x:c r="H1128" s="9" t="n">
        <x:v>0.02</x:v>
      </x:c>
      <x:c r="I1128" s="7" t="n">
        <x:v>862.4</x:v>
      </x:c>
    </x:row>
    <x:row r="1129" ht="23" customHeight="1">
      <x:c r="A1129" s="7" t="str">
        <x:v>INV01124</x:v>
      </x:c>
      <x:c r="B1129" s="15" t="d">
        <x:v>2026-06-18T00:00:00.000Z</x:v>
      </x:c>
      <x:c r="C1129" s="14" t="d">
        <x:v>2026-06-01T00:00:00.000Z</x:v>
      </x:c>
      <x:c r="D1129" s="34" t="str">
        <x:v>0005</x:v>
      </x:c>
      <x:c r="E1129" s="7" t="str">
        <x:v>Central</x:v>
      </x:c>
      <x:c r="F1129" s="7" t="n">
        <x:v>7</x:v>
      </x:c>
      <x:c r="G1129" s="7" t="n">
        <x:v>240</x:v>
      </x:c>
      <x:c r="H1129" s="9" t="n">
        <x:v>0.05</x:v>
      </x:c>
      <x:c r="I1129" s="7" t="n">
        <x:v>1596</x:v>
      </x:c>
    </x:row>
    <x:row r="1130" ht="23" customHeight="1">
      <x:c r="A1130" s="7" t="str">
        <x:v>INV01125</x:v>
      </x:c>
      <x:c r="B1130" s="15" t="d">
        <x:v>2026-06-19T00:00:00.000Z</x:v>
      </x:c>
      <x:c r="C1130" s="14" t="d">
        <x:v>2026-06-01T00:00:00.000Z</x:v>
      </x:c>
      <x:c r="D1130" s="34" t="str">
        <x:v>0006</x:v>
      </x:c>
      <x:c r="E1130" s="7" t="str">
        <x:v>Central</x:v>
      </x:c>
      <x:c r="F1130" s="7" t="n">
        <x:v>7</x:v>
      </x:c>
      <x:c r="G1130" s="7" t="n">
        <x:v>260</x:v>
      </x:c>
      <x:c r="H1130" s="9" t="n">
        <x:v>0</x:v>
      </x:c>
      <x:c r="I1130" s="7" t="n">
        <x:v>1820</x:v>
      </x:c>
    </x:row>
    <x:row r="1131" ht="23" customHeight="1">
      <x:c r="A1131" s="7" t="str">
        <x:v>INV01126</x:v>
      </x:c>
      <x:c r="B1131" s="15" t="d">
        <x:v>2026-06-20T00:00:00.000Z</x:v>
      </x:c>
      <x:c r="C1131" s="14" t="d">
        <x:v>2026-06-01T00:00:00.000Z</x:v>
      </x:c>
      <x:c r="D1131" s="34" t="str">
        <x:v>0007</x:v>
      </x:c>
      <x:c r="E1131" s="7" t="str">
        <x:v>Central</x:v>
      </x:c>
      <x:c r="F1131" s="7" t="n">
        <x:v>2</x:v>
      </x:c>
      <x:c r="G1131" s="7" t="n">
        <x:v>280</x:v>
      </x:c>
      <x:c r="H1131" s="9" t="n">
        <x:v>0.02</x:v>
      </x:c>
      <x:c r="I1131" s="7" t="n">
        <x:v>548.8</x:v>
      </x:c>
    </x:row>
    <x:row r="1132" ht="23" customHeight="1">
      <x:c r="A1132" s="7" t="str">
        <x:v>INV01127</x:v>
      </x:c>
      <x:c r="B1132" s="15" t="d">
        <x:v>2026-06-21T00:00:00.000Z</x:v>
      </x:c>
      <x:c r="C1132" s="14" t="d">
        <x:v>2026-06-01T00:00:00.000Z</x:v>
      </x:c>
      <x:c r="D1132" s="34" t="str">
        <x:v>0008</x:v>
      </x:c>
      <x:c r="E1132" s="7" t="str">
        <x:v>Central</x:v>
      </x:c>
      <x:c r="F1132" s="7" t="n">
        <x:v>6</x:v>
      </x:c>
      <x:c r="G1132" s="7" t="n">
        <x:v>300</x:v>
      </x:c>
      <x:c r="H1132" s="9" t="n">
        <x:v>0.05</x:v>
      </x:c>
      <x:c r="I1132" s="7" t="n">
        <x:v>1710</x:v>
      </x:c>
    </x:row>
    <x:row r="1133" ht="23" customHeight="1">
      <x:c r="A1133" s="7" t="str">
        <x:v>INV01128</x:v>
      </x:c>
      <x:c r="B1133" s="15" t="d">
        <x:v>2026-06-22T00:00:00.000Z</x:v>
      </x:c>
      <x:c r="C1133" s="14" t="d">
        <x:v>2026-06-01T00:00:00.000Z</x:v>
      </x:c>
      <x:c r="D1133" s="34" t="str">
        <x:v>0001</x:v>
      </x:c>
      <x:c r="E1133" s="7" t="str">
        <x:v>East</x:v>
      </x:c>
      <x:c r="F1133" s="7" t="n">
        <x:v>4</x:v>
      </x:c>
      <x:c r="G1133" s="7" t="n">
        <x:v>160</x:v>
      </x:c>
      <x:c r="H1133" s="9" t="n">
        <x:v>0</x:v>
      </x:c>
      <x:c r="I1133" s="7" t="n">
        <x:v>640</x:v>
      </x:c>
    </x:row>
    <x:row r="1134" ht="23" customHeight="1">
      <x:c r="A1134" s="7" t="str">
        <x:v>INV01129</x:v>
      </x:c>
      <x:c r="B1134" s="15" t="d">
        <x:v>2026-06-23T00:00:00.000Z</x:v>
      </x:c>
      <x:c r="C1134" s="14" t="d">
        <x:v>2026-06-01T00:00:00.000Z</x:v>
      </x:c>
      <x:c r="D1134" s="34" t="str">
        <x:v>0002</x:v>
      </x:c>
      <x:c r="E1134" s="7" t="str">
        <x:v>East</x:v>
      </x:c>
      <x:c r="F1134" s="7" t="n">
        <x:v>5</x:v>
      </x:c>
      <x:c r="G1134" s="7" t="n">
        <x:v>180</x:v>
      </x:c>
      <x:c r="H1134" s="9" t="n">
        <x:v>0.02</x:v>
      </x:c>
      <x:c r="I1134" s="7" t="n">
        <x:v>882</x:v>
      </x:c>
    </x:row>
    <x:row r="1135" ht="23" customHeight="1">
      <x:c r="A1135" s="7" t="str">
        <x:v>INV01130</x:v>
      </x:c>
      <x:c r="B1135" s="15" t="d">
        <x:v>2026-06-24T00:00:00.000Z</x:v>
      </x:c>
      <x:c r="C1135" s="14" t="d">
        <x:v>2026-06-01T00:00:00.000Z</x:v>
      </x:c>
      <x:c r="D1135" s="34" t="str">
        <x:v>0003</x:v>
      </x:c>
      <x:c r="E1135" s="7" t="str">
        <x:v>East</x:v>
      </x:c>
      <x:c r="F1135" s="7" t="n">
        <x:v>2</x:v>
      </x:c>
      <x:c r="G1135" s="7" t="n">
        <x:v>200</x:v>
      </x:c>
      <x:c r="H1135" s="9" t="n">
        <x:v>0.05</x:v>
      </x:c>
      <x:c r="I1135" s="7" t="n">
        <x:v>380</x:v>
      </x:c>
    </x:row>
    <x:row r="1136" ht="23" customHeight="1">
      <x:c r="A1136" s="7" t="str">
        <x:v>INV01131</x:v>
      </x:c>
      <x:c r="B1136" s="15" t="d">
        <x:v>2026-06-25T00:00:00.000Z</x:v>
      </x:c>
      <x:c r="C1136" s="14" t="d">
        <x:v>2026-06-01T00:00:00.000Z</x:v>
      </x:c>
      <x:c r="D1136" s="34" t="str">
        <x:v>0004</x:v>
      </x:c>
      <x:c r="E1136" s="7" t="str">
        <x:v>East</x:v>
      </x:c>
      <x:c r="F1136" s="7" t="n">
        <x:v>2</x:v>
      </x:c>
      <x:c r="G1136" s="7" t="n">
        <x:v>220</x:v>
      </x:c>
      <x:c r="H1136" s="9" t="n">
        <x:v>0</x:v>
      </x:c>
      <x:c r="I1136" s="7" t="n">
        <x:v>440</x:v>
      </x:c>
    </x:row>
    <x:row r="1137" ht="23" customHeight="1">
      <x:c r="A1137" s="7" t="str">
        <x:v>INV01132</x:v>
      </x:c>
      <x:c r="B1137" s="15" t="d">
        <x:v>2026-06-26T00:00:00.000Z</x:v>
      </x:c>
      <x:c r="C1137" s="14" t="d">
        <x:v>2026-06-01T00:00:00.000Z</x:v>
      </x:c>
      <x:c r="D1137" s="34" t="str">
        <x:v>0005</x:v>
      </x:c>
      <x:c r="E1137" s="7" t="str">
        <x:v>East</x:v>
      </x:c>
      <x:c r="F1137" s="7" t="n">
        <x:v>1</x:v>
      </x:c>
      <x:c r="G1137" s="7" t="n">
        <x:v>240</x:v>
      </x:c>
      <x:c r="H1137" s="9" t="n">
        <x:v>0.02</x:v>
      </x:c>
      <x:c r="I1137" s="7" t="n">
        <x:v>235.2</x:v>
      </x:c>
    </x:row>
    <x:row r="1138" ht="23" customHeight="1">
      <x:c r="A1138" s="7" t="str">
        <x:v>INV01133</x:v>
      </x:c>
      <x:c r="B1138" s="15" t="d">
        <x:v>2026-06-27T00:00:00.000Z</x:v>
      </x:c>
      <x:c r="C1138" s="14" t="d">
        <x:v>2026-06-01T00:00:00.000Z</x:v>
      </x:c>
      <x:c r="D1138" s="34" t="str">
        <x:v>0006</x:v>
      </x:c>
      <x:c r="E1138" s="7" t="str">
        <x:v>East</x:v>
      </x:c>
      <x:c r="F1138" s="7" t="n">
        <x:v>7</x:v>
      </x:c>
      <x:c r="G1138" s="7" t="n">
        <x:v>260</x:v>
      </x:c>
      <x:c r="H1138" s="9" t="n">
        <x:v>0.05</x:v>
      </x:c>
      <x:c r="I1138" s="7" t="n">
        <x:v>1729</x:v>
      </x:c>
    </x:row>
    <x:row r="1139" ht="23" customHeight="1">
      <x:c r="A1139" s="7" t="str">
        <x:v>INV01134</x:v>
      </x:c>
      <x:c r="B1139" s="15" t="d">
        <x:v>2026-06-01T00:00:00.000Z</x:v>
      </x:c>
      <x:c r="C1139" s="14" t="d">
        <x:v>2026-06-01T00:00:00.000Z</x:v>
      </x:c>
      <x:c r="D1139" s="34" t="str">
        <x:v>0007</x:v>
      </x:c>
      <x:c r="E1139" s="7" t="str">
        <x:v>East</x:v>
      </x:c>
      <x:c r="F1139" s="7" t="n">
        <x:v>7</x:v>
      </x:c>
      <x:c r="G1139" s="7" t="n">
        <x:v>280</x:v>
      </x:c>
      <x:c r="H1139" s="9" t="n">
        <x:v>0</x:v>
      </x:c>
      <x:c r="I1139" s="7" t="n">
        <x:v>1960</x:v>
      </x:c>
    </x:row>
    <x:row r="1140" ht="23" customHeight="1">
      <x:c r="A1140" s="7" t="str">
        <x:v>INV01135</x:v>
      </x:c>
      <x:c r="B1140" s="15" t="d">
        <x:v>2026-06-02T00:00:00.000Z</x:v>
      </x:c>
      <x:c r="C1140" s="14" t="d">
        <x:v>2026-06-01T00:00:00.000Z</x:v>
      </x:c>
      <x:c r="D1140" s="34" t="str">
        <x:v>0008</x:v>
      </x:c>
      <x:c r="E1140" s="7" t="str">
        <x:v>East</x:v>
      </x:c>
      <x:c r="F1140" s="7" t="n">
        <x:v>7</x:v>
      </x:c>
      <x:c r="G1140" s="7" t="n">
        <x:v>300</x:v>
      </x:c>
      <x:c r="H1140" s="9" t="n">
        <x:v>0.02</x:v>
      </x:c>
      <x:c r="I1140" s="7" t="n">
        <x:v>2058</x:v>
      </x:c>
    </x:row>
    <x:row r="1141" ht="23" customHeight="1">
      <x:c r="A1141" s="7" t="str">
        <x:v>INV01136</x:v>
      </x:c>
      <x:c r="B1141" s="15" t="d">
        <x:v>2026-06-03T00:00:00.000Z</x:v>
      </x:c>
      <x:c r="C1141" s="14" t="d">
        <x:v>2026-06-01T00:00:00.000Z</x:v>
      </x:c>
      <x:c r="D1141" s="34" t="str">
        <x:v>0001</x:v>
      </x:c>
      <x:c r="E1141" s="7" t="str">
        <x:v>West</x:v>
      </x:c>
      <x:c r="F1141" s="7" t="n">
        <x:v>3</x:v>
      </x:c>
      <x:c r="G1141" s="7" t="n">
        <x:v>160</x:v>
      </x:c>
      <x:c r="H1141" s="9" t="n">
        <x:v>0.05</x:v>
      </x:c>
      <x:c r="I1141" s="7" t="n">
        <x:v>456</x:v>
      </x:c>
    </x:row>
    <x:row r="1142" ht="23" customHeight="1">
      <x:c r="A1142" s="7" t="str">
        <x:v>INV01137</x:v>
      </x:c>
      <x:c r="B1142" s="15" t="d">
        <x:v>2026-06-04T00:00:00.000Z</x:v>
      </x:c>
      <x:c r="C1142" s="14" t="d">
        <x:v>2026-06-01T00:00:00.000Z</x:v>
      </x:c>
      <x:c r="D1142" s="34" t="str">
        <x:v>0002</x:v>
      </x:c>
      <x:c r="E1142" s="7" t="str">
        <x:v>West</x:v>
      </x:c>
      <x:c r="F1142" s="7" t="n">
        <x:v>2</x:v>
      </x:c>
      <x:c r="G1142" s="7" t="n">
        <x:v>180</x:v>
      </x:c>
      <x:c r="H1142" s="9" t="n">
        <x:v>0</x:v>
      </x:c>
      <x:c r="I1142" s="7" t="n">
        <x:v>360</x:v>
      </x:c>
    </x:row>
    <x:row r="1143" ht="23" customHeight="1">
      <x:c r="A1143" s="7" t="str">
        <x:v>INV01138</x:v>
      </x:c>
      <x:c r="B1143" s="15" t="d">
        <x:v>2026-06-05T00:00:00.000Z</x:v>
      </x:c>
      <x:c r="C1143" s="14" t="d">
        <x:v>2026-06-01T00:00:00.000Z</x:v>
      </x:c>
      <x:c r="D1143" s="34" t="str">
        <x:v>0003</x:v>
      </x:c>
      <x:c r="E1143" s="7" t="str">
        <x:v>West</x:v>
      </x:c>
      <x:c r="F1143" s="7" t="n">
        <x:v>6</x:v>
      </x:c>
      <x:c r="G1143" s="7" t="n">
        <x:v>200</x:v>
      </x:c>
      <x:c r="H1143" s="9" t="n">
        <x:v>0.02</x:v>
      </x:c>
      <x:c r="I1143" s="7" t="n">
        <x:v>1176</x:v>
      </x:c>
    </x:row>
    <x:row r="1144" ht="23" customHeight="1">
      <x:c r="A1144" s="7" t="str">
        <x:v>INV01139</x:v>
      </x:c>
      <x:c r="B1144" s="15" t="d">
        <x:v>2026-06-06T00:00:00.000Z</x:v>
      </x:c>
      <x:c r="C1144" s="14" t="d">
        <x:v>2026-06-01T00:00:00.000Z</x:v>
      </x:c>
      <x:c r="D1144" s="34" t="str">
        <x:v>0004</x:v>
      </x:c>
      <x:c r="E1144" s="7" t="str">
        <x:v>West</x:v>
      </x:c>
      <x:c r="F1144" s="7" t="n">
        <x:v>2</x:v>
      </x:c>
      <x:c r="G1144" s="7" t="n">
        <x:v>220</x:v>
      </x:c>
      <x:c r="H1144" s="9" t="n">
        <x:v>0.05</x:v>
      </x:c>
      <x:c r="I1144" s="7" t="n">
        <x:v>418</x:v>
      </x:c>
    </x:row>
    <x:row r="1145" ht="23" customHeight="1">
      <x:c r="A1145" s="7" t="str">
        <x:v>INV01140</x:v>
      </x:c>
      <x:c r="B1145" s="15" t="d">
        <x:v>2026-06-07T00:00:00.000Z</x:v>
      </x:c>
      <x:c r="C1145" s="14" t="d">
        <x:v>2026-06-01T00:00:00.000Z</x:v>
      </x:c>
      <x:c r="D1145" s="34" t="str">
        <x:v>0005</x:v>
      </x:c>
      <x:c r="E1145" s="7" t="str">
        <x:v>West</x:v>
      </x:c>
      <x:c r="F1145" s="7" t="n">
        <x:v>1</x:v>
      </x:c>
      <x:c r="G1145" s="7" t="n">
        <x:v>240</x:v>
      </x:c>
      <x:c r="H1145" s="9" t="n">
        <x:v>0</x:v>
      </x:c>
      <x:c r="I1145" s="7" t="n">
        <x:v>240</x:v>
      </x:c>
    </x:row>
    <x:row r="1146" ht="23" customHeight="1">
      <x:c r="A1146" s="7" t="str">
        <x:v>INV01141</x:v>
      </x:c>
      <x:c r="B1146" s="15" t="d">
        <x:v>2026-06-08T00:00:00.000Z</x:v>
      </x:c>
      <x:c r="C1146" s="14" t="d">
        <x:v>2026-06-01T00:00:00.000Z</x:v>
      </x:c>
      <x:c r="D1146" s="34" t="str">
        <x:v>0006</x:v>
      </x:c>
      <x:c r="E1146" s="7" t="str">
        <x:v>West</x:v>
      </x:c>
      <x:c r="F1146" s="7" t="n">
        <x:v>2</x:v>
      </x:c>
      <x:c r="G1146" s="7" t="n">
        <x:v>260</x:v>
      </x:c>
      <x:c r="H1146" s="9" t="n">
        <x:v>0.02</x:v>
      </x:c>
      <x:c r="I1146" s="7" t="n">
        <x:v>509.6</x:v>
      </x:c>
    </x:row>
    <x:row r="1147" ht="23" customHeight="1">
      <x:c r="A1147" s="7" t="str">
        <x:v>INV01142</x:v>
      </x:c>
      <x:c r="B1147" s="15" t="d">
        <x:v>2026-06-09T00:00:00.000Z</x:v>
      </x:c>
      <x:c r="C1147" s="14" t="d">
        <x:v>2026-06-01T00:00:00.000Z</x:v>
      </x:c>
      <x:c r="D1147" s="34" t="str">
        <x:v>0007</x:v>
      </x:c>
      <x:c r="E1147" s="7" t="str">
        <x:v>West</x:v>
      </x:c>
      <x:c r="F1147" s="7" t="n">
        <x:v>2</x:v>
      </x:c>
      <x:c r="G1147" s="7" t="n">
        <x:v>280</x:v>
      </x:c>
      <x:c r="H1147" s="9" t="n">
        <x:v>0.05</x:v>
      </x:c>
      <x:c r="I1147" s="7" t="n">
        <x:v>532</x:v>
      </x:c>
    </x:row>
    <x:row r="1148" ht="23" customHeight="1">
      <x:c r="A1148" s="7" t="str">
        <x:v>INV01143</x:v>
      </x:c>
      <x:c r="B1148" s="15" t="d">
        <x:v>2026-06-10T00:00:00.000Z</x:v>
      </x:c>
      <x:c r="C1148" s="14" t="d">
        <x:v>2026-06-01T00:00:00.000Z</x:v>
      </x:c>
      <x:c r="D1148" s="34" t="str">
        <x:v>0008</x:v>
      </x:c>
      <x:c r="E1148" s="7" t="str">
        <x:v>West</x:v>
      </x:c>
      <x:c r="F1148" s="7" t="n">
        <x:v>3</x:v>
      </x:c>
      <x:c r="G1148" s="7" t="n">
        <x:v>300</x:v>
      </x:c>
      <x:c r="H1148" s="9" t="n">
        <x:v>0</x:v>
      </x:c>
      <x:c r="I1148" s="7" t="n">
        <x:v>900</x:v>
      </x:c>
    </x:row>
    <x:row r="1149" ht="23" customHeight="1">
      <x:c r="A1149" s="7" t="str">
        <x:v>INV01144</x:v>
      </x:c>
      <x:c r="B1149" s="15" t="d">
        <x:v>2026-06-11T00:00:00.000Z</x:v>
      </x:c>
      <x:c r="C1149" s="14" t="d">
        <x:v>2026-06-01T00:00:00.000Z</x:v>
      </x:c>
      <x:c r="D1149" s="34" t="str">
        <x:v>0001</x:v>
      </x:c>
      <x:c r="E1149" s="7" t="str">
        <x:v>North</x:v>
      </x:c>
      <x:c r="F1149" s="7" t="n">
        <x:v>2</x:v>
      </x:c>
      <x:c r="G1149" s="7" t="n">
        <x:v>160</x:v>
      </x:c>
      <x:c r="H1149" s="9" t="n">
        <x:v>0.02</x:v>
      </x:c>
      <x:c r="I1149" s="7" t="n">
        <x:v>313.6</x:v>
      </x:c>
    </x:row>
    <x:row r="1150" ht="23" customHeight="1">
      <x:c r="A1150" s="7" t="str">
        <x:v>INV01145</x:v>
      </x:c>
      <x:c r="B1150" s="15" t="d">
        <x:v>2026-06-12T00:00:00.000Z</x:v>
      </x:c>
      <x:c r="C1150" s="14" t="d">
        <x:v>2026-06-01T00:00:00.000Z</x:v>
      </x:c>
      <x:c r="D1150" s="34" t="str">
        <x:v>0002</x:v>
      </x:c>
      <x:c r="E1150" s="7" t="str">
        <x:v>North</x:v>
      </x:c>
      <x:c r="F1150" s="7" t="n">
        <x:v>2</x:v>
      </x:c>
      <x:c r="G1150" s="7" t="n">
        <x:v>180</x:v>
      </x:c>
      <x:c r="H1150" s="9" t="n">
        <x:v>0.05</x:v>
      </x:c>
      <x:c r="I1150" s="7" t="n">
        <x:v>342</x:v>
      </x:c>
    </x:row>
    <x:row r="1151" ht="23" customHeight="1">
      <x:c r="A1151" s="7" t="str">
        <x:v>INV01146</x:v>
      </x:c>
      <x:c r="B1151" s="15" t="d">
        <x:v>2026-06-13T00:00:00.000Z</x:v>
      </x:c>
      <x:c r="C1151" s="14" t="d">
        <x:v>2026-06-01T00:00:00.000Z</x:v>
      </x:c>
      <x:c r="D1151" s="34" t="str">
        <x:v>0003</x:v>
      </x:c>
      <x:c r="E1151" s="7" t="str">
        <x:v>North</x:v>
      </x:c>
      <x:c r="F1151" s="7" t="n">
        <x:v>5</x:v>
      </x:c>
      <x:c r="G1151" s="7" t="n">
        <x:v>200</x:v>
      </x:c>
      <x:c r="H1151" s="9" t="n">
        <x:v>0</x:v>
      </x:c>
      <x:c r="I1151" s="7" t="n">
        <x:v>1000</x:v>
      </x:c>
    </x:row>
    <x:row r="1152" ht="23" customHeight="1">
      <x:c r="A1152" s="7" t="str">
        <x:v>INV01147</x:v>
      </x:c>
      <x:c r="B1152" s="15" t="d">
        <x:v>2026-06-14T00:00:00.000Z</x:v>
      </x:c>
      <x:c r="C1152" s="14" t="d">
        <x:v>2026-06-01T00:00:00.000Z</x:v>
      </x:c>
      <x:c r="D1152" s="34" t="str">
        <x:v>0004</x:v>
      </x:c>
      <x:c r="E1152" s="7" t="str">
        <x:v>North</x:v>
      </x:c>
      <x:c r="F1152" s="7" t="n">
        <x:v>5</x:v>
      </x:c>
      <x:c r="G1152" s="7" t="n">
        <x:v>220</x:v>
      </x:c>
      <x:c r="H1152" s="9" t="n">
        <x:v>0.02</x:v>
      </x:c>
      <x:c r="I1152" s="7" t="n">
        <x:v>1078</x:v>
      </x:c>
    </x:row>
    <x:row r="1153" ht="23" customHeight="1">
      <x:c r="A1153" s="7" t="str">
        <x:v>INV01148</x:v>
      </x:c>
      <x:c r="B1153" s="15" t="d">
        <x:v>2026-06-15T00:00:00.000Z</x:v>
      </x:c>
      <x:c r="C1153" s="14" t="d">
        <x:v>2026-06-01T00:00:00.000Z</x:v>
      </x:c>
      <x:c r="D1153" s="34" t="str">
        <x:v>0005</x:v>
      </x:c>
      <x:c r="E1153" s="7" t="str">
        <x:v>North</x:v>
      </x:c>
      <x:c r="F1153" s="7" t="n">
        <x:v>-3</x:v>
      </x:c>
      <x:c r="G1153" s="7" t="n">
        <x:v>240</x:v>
      </x:c>
      <x:c r="H1153" s="9" t="n">
        <x:v>0.05</x:v>
      </x:c>
      <x:c r="I1153" s="7" t="n">
        <x:v>-684</x:v>
      </x:c>
    </x:row>
    <x:row r="1154" ht="23" customHeight="1">
      <x:c r="A1154" s="7" t="str">
        <x:v>INV01149</x:v>
      </x:c>
      <x:c r="B1154" s="15" t="d">
        <x:v>2026-06-16T00:00:00.000Z</x:v>
      </x:c>
      <x:c r="C1154" s="14" t="d">
        <x:v>2026-06-01T00:00:00.000Z</x:v>
      </x:c>
      <x:c r="D1154" s="34" t="str">
        <x:v>0006</x:v>
      </x:c>
      <x:c r="E1154" s="7" t="str">
        <x:v>North</x:v>
      </x:c>
      <x:c r="F1154" s="7" t="n">
        <x:v>5</x:v>
      </x:c>
      <x:c r="G1154" s="7" t="n">
        <x:v>260</x:v>
      </x:c>
      <x:c r="H1154" s="9" t="n">
        <x:v>0</x:v>
      </x:c>
      <x:c r="I1154" s="7" t="n">
        <x:v>1300</x:v>
      </x:c>
    </x:row>
    <x:row r="1155" ht="23" customHeight="1">
      <x:c r="A1155" s="7" t="str">
        <x:v>INV01150</x:v>
      </x:c>
      <x:c r="B1155" s="15" t="d">
        <x:v>2026-06-17T00:00:00.000Z</x:v>
      </x:c>
      <x:c r="C1155" s="14" t="d">
        <x:v>2026-06-01T00:00:00.000Z</x:v>
      </x:c>
      <x:c r="D1155" s="34" t="str">
        <x:v>0007</x:v>
      </x:c>
      <x:c r="E1155" s="7" t="str">
        <x:v>North</x:v>
      </x:c>
      <x:c r="F1155" s="7" t="n">
        <x:v>7</x:v>
      </x:c>
      <x:c r="G1155" s="7" t="n">
        <x:v>280</x:v>
      </x:c>
      <x:c r="H1155" s="9" t="n">
        <x:v>0.02</x:v>
      </x:c>
      <x:c r="I1155" s="7" t="n">
        <x:v>1920.8</x:v>
      </x:c>
    </x:row>
    <x:row r="1156" ht="23" customHeight="1">
      <x:c r="A1156" s="7" t="str">
        <x:v>INV01151</x:v>
      </x:c>
      <x:c r="B1156" s="15" t="d">
        <x:v>2026-06-18T00:00:00.000Z</x:v>
      </x:c>
      <x:c r="C1156" s="14" t="d">
        <x:v>2026-06-01T00:00:00.000Z</x:v>
      </x:c>
      <x:c r="D1156" s="34" t="str">
        <x:v>0008</x:v>
      </x:c>
      <x:c r="E1156" s="7" t="str">
        <x:v>North</x:v>
      </x:c>
      <x:c r="F1156" s="7" t="n">
        <x:v>1</x:v>
      </x:c>
      <x:c r="G1156" s="7" t="n">
        <x:v>300</x:v>
      </x:c>
      <x:c r="H1156" s="9" t="n">
        <x:v>0.05</x:v>
      </x:c>
      <x:c r="I1156" s="7" t="n">
        <x:v>285</x:v>
      </x:c>
    </x:row>
    <x:row r="1157" ht="23" customHeight="1">
      <x:c r="A1157" s="7" t="str">
        <x:v>INV01152</x:v>
      </x:c>
      <x:c r="B1157" s="15" t="d">
        <x:v>2026-01-19T00:00:00.000Z</x:v>
      </x:c>
      <x:c r="C1157" s="14" t="d">
        <x:v>2026-01-01T00:00:00.000Z</x:v>
      </x:c>
      <x:c r="D1157" s="34" t="str">
        <x:v>0001</x:v>
      </x:c>
      <x:c r="E1157" s="7" t="str">
        <x:v>Central</x:v>
      </x:c>
      <x:c r="F1157" s="7" t="n">
        <x:v>1</x:v>
      </x:c>
      <x:c r="G1157" s="7" t="n">
        <x:v>160</x:v>
      </x:c>
      <x:c r="H1157" s="9" t="n">
        <x:v>0</x:v>
      </x:c>
      <x:c r="I1157" s="7" t="n">
        <x:v>160</x:v>
      </x:c>
    </x:row>
    <x:row r="1158" ht="23" customHeight="1">
      <x:c r="A1158" s="7" t="str">
        <x:v>INV01153</x:v>
      </x:c>
      <x:c r="B1158" s="15" t="d">
        <x:v>2026-01-20T00:00:00.000Z</x:v>
      </x:c>
      <x:c r="C1158" s="14" t="d">
        <x:v>2026-01-01T00:00:00.000Z</x:v>
      </x:c>
      <x:c r="D1158" s="34" t="str">
        <x:v>0002</x:v>
      </x:c>
      <x:c r="E1158" s="7" t="str">
        <x:v>Central</x:v>
      </x:c>
      <x:c r="F1158" s="7" t="n">
        <x:v>6</x:v>
      </x:c>
      <x:c r="G1158" s="7" t="n">
        <x:v>180</x:v>
      </x:c>
      <x:c r="H1158" s="9" t="n">
        <x:v>0.02</x:v>
      </x:c>
      <x:c r="I1158" s="7" t="n">
        <x:v>1058.4</x:v>
      </x:c>
    </x:row>
    <x:row r="1159" ht="23" customHeight="1">
      <x:c r="A1159" s="7" t="str">
        <x:v>INV01154</x:v>
      </x:c>
      <x:c r="B1159" s="15" t="d">
        <x:v>2026-01-21T00:00:00.000Z</x:v>
      </x:c>
      <x:c r="C1159" s="14" t="d">
        <x:v>2026-01-01T00:00:00.000Z</x:v>
      </x:c>
      <x:c r="D1159" s="34" t="str">
        <x:v>0003</x:v>
      </x:c>
      <x:c r="E1159" s="7" t="str">
        <x:v>Central</x:v>
      </x:c>
      <x:c r="F1159" s="7" t="n">
        <x:v>3</x:v>
      </x:c>
      <x:c r="G1159" s="7" t="n">
        <x:v>200</x:v>
      </x:c>
      <x:c r="H1159" s="9" t="n">
        <x:v>0.05</x:v>
      </x:c>
      <x:c r="I1159" s="7" t="n">
        <x:v>570</x:v>
      </x:c>
    </x:row>
    <x:row r="1160" ht="23" customHeight="1">
      <x:c r="A1160" s="7" t="str">
        <x:v>INV01155</x:v>
      </x:c>
      <x:c r="B1160" s="15" t="d">
        <x:v>2026-01-22T00:00:00.000Z</x:v>
      </x:c>
      <x:c r="C1160" s="14" t="d">
        <x:v>2026-01-01T00:00:00.000Z</x:v>
      </x:c>
      <x:c r="D1160" s="34" t="str">
        <x:v>0004</x:v>
      </x:c>
      <x:c r="E1160" s="7" t="str">
        <x:v>Central</x:v>
      </x:c>
      <x:c r="F1160" s="7" t="n">
        <x:v>6</x:v>
      </x:c>
      <x:c r="G1160" s="7" t="n">
        <x:v>220</x:v>
      </x:c>
      <x:c r="H1160" s="9" t="n">
        <x:v>0</x:v>
      </x:c>
      <x:c r="I1160" s="7" t="n">
        <x:v>1320</x:v>
      </x:c>
    </x:row>
    <x:row r="1161" ht="23" customHeight="1">
      <x:c r="A1161" s="7" t="str">
        <x:v>INV01156</x:v>
      </x:c>
      <x:c r="B1161" s="15" t="d">
        <x:v>2026-01-23T00:00:00.000Z</x:v>
      </x:c>
      <x:c r="C1161" s="14" t="d">
        <x:v>2026-01-01T00:00:00.000Z</x:v>
      </x:c>
      <x:c r="D1161" s="34" t="str">
        <x:v>0005</x:v>
      </x:c>
      <x:c r="E1161" s="7" t="str">
        <x:v>Central</x:v>
      </x:c>
      <x:c r="F1161" s="7" t="n">
        <x:v>7</x:v>
      </x:c>
      <x:c r="G1161" s="7" t="n">
        <x:v>240</x:v>
      </x:c>
      <x:c r="H1161" s="9" t="n">
        <x:v>0.02</x:v>
      </x:c>
      <x:c r="I1161" s="7" t="n">
        <x:v>1646.4</x:v>
      </x:c>
    </x:row>
    <x:row r="1162" ht="23" customHeight="1">
      <x:c r="A1162" s="7" t="str">
        <x:v>INV01157</x:v>
      </x:c>
      <x:c r="B1162" s="15" t="d">
        <x:v>2026-01-24T00:00:00.000Z</x:v>
      </x:c>
      <x:c r="C1162" s="14" t="d">
        <x:v>2026-01-01T00:00:00.000Z</x:v>
      </x:c>
      <x:c r="D1162" s="34" t="str">
        <x:v>0006</x:v>
      </x:c>
      <x:c r="E1162" s="7" t="str">
        <x:v>Central</x:v>
      </x:c>
      <x:c r="F1162" s="7" t="n">
        <x:v>6</x:v>
      </x:c>
      <x:c r="G1162" s="7" t="n">
        <x:v>260</x:v>
      </x:c>
      <x:c r="H1162" s="9" t="n">
        <x:v>0.05</x:v>
      </x:c>
      <x:c r="I1162" s="7" t="n">
        <x:v>1482</x:v>
      </x:c>
    </x:row>
    <x:row r="1163" ht="23" customHeight="1">
      <x:c r="A1163" s="7" t="str">
        <x:v>INV01158</x:v>
      </x:c>
      <x:c r="B1163" s="15" t="d">
        <x:v>2026-01-25T00:00:00.000Z</x:v>
      </x:c>
      <x:c r="C1163" s="14" t="d">
        <x:v>2026-01-01T00:00:00.000Z</x:v>
      </x:c>
      <x:c r="D1163" s="34" t="str">
        <x:v>0007</x:v>
      </x:c>
      <x:c r="E1163" s="7" t="str">
        <x:v>Central</x:v>
      </x:c>
      <x:c r="F1163" s="7" t="n">
        <x:v>7</x:v>
      </x:c>
      <x:c r="G1163" s="7" t="n">
        <x:v>280</x:v>
      </x:c>
      <x:c r="H1163" s="9" t="n">
        <x:v>0</x:v>
      </x:c>
      <x:c r="I1163" s="7" t="n">
        <x:v>1960</x:v>
      </x:c>
    </x:row>
    <x:row r="1164" ht="23" customHeight="1">
      <x:c r="A1164" s="7" t="str">
        <x:v>INV01159</x:v>
      </x:c>
      <x:c r="B1164" s="15" t="d">
        <x:v>2026-01-26T00:00:00.000Z</x:v>
      </x:c>
      <x:c r="C1164" s="14" t="d">
        <x:v>2026-01-01T00:00:00.000Z</x:v>
      </x:c>
      <x:c r="D1164" s="34" t="str">
        <x:v>0008</x:v>
      </x:c>
      <x:c r="E1164" s="7" t="str">
        <x:v>Central</x:v>
      </x:c>
      <x:c r="F1164" s="7" t="n">
        <x:v>6</x:v>
      </x:c>
      <x:c r="G1164" s="7" t="n">
        <x:v>300</x:v>
      </x:c>
      <x:c r="H1164" s="9" t="n">
        <x:v>0.02</x:v>
      </x:c>
      <x:c r="I1164" s="7" t="n">
        <x:v>1764</x:v>
      </x:c>
    </x:row>
    <x:row r="1165" ht="23" customHeight="1">
      <x:c r="A1165" s="7" t="str">
        <x:v>INV01160</x:v>
      </x:c>
      <x:c r="B1165" s="15" t="d">
        <x:v>2026-01-27T00:00:00.000Z</x:v>
      </x:c>
      <x:c r="C1165" s="14" t="d">
        <x:v>2026-01-01T00:00:00.000Z</x:v>
      </x:c>
      <x:c r="D1165" s="34" t="str">
        <x:v>0001</x:v>
      </x:c>
      <x:c r="E1165" s="7" t="str">
        <x:v>East</x:v>
      </x:c>
      <x:c r="F1165" s="7" t="n">
        <x:v>6</x:v>
      </x:c>
      <x:c r="G1165" s="7" t="n">
        <x:v>160</x:v>
      </x:c>
      <x:c r="H1165" s="9" t="n">
        <x:v>0.05</x:v>
      </x:c>
      <x:c r="I1165" s="7" t="n">
        <x:v>912</x:v>
      </x:c>
    </x:row>
    <x:row r="1166" ht="23" customHeight="1">
      <x:c r="A1166" s="7" t="str">
        <x:v>INV01161</x:v>
      </x:c>
      <x:c r="B1166" s="15" t="d">
        <x:v>2026-01-01T00:00:00.000Z</x:v>
      </x:c>
      <x:c r="C1166" s="14" t="d">
        <x:v>2026-01-01T00:00:00.000Z</x:v>
      </x:c>
      <x:c r="D1166" s="34" t="str">
        <x:v>0002</x:v>
      </x:c>
      <x:c r="E1166" s="7" t="str">
        <x:v>East</x:v>
      </x:c>
      <x:c r="F1166" s="7" t="n">
        <x:v>7</x:v>
      </x:c>
      <x:c r="G1166" s="7" t="n">
        <x:v>180</x:v>
      </x:c>
      <x:c r="H1166" s="9" t="n">
        <x:v>0</x:v>
      </x:c>
      <x:c r="I1166" s="7" t="n">
        <x:v>1260</x:v>
      </x:c>
    </x:row>
    <x:row r="1167" ht="23" customHeight="1">
      <x:c r="A1167" s="7" t="str">
        <x:v>INV01162</x:v>
      </x:c>
      <x:c r="B1167" s="15" t="d">
        <x:v>2026-01-02T00:00:00.000Z</x:v>
      </x:c>
      <x:c r="C1167" s="14" t="d">
        <x:v>2026-01-01T00:00:00.000Z</x:v>
      </x:c>
      <x:c r="D1167" s="34" t="str">
        <x:v>0003</x:v>
      </x:c>
      <x:c r="E1167" s="7" t="str">
        <x:v>East</x:v>
      </x:c>
      <x:c r="F1167" s="7" t="n">
        <x:v>2</x:v>
      </x:c>
      <x:c r="G1167" s="7" t="n">
        <x:v>200</x:v>
      </x:c>
      <x:c r="H1167" s="9" t="n">
        <x:v>0.02</x:v>
      </x:c>
      <x:c r="I1167" s="7" t="n">
        <x:v>392</x:v>
      </x:c>
    </x:row>
    <x:row r="1168" ht="23" customHeight="1">
      <x:c r="A1168" s="7" t="str">
        <x:v>INV01163</x:v>
      </x:c>
      <x:c r="B1168" s="15" t="d">
        <x:v>2026-01-03T00:00:00.000Z</x:v>
      </x:c>
      <x:c r="C1168" s="14" t="d">
        <x:v>2026-01-01T00:00:00.000Z</x:v>
      </x:c>
      <x:c r="D1168" s="34" t="str">
        <x:v>0004</x:v>
      </x:c>
      <x:c r="E1168" s="7" t="str">
        <x:v>East</x:v>
      </x:c>
      <x:c r="F1168" s="7" t="n">
        <x:v>4</x:v>
      </x:c>
      <x:c r="G1168" s="7" t="n">
        <x:v>220</x:v>
      </x:c>
      <x:c r="H1168" s="9" t="n">
        <x:v>0.05</x:v>
      </x:c>
      <x:c r="I1168" s="7" t="n">
        <x:v>836</x:v>
      </x:c>
    </x:row>
    <x:row r="1169" ht="23" customHeight="1">
      <x:c r="A1169" s="7" t="str">
        <x:v>INV01164</x:v>
      </x:c>
      <x:c r="B1169" s="15" t="d">
        <x:v>2026-01-04T00:00:00.000Z</x:v>
      </x:c>
      <x:c r="C1169" s="14" t="d">
        <x:v>2026-01-01T00:00:00.000Z</x:v>
      </x:c>
      <x:c r="D1169" s="34" t="str">
        <x:v>0005</x:v>
      </x:c>
      <x:c r="E1169" s="7" t="str">
        <x:v>East</x:v>
      </x:c>
      <x:c r="F1169" s="7" t="n">
        <x:v>5</x:v>
      </x:c>
      <x:c r="G1169" s="7" t="n">
        <x:v>240</x:v>
      </x:c>
      <x:c r="H1169" s="9" t="n">
        <x:v>0</x:v>
      </x:c>
      <x:c r="I1169" s="7" t="n">
        <x:v>1200</x:v>
      </x:c>
    </x:row>
    <x:row r="1170" ht="23" customHeight="1">
      <x:c r="A1170" s="7" t="str">
        <x:v>INV01165</x:v>
      </x:c>
      <x:c r="B1170" s="15" t="d">
        <x:v>2026-01-05T00:00:00.000Z</x:v>
      </x:c>
      <x:c r="C1170" s="14" t="d">
        <x:v>2026-01-01T00:00:00.000Z</x:v>
      </x:c>
      <x:c r="D1170" s="34" t="str">
        <x:v>0006</x:v>
      </x:c>
      <x:c r="E1170" s="7" t="str">
        <x:v>East</x:v>
      </x:c>
      <x:c r="F1170" s="7" t="n">
        <x:v>7</x:v>
      </x:c>
      <x:c r="G1170" s="7" t="n">
        <x:v>260</x:v>
      </x:c>
      <x:c r="H1170" s="9" t="n">
        <x:v>0.02</x:v>
      </x:c>
      <x:c r="I1170" s="7" t="n">
        <x:v>1783.6</x:v>
      </x:c>
    </x:row>
    <x:row r="1171" ht="23" customHeight="1">
      <x:c r="A1171" s="7" t="str">
        <x:v>INV01166</x:v>
      </x:c>
      <x:c r="B1171" s="15" t="d">
        <x:v>2026-01-06T00:00:00.000Z</x:v>
      </x:c>
      <x:c r="C1171" s="14" t="d">
        <x:v>2026-01-01T00:00:00.000Z</x:v>
      </x:c>
      <x:c r="D1171" s="34" t="str">
        <x:v>0007</x:v>
      </x:c>
      <x:c r="E1171" s="7" t="str">
        <x:v>East</x:v>
      </x:c>
      <x:c r="F1171" s="7" t="n">
        <x:v>1</x:v>
      </x:c>
      <x:c r="G1171" s="7" t="n">
        <x:v>280</x:v>
      </x:c>
      <x:c r="H1171" s="9" t="n">
        <x:v>0.05</x:v>
      </x:c>
      <x:c r="I1171" s="7" t="n">
        <x:v>266</x:v>
      </x:c>
    </x:row>
    <x:row r="1172" ht="23" customHeight="1">
      <x:c r="A1172" s="7" t="str">
        <x:v>INV01167</x:v>
      </x:c>
      <x:c r="B1172" s="15" t="d">
        <x:v>2026-01-07T00:00:00.000Z</x:v>
      </x:c>
      <x:c r="C1172" s="14" t="d">
        <x:v>2026-01-01T00:00:00.000Z</x:v>
      </x:c>
      <x:c r="D1172" s="34" t="str">
        <x:v>0008</x:v>
      </x:c>
      <x:c r="E1172" s="7" t="str">
        <x:v>East</x:v>
      </x:c>
      <x:c r="F1172" s="7" t="n">
        <x:v>3</x:v>
      </x:c>
      <x:c r="G1172" s="7" t="n">
        <x:v>300</x:v>
      </x:c>
      <x:c r="H1172" s="9" t="n">
        <x:v>0</x:v>
      </x:c>
      <x:c r="I1172" s="7" t="n">
        <x:v>900</x:v>
      </x:c>
    </x:row>
    <x:row r="1173" ht="23" customHeight="1">
      <x:c r="A1173" s="7" t="str">
        <x:v>INV01168</x:v>
      </x:c>
      <x:c r="B1173" s="15" t="d">
        <x:v>2026-01-08T00:00:00.000Z</x:v>
      </x:c>
      <x:c r="C1173" s="14" t="d">
        <x:v>2026-01-01T00:00:00.000Z</x:v>
      </x:c>
      <x:c r="D1173" s="34" t="str">
        <x:v>0001</x:v>
      </x:c>
      <x:c r="E1173" s="7" t="str">
        <x:v>West</x:v>
      </x:c>
      <x:c r="F1173" s="7" t="n">
        <x:v>3</x:v>
      </x:c>
      <x:c r="G1173" s="7" t="n">
        <x:v>160</x:v>
      </x:c>
      <x:c r="H1173" s="9" t="n">
        <x:v>0.02</x:v>
      </x:c>
      <x:c r="I1173" s="7" t="n">
        <x:v>470.4</x:v>
      </x:c>
    </x:row>
    <x:row r="1174" ht="23" customHeight="1">
      <x:c r="A1174" s="7" t="str">
        <x:v>INV01169</x:v>
      </x:c>
      <x:c r="B1174" s="15" t="d">
        <x:v>2026-01-09T00:00:00.000Z</x:v>
      </x:c>
      <x:c r="C1174" s="14" t="d">
        <x:v>2026-01-01T00:00:00.000Z</x:v>
      </x:c>
      <x:c r="D1174" s="34" t="str">
        <x:v>0002</x:v>
      </x:c>
      <x:c r="E1174" s="7" t="str">
        <x:v>West</x:v>
      </x:c>
      <x:c r="F1174" s="7" t="n">
        <x:v>2</x:v>
      </x:c>
      <x:c r="G1174" s="7" t="n">
        <x:v>180</x:v>
      </x:c>
      <x:c r="H1174" s="9" t="n">
        <x:v>0.05</x:v>
      </x:c>
      <x:c r="I1174" s="7" t="n">
        <x:v>342</x:v>
      </x:c>
    </x:row>
    <x:row r="1175" ht="23" customHeight="1">
      <x:c r="A1175" s="7" t="str">
        <x:v>INV01170</x:v>
      </x:c>
      <x:c r="B1175" s="15" t="d">
        <x:v>2026-01-10T00:00:00.000Z</x:v>
      </x:c>
      <x:c r="C1175" s="14" t="d">
        <x:v>2026-01-01T00:00:00.000Z</x:v>
      </x:c>
      <x:c r="D1175" s="34" t="str">
        <x:v>0003</x:v>
      </x:c>
      <x:c r="E1175" s="7" t="str">
        <x:v>West</x:v>
      </x:c>
      <x:c r="F1175" s="7" t="n">
        <x:v>7</x:v>
      </x:c>
      <x:c r="G1175" s="7" t="n">
        <x:v>200</x:v>
      </x:c>
      <x:c r="H1175" s="9" t="n">
        <x:v>0</x:v>
      </x:c>
      <x:c r="I1175" s="7" t="n">
        <x:v>1400</x:v>
      </x:c>
    </x:row>
    <x:row r="1176" ht="23" customHeight="1">
      <x:c r="A1176" s="7" t="str">
        <x:v>INV01171</x:v>
      </x:c>
      <x:c r="B1176" s="15" t="d">
        <x:v>2026-01-11T00:00:00.000Z</x:v>
      </x:c>
      <x:c r="C1176" s="14" t="d">
        <x:v>2026-01-01T00:00:00.000Z</x:v>
      </x:c>
      <x:c r="D1176" s="34" t="str">
        <x:v>0004</x:v>
      </x:c>
      <x:c r="E1176" s="7" t="str">
        <x:v>West</x:v>
      </x:c>
      <x:c r="F1176" s="7" t="n">
        <x:v>6</x:v>
      </x:c>
      <x:c r="G1176" s="7" t="n">
        <x:v>220</x:v>
      </x:c>
      <x:c r="H1176" s="9" t="n">
        <x:v>0.02</x:v>
      </x:c>
      <x:c r="I1176" s="7" t="n">
        <x:v>1293.6</x:v>
      </x:c>
    </x:row>
    <x:row r="1177" ht="23" customHeight="1">
      <x:c r="A1177" s="7" t="str">
        <x:v>INV01172</x:v>
      </x:c>
      <x:c r="B1177" s="15" t="d">
        <x:v>2026-01-12T00:00:00.000Z</x:v>
      </x:c>
      <x:c r="C1177" s="14" t="d">
        <x:v>2026-01-01T00:00:00.000Z</x:v>
      </x:c>
      <x:c r="D1177" s="34" t="str">
        <x:v>0005</x:v>
      </x:c>
      <x:c r="E1177" s="7" t="str">
        <x:v>West</x:v>
      </x:c>
      <x:c r="F1177" s="7" t="n">
        <x:v>2</x:v>
      </x:c>
      <x:c r="G1177" s="7" t="n">
        <x:v>240</x:v>
      </x:c>
      <x:c r="H1177" s="9" t="n">
        <x:v>0.05</x:v>
      </x:c>
      <x:c r="I1177" s="7" t="n">
        <x:v>456</x:v>
      </x:c>
    </x:row>
    <x:row r="1178" ht="23" customHeight="1">
      <x:c r="A1178" s="7" t="str">
        <x:v>INV01173</x:v>
      </x:c>
      <x:c r="B1178" s="15" t="d">
        <x:v>2026-01-13T00:00:00.000Z</x:v>
      </x:c>
      <x:c r="C1178" s="14" t="d">
        <x:v>2026-01-01T00:00:00.000Z</x:v>
      </x:c>
      <x:c r="D1178" s="34" t="str">
        <x:v>0006</x:v>
      </x:c>
      <x:c r="E1178" s="7" t="str">
        <x:v>West</x:v>
      </x:c>
      <x:c r="F1178" s="7" t="n">
        <x:v>5</x:v>
      </x:c>
      <x:c r="G1178" s="7" t="n">
        <x:v>260</x:v>
      </x:c>
      <x:c r="H1178" s="9" t="n">
        <x:v>0</x:v>
      </x:c>
      <x:c r="I1178" s="7" t="n">
        <x:v>1300</x:v>
      </x:c>
    </x:row>
    <x:row r="1179" ht="23" customHeight="1">
      <x:c r="A1179" s="7" t="str">
        <x:v>INV01174</x:v>
      </x:c>
      <x:c r="B1179" s="15" t="d">
        <x:v>2026-01-14T00:00:00.000Z</x:v>
      </x:c>
      <x:c r="C1179" s="14" t="d">
        <x:v>2026-01-01T00:00:00.000Z</x:v>
      </x:c>
      <x:c r="D1179" s="34" t="str">
        <x:v>0007</x:v>
      </x:c>
      <x:c r="E1179" s="7" t="str">
        <x:v>West</x:v>
      </x:c>
      <x:c r="F1179" s="7" t="n">
        <x:v>4</x:v>
      </x:c>
      <x:c r="G1179" s="7" t="n">
        <x:v>280</x:v>
      </x:c>
      <x:c r="H1179" s="9" t="n">
        <x:v>0.02</x:v>
      </x:c>
      <x:c r="I1179" s="7" t="n">
        <x:v>1097.6</x:v>
      </x:c>
    </x:row>
    <x:row r="1180" ht="23" customHeight="1">
      <x:c r="A1180" s="7" t="str">
        <x:v>INV01175</x:v>
      </x:c>
      <x:c r="B1180" s="15" t="d">
        <x:v>2026-01-15T00:00:00.000Z</x:v>
      </x:c>
      <x:c r="C1180" s="14" t="d">
        <x:v>2026-01-01T00:00:00.000Z</x:v>
      </x:c>
      <x:c r="D1180" s="34" t="str">
        <x:v>0008</x:v>
      </x:c>
      <x:c r="E1180" s="7" t="str">
        <x:v>West</x:v>
      </x:c>
      <x:c r="F1180" s="7" t="n">
        <x:v>1</x:v>
      </x:c>
      <x:c r="G1180" s="7" t="n">
        <x:v>300</x:v>
      </x:c>
      <x:c r="H1180" s="9" t="n">
        <x:v>0.05</x:v>
      </x:c>
      <x:c r="I1180" s="7" t="n">
        <x:v>285</x:v>
      </x:c>
    </x:row>
    <x:row r="1181" ht="23" customHeight="1">
      <x:c r="A1181" s="7" t="str">
        <x:v>INV01176</x:v>
      </x:c>
      <x:c r="B1181" s="15" t="d">
        <x:v>2026-01-16T00:00:00.000Z</x:v>
      </x:c>
      <x:c r="C1181" s="14" t="d">
        <x:v>2026-01-01T00:00:00.000Z</x:v>
      </x:c>
      <x:c r="D1181" s="34" t="str">
        <x:v>0001</x:v>
      </x:c>
      <x:c r="E1181" s="7" t="str">
        <x:v>North</x:v>
      </x:c>
      <x:c r="F1181" s="7" t="n">
        <x:v>1</x:v>
      </x:c>
      <x:c r="G1181" s="7" t="n">
        <x:v>160</x:v>
      </x:c>
      <x:c r="H1181" s="9" t="n">
        <x:v>0</x:v>
      </x:c>
      <x:c r="I1181" s="7" t="n">
        <x:v>160</x:v>
      </x:c>
    </x:row>
    <x:row r="1182" ht="23" customHeight="1">
      <x:c r="A1182" s="7" t="str">
        <x:v>INV01177</x:v>
      </x:c>
      <x:c r="B1182" s="15" t="d">
        <x:v>2026-01-17T00:00:00.000Z</x:v>
      </x:c>
      <x:c r="C1182" s="14" t="d">
        <x:v>2026-01-01T00:00:00.000Z</x:v>
      </x:c>
      <x:c r="D1182" s="34" t="str">
        <x:v>0002</x:v>
      </x:c>
      <x:c r="E1182" s="7" t="str">
        <x:v>North</x:v>
      </x:c>
      <x:c r="F1182" s="7" t="n">
        <x:v>7</x:v>
      </x:c>
      <x:c r="G1182" s="7" t="n">
        <x:v>180</x:v>
      </x:c>
      <x:c r="H1182" s="9" t="n">
        <x:v>0.02</x:v>
      </x:c>
      <x:c r="I1182" s="7" t="n">
        <x:v>1234.8</x:v>
      </x:c>
    </x:row>
    <x:row r="1183" ht="23" customHeight="1">
      <x:c r="A1183" s="7" t="str">
        <x:v>INV01178</x:v>
      </x:c>
      <x:c r="B1183" s="15" t="d">
        <x:v>2026-01-18T00:00:00.000Z</x:v>
      </x:c>
      <x:c r="C1183" s="14" t="d">
        <x:v>2026-01-01T00:00:00.000Z</x:v>
      </x:c>
      <x:c r="D1183" s="34" t="str">
        <x:v>0003</x:v>
      </x:c>
      <x:c r="E1183" s="7" t="str">
        <x:v>North</x:v>
      </x:c>
      <x:c r="F1183" s="7" t="n">
        <x:v>3</x:v>
      </x:c>
      <x:c r="G1183" s="7" t="n">
        <x:v>200</x:v>
      </x:c>
      <x:c r="H1183" s="9" t="n">
        <x:v>0.05</x:v>
      </x:c>
      <x:c r="I1183" s="7" t="n">
        <x:v>570</x:v>
      </x:c>
    </x:row>
    <x:row r="1184" ht="23" customHeight="1">
      <x:c r="A1184" s="7" t="str">
        <x:v>INV01179</x:v>
      </x:c>
      <x:c r="B1184" s="15" t="d">
        <x:v>2026-01-19T00:00:00.000Z</x:v>
      </x:c>
      <x:c r="C1184" s="14" t="d">
        <x:v>2026-01-01T00:00:00.000Z</x:v>
      </x:c>
      <x:c r="D1184" s="34" t="str">
        <x:v>0004</x:v>
      </x:c>
      <x:c r="E1184" s="7" t="str">
        <x:v>North</x:v>
      </x:c>
      <x:c r="F1184" s="7" t="n">
        <x:v>6</x:v>
      </x:c>
      <x:c r="G1184" s="7" t="n">
        <x:v>220</x:v>
      </x:c>
      <x:c r="H1184" s="9" t="n">
        <x:v>0</x:v>
      </x:c>
      <x:c r="I1184" s="7" t="n">
        <x:v>1320</x:v>
      </x:c>
    </x:row>
    <x:row r="1185" ht="23" customHeight="1">
      <x:c r="A1185" s="7" t="str">
        <x:v>INV01180</x:v>
      </x:c>
      <x:c r="B1185" s="15" t="d">
        <x:v>2026-01-20T00:00:00.000Z</x:v>
      </x:c>
      <x:c r="C1185" s="14" t="d">
        <x:v>2026-01-01T00:00:00.000Z</x:v>
      </x:c>
      <x:c r="D1185" s="34" t="str">
        <x:v>0005</x:v>
      </x:c>
      <x:c r="E1185" s="7" t="str">
        <x:v>North</x:v>
      </x:c>
      <x:c r="F1185" s="7" t="n">
        <x:v>4</x:v>
      </x:c>
      <x:c r="G1185" s="7" t="n">
        <x:v>240</x:v>
      </x:c>
      <x:c r="H1185" s="9" t="n">
        <x:v>0.02</x:v>
      </x:c>
      <x:c r="I1185" s="7" t="n">
        <x:v>940.8</x:v>
      </x:c>
    </x:row>
    <x:row r="1186" ht="23" customHeight="1">
      <x:c r="A1186" s="7" t="str">
        <x:v>INV01181</x:v>
      </x:c>
      <x:c r="B1186" s="15" t="d">
        <x:v>2026-01-21T00:00:00.000Z</x:v>
      </x:c>
      <x:c r="C1186" s="14" t="d">
        <x:v>2026-01-01T00:00:00.000Z</x:v>
      </x:c>
      <x:c r="D1186" s="34" t="str">
        <x:v>0006</x:v>
      </x:c>
      <x:c r="E1186" s="7" t="str">
        <x:v>North</x:v>
      </x:c>
      <x:c r="F1186" s="7" t="n">
        <x:v>4</x:v>
      </x:c>
      <x:c r="G1186" s="7" t="n">
        <x:v>260</x:v>
      </x:c>
      <x:c r="H1186" s="9" t="n">
        <x:v>0.05</x:v>
      </x:c>
      <x:c r="I1186" s="7" t="n">
        <x:v>988</x:v>
      </x:c>
    </x:row>
    <x:row r="1187" ht="23" customHeight="1">
      <x:c r="A1187" s="7" t="str">
        <x:v>INV01182</x:v>
      </x:c>
      <x:c r="B1187" s="15" t="d">
        <x:v>2026-01-22T00:00:00.000Z</x:v>
      </x:c>
      <x:c r="C1187" s="14" t="d">
        <x:v>2026-01-01T00:00:00.000Z</x:v>
      </x:c>
      <x:c r="D1187" s="34" t="str">
        <x:v>0007</x:v>
      </x:c>
      <x:c r="E1187" s="7" t="str">
        <x:v>North</x:v>
      </x:c>
      <x:c r="F1187" s="7" t="n">
        <x:v>1</x:v>
      </x:c>
      <x:c r="G1187" s="7" t="n">
        <x:v>280</x:v>
      </x:c>
      <x:c r="H1187" s="9" t="n">
        <x:v>0</x:v>
      </x:c>
      <x:c r="I1187" s="7" t="n">
        <x:v>280</x:v>
      </x:c>
    </x:row>
    <x:row r="1188" ht="23" customHeight="1">
      <x:c r="A1188" s="7" t="str">
        <x:v>INV01183</x:v>
      </x:c>
      <x:c r="B1188" s="15" t="d">
        <x:v>2026-01-23T00:00:00.000Z</x:v>
      </x:c>
      <x:c r="C1188" s="14" t="d">
        <x:v>2026-01-01T00:00:00.000Z</x:v>
      </x:c>
      <x:c r="D1188" s="34" t="str">
        <x:v>0008</x:v>
      </x:c>
      <x:c r="E1188" s="7" t="str">
        <x:v>North</x:v>
      </x:c>
      <x:c r="F1188" s="7" t="n">
        <x:v>4</x:v>
      </x:c>
      <x:c r="G1188" s="7" t="n">
        <x:v>300</x:v>
      </x:c>
      <x:c r="H1188" s="9" t="n">
        <x:v>0.02</x:v>
      </x:c>
      <x:c r="I1188" s="7" t="n">
        <x:v>1176</x:v>
      </x:c>
    </x:row>
    <x:row r="1189" ht="23" customHeight="1">
      <x:c r="A1189" s="7" t="str">
        <x:v>INV01184</x:v>
      </x:c>
      <x:c r="B1189" s="15" t="d">
        <x:v>2026-02-24T00:00:00.000Z</x:v>
      </x:c>
      <x:c r="C1189" s="14" t="d">
        <x:v>2026-02-01T00:00:00.000Z</x:v>
      </x:c>
      <x:c r="D1189" s="34" t="str">
        <x:v>0001</x:v>
      </x:c>
      <x:c r="E1189" s="7" t="str">
        <x:v>Central</x:v>
      </x:c>
      <x:c r="F1189" s="7" t="n">
        <x:v>6</x:v>
      </x:c>
      <x:c r="G1189" s="7" t="n">
        <x:v>160</x:v>
      </x:c>
      <x:c r="H1189" s="9" t="n">
        <x:v>0.05</x:v>
      </x:c>
      <x:c r="I1189" s="7" t="n">
        <x:v>912</x:v>
      </x:c>
    </x:row>
    <x:row r="1190" ht="23" customHeight="1">
      <x:c r="A1190" s="7" t="str">
        <x:v>INV01185</x:v>
      </x:c>
      <x:c r="B1190" s="15" t="d">
        <x:v>2026-02-25T00:00:00.000Z</x:v>
      </x:c>
      <x:c r="C1190" s="14" t="d">
        <x:v>2026-02-01T00:00:00.000Z</x:v>
      </x:c>
      <x:c r="D1190" s="34" t="str">
        <x:v>0002</x:v>
      </x:c>
      <x:c r="E1190" s="7" t="str">
        <x:v>Central</x:v>
      </x:c>
      <x:c r="F1190" s="7" t="n">
        <x:v>1</x:v>
      </x:c>
      <x:c r="G1190" s="7" t="n">
        <x:v>180</x:v>
      </x:c>
      <x:c r="H1190" s="9" t="n">
        <x:v>0</x:v>
      </x:c>
      <x:c r="I1190" s="7" t="n">
        <x:v>180</x:v>
      </x:c>
    </x:row>
    <x:row r="1191" ht="23" customHeight="1">
      <x:c r="A1191" s="7" t="str">
        <x:v>INV01186</x:v>
      </x:c>
      <x:c r="B1191" s="15" t="d">
        <x:v>2026-02-26T00:00:00.000Z</x:v>
      </x:c>
      <x:c r="C1191" s="14" t="d">
        <x:v>2026-02-01T00:00:00.000Z</x:v>
      </x:c>
      <x:c r="D1191" s="34" t="str">
        <x:v>0003</x:v>
      </x:c>
      <x:c r="E1191" s="7" t="str">
        <x:v>Central</x:v>
      </x:c>
      <x:c r="F1191" s="7" t="n">
        <x:v>7</x:v>
      </x:c>
      <x:c r="G1191" s="7" t="n">
        <x:v>200</x:v>
      </x:c>
      <x:c r="H1191" s="9" t="n">
        <x:v>0.02</x:v>
      </x:c>
      <x:c r="I1191" s="7" t="n">
        <x:v>1372</x:v>
      </x:c>
    </x:row>
    <x:row r="1192" ht="23" customHeight="1">
      <x:c r="A1192" s="7" t="str">
        <x:v>INV01187</x:v>
      </x:c>
      <x:c r="B1192" s="15" t="d">
        <x:v>2026-02-27T00:00:00.000Z</x:v>
      </x:c>
      <x:c r="C1192" s="14" t="d">
        <x:v>2026-02-01T00:00:00.000Z</x:v>
      </x:c>
      <x:c r="D1192" s="34" t="str">
        <x:v>0004</x:v>
      </x:c>
      <x:c r="E1192" s="7" t="str">
        <x:v>Central</x:v>
      </x:c>
      <x:c r="F1192" s="7" t="n">
        <x:v>3</x:v>
      </x:c>
      <x:c r="G1192" s="7" t="n">
        <x:v>220</x:v>
      </x:c>
      <x:c r="H1192" s="9" t="n">
        <x:v>0.05</x:v>
      </x:c>
      <x:c r="I1192" s="7" t="n">
        <x:v>627</x:v>
      </x:c>
    </x:row>
    <x:row r="1193" ht="23" customHeight="1">
      <x:c r="A1193" s="7" t="str">
        <x:v>INV01188</x:v>
      </x:c>
      <x:c r="B1193" s="15" t="d">
        <x:v>2026-02-01T00:00:00.000Z</x:v>
      </x:c>
      <x:c r="C1193" s="14" t="d">
        <x:v>2026-02-01T00:00:00.000Z</x:v>
      </x:c>
      <x:c r="D1193" s="34" t="str">
        <x:v>0005</x:v>
      </x:c>
      <x:c r="E1193" s="7" t="str">
        <x:v>Central</x:v>
      </x:c>
      <x:c r="F1193" s="7" t="n">
        <x:v>2</x:v>
      </x:c>
      <x:c r="G1193" s="7" t="n">
        <x:v>240</x:v>
      </x:c>
      <x:c r="H1193" s="9" t="n">
        <x:v>0</x:v>
      </x:c>
      <x:c r="I1193" s="7" t="n">
        <x:v>480</x:v>
      </x:c>
    </x:row>
    <x:row r="1194" ht="23" customHeight="1">
      <x:c r="A1194" s="7" t="str">
        <x:v>INV01189</x:v>
      </x:c>
      <x:c r="B1194" s="15" t="d">
        <x:v>2026-02-02T00:00:00.000Z</x:v>
      </x:c>
      <x:c r="C1194" s="14" t="d">
        <x:v>2026-02-01T00:00:00.000Z</x:v>
      </x:c>
      <x:c r="D1194" s="34" t="str">
        <x:v>0006</x:v>
      </x:c>
      <x:c r="E1194" s="7" t="str">
        <x:v>Central</x:v>
      </x:c>
      <x:c r="F1194" s="7" t="n">
        <x:v>-6</x:v>
      </x:c>
      <x:c r="G1194" s="7" t="n">
        <x:v>260</x:v>
      </x:c>
      <x:c r="H1194" s="9" t="n">
        <x:v>0.02</x:v>
      </x:c>
      <x:c r="I1194" s="7" t="n">
        <x:v>-1528.8</x:v>
      </x:c>
    </x:row>
    <x:row r="1195" ht="23" customHeight="1">
      <x:c r="A1195" s="7" t="str">
        <x:v>INV01190</x:v>
      </x:c>
      <x:c r="B1195" s="15" t="d">
        <x:v>2026-02-03T00:00:00.000Z</x:v>
      </x:c>
      <x:c r="C1195" s="14" t="d">
        <x:v>2026-02-01T00:00:00.000Z</x:v>
      </x:c>
      <x:c r="D1195" s="34" t="str">
        <x:v>0007</x:v>
      </x:c>
      <x:c r="E1195" s="7" t="str">
        <x:v>Central</x:v>
      </x:c>
      <x:c r="F1195" s="7" t="n">
        <x:v>6</x:v>
      </x:c>
      <x:c r="G1195" s="7" t="n">
        <x:v>280</x:v>
      </x:c>
      <x:c r="H1195" s="9" t="n">
        <x:v>0.05</x:v>
      </x:c>
      <x:c r="I1195" s="7" t="n">
        <x:v>1596</x:v>
      </x:c>
    </x:row>
    <x:row r="1196" ht="23" customHeight="1">
      <x:c r="A1196" s="7" t="str">
        <x:v>INV01191</x:v>
      </x:c>
      <x:c r="B1196" s="15" t="d">
        <x:v>2026-02-04T00:00:00.000Z</x:v>
      </x:c>
      <x:c r="C1196" s="14" t="d">
        <x:v>2026-02-01T00:00:00.000Z</x:v>
      </x:c>
      <x:c r="D1196" s="34" t="str">
        <x:v>0008</x:v>
      </x:c>
      <x:c r="E1196" s="7" t="str">
        <x:v>Central</x:v>
      </x:c>
      <x:c r="F1196" s="7" t="n">
        <x:v>5</x:v>
      </x:c>
      <x:c r="G1196" s="7" t="n">
        <x:v>300</x:v>
      </x:c>
      <x:c r="H1196" s="9" t="n">
        <x:v>0</x:v>
      </x:c>
      <x:c r="I1196" s="7" t="n">
        <x:v>1500</x:v>
      </x:c>
    </x:row>
    <x:row r="1197" ht="23" customHeight="1">
      <x:c r="A1197" s="7" t="str">
        <x:v>INV01192</x:v>
      </x:c>
      <x:c r="B1197" s="15" t="d">
        <x:v>2026-02-05T00:00:00.000Z</x:v>
      </x:c>
      <x:c r="C1197" s="14" t="d">
        <x:v>2026-02-01T00:00:00.000Z</x:v>
      </x:c>
      <x:c r="D1197" s="34" t="str">
        <x:v>0001</x:v>
      </x:c>
      <x:c r="E1197" s="7" t="str">
        <x:v>East</x:v>
      </x:c>
      <x:c r="F1197" s="7" t="n">
        <x:v>3</x:v>
      </x:c>
      <x:c r="G1197" s="7" t="n">
        <x:v>160</x:v>
      </x:c>
      <x:c r="H1197" s="9" t="n">
        <x:v>0.02</x:v>
      </x:c>
      <x:c r="I1197" s="7" t="n">
        <x:v>470.4</x:v>
      </x:c>
    </x:row>
    <x:row r="1198" ht="23" customHeight="1">
      <x:c r="A1198" s="7" t="str">
        <x:v>INV01193</x:v>
      </x:c>
      <x:c r="B1198" s="15" t="d">
        <x:v>2026-02-06T00:00:00.000Z</x:v>
      </x:c>
      <x:c r="C1198" s="14" t="d">
        <x:v>2026-02-01T00:00:00.000Z</x:v>
      </x:c>
      <x:c r="D1198" s="34" t="str">
        <x:v>0002</x:v>
      </x:c>
      <x:c r="E1198" s="7" t="str">
        <x:v>East</x:v>
      </x:c>
      <x:c r="F1198" s="7" t="n">
        <x:v>3</x:v>
      </x:c>
      <x:c r="G1198" s="7" t="n">
        <x:v>180</x:v>
      </x:c>
      <x:c r="H1198" s="9" t="n">
        <x:v>0.05</x:v>
      </x:c>
      <x:c r="I1198" s="7" t="n">
        <x:v>513</x:v>
      </x:c>
    </x:row>
    <x:row r="1199" ht="23" customHeight="1">
      <x:c r="A1199" s="7" t="str">
        <x:v>INV01194</x:v>
      </x:c>
      <x:c r="B1199" s="15" t="d">
        <x:v>2026-02-07T00:00:00.000Z</x:v>
      </x:c>
      <x:c r="C1199" s="14" t="d">
        <x:v>2026-02-01T00:00:00.000Z</x:v>
      </x:c>
      <x:c r="D1199" s="34" t="str">
        <x:v>0003</x:v>
      </x:c>
      <x:c r="E1199" s="7" t="str">
        <x:v>East</x:v>
      </x:c>
      <x:c r="F1199" s="7" t="n">
        <x:v>4</x:v>
      </x:c>
      <x:c r="G1199" s="7" t="n">
        <x:v>200</x:v>
      </x:c>
      <x:c r="H1199" s="9" t="n">
        <x:v>0</x:v>
      </x:c>
      <x:c r="I1199" s="7" t="n">
        <x:v>800</x:v>
      </x:c>
    </x:row>
    <x:row r="1200" ht="23" customHeight="1">
      <x:c r="A1200" s="7" t="str">
        <x:v>INV01195</x:v>
      </x:c>
      <x:c r="B1200" s="15" t="d">
        <x:v>2026-02-08T00:00:00.000Z</x:v>
      </x:c>
      <x:c r="C1200" s="14" t="d">
        <x:v>2026-02-01T00:00:00.000Z</x:v>
      </x:c>
      <x:c r="D1200" s="34" t="str">
        <x:v>0004</x:v>
      </x:c>
      <x:c r="E1200" s="7" t="str">
        <x:v>East</x:v>
      </x:c>
      <x:c r="F1200" s="7" t="n">
        <x:v>6</x:v>
      </x:c>
      <x:c r="G1200" s="7" t="n">
        <x:v>220</x:v>
      </x:c>
      <x:c r="H1200" s="9" t="n">
        <x:v>0.02</x:v>
      </x:c>
      <x:c r="I1200" s="7" t="n">
        <x:v>1293.6</x:v>
      </x:c>
    </x:row>
    <x:row r="1201" ht="23" customHeight="1">
      <x:c r="A1201" s="7" t="str">
        <x:v>INV01196</x:v>
      </x:c>
      <x:c r="B1201" s="15" t="d">
        <x:v>2026-02-09T00:00:00.000Z</x:v>
      </x:c>
      <x:c r="C1201" s="14" t="d">
        <x:v>2026-02-01T00:00:00.000Z</x:v>
      </x:c>
      <x:c r="D1201" s="34" t="str">
        <x:v>0005</x:v>
      </x:c>
      <x:c r="E1201" s="7" t="str">
        <x:v>East</x:v>
      </x:c>
      <x:c r="F1201" s="7" t="n">
        <x:v>3</x:v>
      </x:c>
      <x:c r="G1201" s="7" t="n">
        <x:v>240</x:v>
      </x:c>
      <x:c r="H1201" s="9" t="n">
        <x:v>0.05</x:v>
      </x:c>
      <x:c r="I1201" s="7" t="n">
        <x:v>684</x:v>
      </x:c>
    </x:row>
    <x:row r="1202" ht="23" customHeight="1">
      <x:c r="A1202" s="7" t="str">
        <x:v>INV01197</x:v>
      </x:c>
      <x:c r="B1202" s="15" t="d">
        <x:v>2026-02-10T00:00:00.000Z</x:v>
      </x:c>
      <x:c r="C1202" s="14" t="d">
        <x:v>2026-02-01T00:00:00.000Z</x:v>
      </x:c>
      <x:c r="D1202" s="34" t="str">
        <x:v>0006</x:v>
      </x:c>
      <x:c r="E1202" s="7" t="str">
        <x:v>East</x:v>
      </x:c>
      <x:c r="F1202" s="7" t="n">
        <x:v>5</x:v>
      </x:c>
      <x:c r="G1202" s="7" t="n">
        <x:v>260</x:v>
      </x:c>
      <x:c r="H1202" s="9" t="n">
        <x:v>0</x:v>
      </x:c>
      <x:c r="I1202" s="7" t="n">
        <x:v>1300</x:v>
      </x:c>
    </x:row>
    <x:row r="1203" ht="23" customHeight="1">
      <x:c r="A1203" s="7" t="str">
        <x:v>INV01198</x:v>
      </x:c>
      <x:c r="B1203" s="15" t="d">
        <x:v>2026-02-11T00:00:00.000Z</x:v>
      </x:c>
      <x:c r="C1203" s="14" t="d">
        <x:v>2026-02-01T00:00:00.000Z</x:v>
      </x:c>
      <x:c r="D1203" s="34" t="str">
        <x:v>0007</x:v>
      </x:c>
      <x:c r="E1203" s="7" t="str">
        <x:v>East</x:v>
      </x:c>
      <x:c r="F1203" s="7" t="n">
        <x:v>6</x:v>
      </x:c>
      <x:c r="G1203" s="7" t="n">
        <x:v>280</x:v>
      </x:c>
      <x:c r="H1203" s="9" t="n">
        <x:v>0.02</x:v>
      </x:c>
      <x:c r="I1203" s="7" t="n">
        <x:v>1646.4</x:v>
      </x:c>
    </x:row>
    <x:row r="1204" ht="23" customHeight="1">
      <x:c r="A1204" s="7" t="str">
        <x:v>INV01199</x:v>
      </x:c>
      <x:c r="B1204" s="15" t="d">
        <x:v>2026-02-12T00:00:00.000Z</x:v>
      </x:c>
      <x:c r="C1204" s="14" t="d">
        <x:v>2026-02-01T00:00:00.000Z</x:v>
      </x:c>
      <x:c r="D1204" s="34" t="str">
        <x:v>0008</x:v>
      </x:c>
      <x:c r="E1204" s="7" t="str">
        <x:v>East</x:v>
      </x:c>
      <x:c r="F1204" s="7" t="n">
        <x:v>5</x:v>
      </x:c>
      <x:c r="G1204" s="7" t="n">
        <x:v>300</x:v>
      </x:c>
      <x:c r="H1204" s="9" t="n">
        <x:v>0.05</x:v>
      </x:c>
      <x:c r="I1204" s="7" t="n">
        <x:v>1425</x:v>
      </x:c>
    </x:row>
    <x:row r="1205" ht="23" customHeight="1">
      <x:c r="A1205" s="7" t="str">
        <x:v>INV01200</x:v>
      </x:c>
      <x:c r="B1205" s="15" t="d">
        <x:v>2026-02-13T00:00:00.000Z</x:v>
      </x:c>
      <x:c r="C1205" s="14" t="d">
        <x:v>2026-02-01T00:00:00.000Z</x:v>
      </x:c>
      <x:c r="D1205" s="34" t="str">
        <x:v>0001</x:v>
      </x:c>
      <x:c r="E1205" s="7" t="str">
        <x:v>West</x:v>
      </x:c>
      <x:c r="F1205" s="7" t="n">
        <x:v>7</x:v>
      </x:c>
      <x:c r="G1205" s="7" t="n">
        <x:v>160</x:v>
      </x:c>
      <x:c r="H1205" s="9" t="n">
        <x:v>0</x:v>
      </x:c>
      <x:c r="I1205" s="7" t="n">
        <x:v>1120</x:v>
      </x:c>
    </x:row>
    <x:row r="1206" ht="23" customHeight="1">
      <x:c r="A1206" s="7" t="str">
        <x:v>INV01201</x:v>
      </x:c>
      <x:c r="B1206" s="15" t="d">
        <x:v>2026-02-14T00:00:00.000Z</x:v>
      </x:c>
      <x:c r="C1206" s="14" t="d">
        <x:v>2026-02-01T00:00:00.000Z</x:v>
      </x:c>
      <x:c r="D1206" s="34" t="str">
        <x:v>0002</x:v>
      </x:c>
      <x:c r="E1206" s="7" t="str">
        <x:v>West</x:v>
      </x:c>
      <x:c r="F1206" s="7" t="n">
        <x:v>2</x:v>
      </x:c>
      <x:c r="G1206" s="7" t="n">
        <x:v>180</x:v>
      </x:c>
      <x:c r="H1206" s="9" t="n">
        <x:v>0.02</x:v>
      </x:c>
      <x:c r="I1206" s="7" t="n">
        <x:v>352.8</x:v>
      </x:c>
    </x:row>
    <x:row r="1207" ht="23" customHeight="1">
      <x:c r="A1207" s="7" t="str">
        <x:v>INV01202</x:v>
      </x:c>
      <x:c r="B1207" s="15" t="d">
        <x:v>2026-02-15T00:00:00.000Z</x:v>
      </x:c>
      <x:c r="C1207" s="14" t="d">
        <x:v>2026-02-01T00:00:00.000Z</x:v>
      </x:c>
      <x:c r="D1207" s="34" t="str">
        <x:v>0003</x:v>
      </x:c>
      <x:c r="E1207" s="7" t="str">
        <x:v>West</x:v>
      </x:c>
      <x:c r="F1207" s="7" t="n">
        <x:v>5</x:v>
      </x:c>
      <x:c r="G1207" s="7" t="n">
        <x:v>200</x:v>
      </x:c>
      <x:c r="H1207" s="9" t="n">
        <x:v>0.05</x:v>
      </x:c>
      <x:c r="I1207" s="7" t="n">
        <x:v>950</x:v>
      </x:c>
    </x:row>
    <x:row r="1208" ht="23" customHeight="1">
      <x:c r="A1208" s="7" t="str">
        <x:v>INV01203</x:v>
      </x:c>
      <x:c r="B1208" s="15" t="d">
        <x:v>2026-02-16T00:00:00.000Z</x:v>
      </x:c>
      <x:c r="C1208" s="14" t="d">
        <x:v>2026-02-01T00:00:00.000Z</x:v>
      </x:c>
      <x:c r="D1208" s="34" t="str">
        <x:v>0004</x:v>
      </x:c>
      <x:c r="E1208" s="7" t="str">
        <x:v>West</x:v>
      </x:c>
      <x:c r="F1208" s="7" t="n">
        <x:v>6</x:v>
      </x:c>
      <x:c r="G1208" s="7" t="n">
        <x:v>220</x:v>
      </x:c>
      <x:c r="H1208" s="9" t="n">
        <x:v>0</x:v>
      </x:c>
      <x:c r="I1208" s="7" t="n">
        <x:v>1320</x:v>
      </x:c>
    </x:row>
    <x:row r="1209" ht="23" customHeight="1">
      <x:c r="A1209" s="7" t="str">
        <x:v>INV01204</x:v>
      </x:c>
      <x:c r="B1209" s="15" t="d">
        <x:v>2026-02-17T00:00:00.000Z</x:v>
      </x:c>
      <x:c r="C1209" s="14" t="d">
        <x:v>2026-02-01T00:00:00.000Z</x:v>
      </x:c>
      <x:c r="D1209" s="34" t="str">
        <x:v>0005</x:v>
      </x:c>
      <x:c r="E1209" s="7" t="str">
        <x:v>West</x:v>
      </x:c>
      <x:c r="F1209" s="7" t="n">
        <x:v>2</x:v>
      </x:c>
      <x:c r="G1209" s="7" t="n">
        <x:v>240</x:v>
      </x:c>
      <x:c r="H1209" s="9" t="n">
        <x:v>0.02</x:v>
      </x:c>
      <x:c r="I1209" s="7" t="n">
        <x:v>470.4</x:v>
      </x:c>
    </x:row>
    <x:row r="1210" ht="23" customHeight="1">
      <x:c r="A1210" s="7" t="str">
        <x:v>INV01205</x:v>
      </x:c>
      <x:c r="B1210" s="15" t="d">
        <x:v>2026-02-18T00:00:00.000Z</x:v>
      </x:c>
      <x:c r="C1210" s="14" t="d">
        <x:v>2026-02-01T00:00:00.000Z</x:v>
      </x:c>
      <x:c r="D1210" s="34" t="str">
        <x:v>0006</x:v>
      </x:c>
      <x:c r="E1210" s="7" t="str">
        <x:v>West</x:v>
      </x:c>
      <x:c r="F1210" s="7" t="n">
        <x:v>5</x:v>
      </x:c>
      <x:c r="G1210" s="7" t="n">
        <x:v>260</x:v>
      </x:c>
      <x:c r="H1210" s="9" t="n">
        <x:v>0.05</x:v>
      </x:c>
      <x:c r="I1210" s="7" t="n">
        <x:v>1235</x:v>
      </x:c>
    </x:row>
    <x:row r="1211" ht="23" customHeight="1">
      <x:c r="A1211" s="7" t="str">
        <x:v>INV01206</x:v>
      </x:c>
      <x:c r="B1211" s="15" t="d">
        <x:v>2026-02-19T00:00:00.000Z</x:v>
      </x:c>
      <x:c r="C1211" s="14" t="d">
        <x:v>2026-02-01T00:00:00.000Z</x:v>
      </x:c>
      <x:c r="D1211" s="34" t="str">
        <x:v>0007</x:v>
      </x:c>
      <x:c r="E1211" s="7" t="str">
        <x:v>West</x:v>
      </x:c>
      <x:c r="F1211" s="7" t="n">
        <x:v>7</x:v>
      </x:c>
      <x:c r="G1211" s="7" t="n">
        <x:v>280</x:v>
      </x:c>
      <x:c r="H1211" s="9" t="n">
        <x:v>0</x:v>
      </x:c>
      <x:c r="I1211" s="7" t="n">
        <x:v>1960</x:v>
      </x:c>
    </x:row>
    <x:row r="1212" ht="23" customHeight="1">
      <x:c r="A1212" s="7" t="str">
        <x:v>INV01207</x:v>
      </x:c>
      <x:c r="B1212" s="15" t="d">
        <x:v>2026-02-20T00:00:00.000Z</x:v>
      </x:c>
      <x:c r="C1212" s="14" t="d">
        <x:v>2026-02-01T00:00:00.000Z</x:v>
      </x:c>
      <x:c r="D1212" s="34" t="str">
        <x:v>0008</x:v>
      </x:c>
      <x:c r="E1212" s="7" t="str">
        <x:v>West</x:v>
      </x:c>
      <x:c r="F1212" s="7" t="n">
        <x:v>6</x:v>
      </x:c>
      <x:c r="G1212" s="7" t="n">
        <x:v>300</x:v>
      </x:c>
      <x:c r="H1212" s="9" t="n">
        <x:v>0.02</x:v>
      </x:c>
      <x:c r="I1212" s="7" t="n">
        <x:v>1764</x:v>
      </x:c>
    </x:row>
    <x:row r="1213" ht="23" customHeight="1">
      <x:c r="A1213" s="7" t="str">
        <x:v>INV01208</x:v>
      </x:c>
      <x:c r="B1213" s="15" t="d">
        <x:v>2026-02-21T00:00:00.000Z</x:v>
      </x:c>
      <x:c r="C1213" s="14" t="d">
        <x:v>2026-02-01T00:00:00.000Z</x:v>
      </x:c>
      <x:c r="D1213" s="34" t="str">
        <x:v>0001</x:v>
      </x:c>
      <x:c r="E1213" s="7" t="str">
        <x:v>North</x:v>
      </x:c>
      <x:c r="F1213" s="7" t="n">
        <x:v>6</x:v>
      </x:c>
      <x:c r="G1213" s="7" t="n">
        <x:v>160</x:v>
      </x:c>
      <x:c r="H1213" s="9" t="n">
        <x:v>0.05</x:v>
      </x:c>
      <x:c r="I1213" s="7" t="n">
        <x:v>912</x:v>
      </x:c>
    </x:row>
    <x:row r="1214" ht="23" customHeight="1">
      <x:c r="A1214" s="7" t="str">
        <x:v>INV01209</x:v>
      </x:c>
      <x:c r="B1214" s="15" t="d">
        <x:v>2026-02-22T00:00:00.000Z</x:v>
      </x:c>
      <x:c r="C1214" s="14" t="d">
        <x:v>2026-02-01T00:00:00.000Z</x:v>
      </x:c>
      <x:c r="D1214" s="34" t="str">
        <x:v>0002</x:v>
      </x:c>
      <x:c r="E1214" s="7" t="str">
        <x:v>North</x:v>
      </x:c>
      <x:c r="F1214" s="7" t="n">
        <x:v>3</x:v>
      </x:c>
      <x:c r="G1214" s="7" t="n">
        <x:v>180</x:v>
      </x:c>
      <x:c r="H1214" s="9" t="n">
        <x:v>0</x:v>
      </x:c>
      <x:c r="I1214" s="7" t="n">
        <x:v>540</x:v>
      </x:c>
    </x:row>
    <x:row r="1215" ht="23" customHeight="1">
      <x:c r="A1215" s="7" t="str">
        <x:v>INV01210</x:v>
      </x:c>
      <x:c r="B1215" s="15" t="d">
        <x:v>2026-02-23T00:00:00.000Z</x:v>
      </x:c>
      <x:c r="C1215" s="14" t="d">
        <x:v>2026-02-01T00:00:00.000Z</x:v>
      </x:c>
      <x:c r="D1215" s="34" t="str">
        <x:v>0003</x:v>
      </x:c>
      <x:c r="E1215" s="7" t="str">
        <x:v>North</x:v>
      </x:c>
      <x:c r="F1215" s="7" t="n">
        <x:v>7</x:v>
      </x:c>
      <x:c r="G1215" s="7" t="n">
        <x:v>200</x:v>
      </x:c>
      <x:c r="H1215" s="9" t="n">
        <x:v>0.02</x:v>
      </x:c>
      <x:c r="I1215" s="7" t="n">
        <x:v>1372</x:v>
      </x:c>
    </x:row>
    <x:row r="1216" ht="23" customHeight="1">
      <x:c r="A1216" s="7" t="str">
        <x:v>INV01211</x:v>
      </x:c>
      <x:c r="B1216" s="15" t="d">
        <x:v>2026-02-24T00:00:00.000Z</x:v>
      </x:c>
      <x:c r="C1216" s="14" t="d">
        <x:v>2026-02-01T00:00:00.000Z</x:v>
      </x:c>
      <x:c r="D1216" s="34" t="str">
        <x:v>0004</x:v>
      </x:c>
      <x:c r="E1216" s="7" t="str">
        <x:v>North</x:v>
      </x:c>
      <x:c r="F1216" s="7" t="n">
        <x:v>1</x:v>
      </x:c>
      <x:c r="G1216" s="7" t="n">
        <x:v>220</x:v>
      </x:c>
      <x:c r="H1216" s="9" t="n">
        <x:v>0.05</x:v>
      </x:c>
      <x:c r="I1216" s="7" t="n">
        <x:v>209</x:v>
      </x:c>
    </x:row>
    <x:row r="1217" ht="23" customHeight="1">
      <x:c r="A1217" s="7" t="str">
        <x:v>INV01212</x:v>
      </x:c>
      <x:c r="B1217" s="15" t="d">
        <x:v>2026-02-25T00:00:00.000Z</x:v>
      </x:c>
      <x:c r="C1217" s="14" t="d">
        <x:v>2026-02-01T00:00:00.000Z</x:v>
      </x:c>
      <x:c r="D1217" s="34" t="str">
        <x:v>0005</x:v>
      </x:c>
      <x:c r="E1217" s="7" t="str">
        <x:v>North</x:v>
      </x:c>
      <x:c r="F1217" s="7" t="n">
        <x:v>2</x:v>
      </x:c>
      <x:c r="G1217" s="7" t="n">
        <x:v>240</x:v>
      </x:c>
      <x:c r="H1217" s="9" t="n">
        <x:v>0</x:v>
      </x:c>
      <x:c r="I1217" s="7" t="n">
        <x:v>480</x:v>
      </x:c>
    </x:row>
    <x:row r="1218" ht="23" customHeight="1">
      <x:c r="A1218" s="7" t="str">
        <x:v>INV01213</x:v>
      </x:c>
      <x:c r="B1218" s="15" t="d">
        <x:v>2026-02-26T00:00:00.000Z</x:v>
      </x:c>
      <x:c r="C1218" s="14" t="d">
        <x:v>2026-02-01T00:00:00.000Z</x:v>
      </x:c>
      <x:c r="D1218" s="34" t="str">
        <x:v>0006</x:v>
      </x:c>
      <x:c r="E1218" s="7" t="str">
        <x:v>North</x:v>
      </x:c>
      <x:c r="F1218" s="7" t="n">
        <x:v>7</x:v>
      </x:c>
      <x:c r="G1218" s="7" t="n">
        <x:v>260</x:v>
      </x:c>
      <x:c r="H1218" s="9" t="n">
        <x:v>0.02</x:v>
      </x:c>
      <x:c r="I1218" s="7" t="n">
        <x:v>1783.6</x:v>
      </x:c>
    </x:row>
    <x:row r="1219" ht="23" customHeight="1">
      <x:c r="A1219" s="7" t="str">
        <x:v>INV01214</x:v>
      </x:c>
      <x:c r="B1219" s="15" t="d">
        <x:v>2026-02-27T00:00:00.000Z</x:v>
      </x:c>
      <x:c r="C1219" s="14" t="d">
        <x:v>2026-02-01T00:00:00.000Z</x:v>
      </x:c>
      <x:c r="D1219" s="34" t="str">
        <x:v>0007</x:v>
      </x:c>
      <x:c r="E1219" s="7" t="str">
        <x:v>North</x:v>
      </x:c>
      <x:c r="F1219" s="7" t="n">
        <x:v>6</x:v>
      </x:c>
      <x:c r="G1219" s="7" t="n">
        <x:v>280</x:v>
      </x:c>
      <x:c r="H1219" s="9" t="n">
        <x:v>0.05</x:v>
      </x:c>
      <x:c r="I1219" s="7" t="n">
        <x:v>1596</x:v>
      </x:c>
    </x:row>
    <x:row r="1220" ht="23" customHeight="1">
      <x:c r="A1220" s="7" t="str">
        <x:v>INV01215</x:v>
      </x:c>
      <x:c r="B1220" s="15" t="d">
        <x:v>2026-02-01T00:00:00.000Z</x:v>
      </x:c>
      <x:c r="C1220" s="14" t="d">
        <x:v>2026-02-01T00:00:00.000Z</x:v>
      </x:c>
      <x:c r="D1220" s="34" t="str">
        <x:v>0008</x:v>
      </x:c>
      <x:c r="E1220" s="7" t="str">
        <x:v>North</x:v>
      </x:c>
      <x:c r="F1220" s="7" t="n">
        <x:v>7</x:v>
      </x:c>
      <x:c r="G1220" s="7" t="n">
        <x:v>300</x:v>
      </x:c>
      <x:c r="H1220" s="9" t="n">
        <x:v>0</x:v>
      </x:c>
      <x:c r="I1220" s="7" t="n">
        <x:v>2100</x:v>
      </x:c>
    </x:row>
    <x:row r="1221" ht="23" customHeight="1">
      <x:c r="A1221" s="7" t="str">
        <x:v>INV01216</x:v>
      </x:c>
      <x:c r="B1221" s="15" t="d">
        <x:v>2026-03-02T00:00:00.000Z</x:v>
      </x:c>
      <x:c r="C1221" s="14" t="d">
        <x:v>2026-03-01T00:00:00.000Z</x:v>
      </x:c>
      <x:c r="D1221" s="34" t="str">
        <x:v>0001</x:v>
      </x:c>
      <x:c r="E1221" s="7" t="str">
        <x:v>Central</x:v>
      </x:c>
      <x:c r="F1221" s="7" t="n">
        <x:v>7</x:v>
      </x:c>
      <x:c r="G1221" s="7" t="n">
        <x:v>160</x:v>
      </x:c>
      <x:c r="H1221" s="9" t="n">
        <x:v>0.02</x:v>
      </x:c>
      <x:c r="I1221" s="7" t="n">
        <x:v>1097.6</x:v>
      </x:c>
    </x:row>
    <x:row r="1222" ht="23" customHeight="1">
      <x:c r="A1222" s="7" t="str">
        <x:v>INV01217</x:v>
      </x:c>
      <x:c r="B1222" s="15" t="d">
        <x:v>2026-03-03T00:00:00.000Z</x:v>
      </x:c>
      <x:c r="C1222" s="14" t="d">
        <x:v>2026-03-01T00:00:00.000Z</x:v>
      </x:c>
      <x:c r="D1222" s="34" t="str">
        <x:v>0002</x:v>
      </x:c>
      <x:c r="E1222" s="7" t="str">
        <x:v>Central</x:v>
      </x:c>
      <x:c r="F1222" s="7" t="n">
        <x:v>6</x:v>
      </x:c>
      <x:c r="G1222" s="7" t="n">
        <x:v>180</x:v>
      </x:c>
      <x:c r="H1222" s="9" t="n">
        <x:v>0.05</x:v>
      </x:c>
      <x:c r="I1222" s="7" t="n">
        <x:v>1026</x:v>
      </x:c>
    </x:row>
    <x:row r="1223" ht="23" customHeight="1">
      <x:c r="A1223" s="7" t="str">
        <x:v>INV01218</x:v>
      </x:c>
      <x:c r="B1223" s="15" t="d">
        <x:v>2026-03-04T00:00:00.000Z</x:v>
      </x:c>
      <x:c r="C1223" s="14" t="d">
        <x:v>2026-03-01T00:00:00.000Z</x:v>
      </x:c>
      <x:c r="D1223" s="34" t="str">
        <x:v>0003</x:v>
      </x:c>
      <x:c r="E1223" s="7" t="str">
        <x:v>Central</x:v>
      </x:c>
      <x:c r="F1223" s="7" t="n">
        <x:v>3</x:v>
      </x:c>
      <x:c r="G1223" s="7" t="n">
        <x:v>200</x:v>
      </x:c>
      <x:c r="H1223" s="9" t="n">
        <x:v>0</x:v>
      </x:c>
      <x:c r="I1223" s="7" t="n">
        <x:v>600</x:v>
      </x:c>
    </x:row>
    <x:row r="1224" ht="23" customHeight="1">
      <x:c r="A1224" s="7" t="str">
        <x:v>INV01219</x:v>
      </x:c>
      <x:c r="B1224" s="15" t="d">
        <x:v>2026-03-05T00:00:00.000Z</x:v>
      </x:c>
      <x:c r="C1224" s="14" t="d">
        <x:v>2026-03-01T00:00:00.000Z</x:v>
      </x:c>
      <x:c r="D1224" s="34" t="str">
        <x:v>0004</x:v>
      </x:c>
      <x:c r="E1224" s="7" t="str">
        <x:v>Central</x:v>
      </x:c>
      <x:c r="F1224" s="7" t="n">
        <x:v>3</x:v>
      </x:c>
      <x:c r="G1224" s="7" t="n">
        <x:v>220</x:v>
      </x:c>
      <x:c r="H1224" s="9" t="n">
        <x:v>0.02</x:v>
      </x:c>
      <x:c r="I1224" s="7" t="n">
        <x:v>646.8</x:v>
      </x:c>
    </x:row>
    <x:row r="1225" ht="23" customHeight="1">
      <x:c r="A1225" s="7" t="str">
        <x:v>INV01220</x:v>
      </x:c>
      <x:c r="B1225" s="15" t="d">
        <x:v>2026-03-06T00:00:00.000Z</x:v>
      </x:c>
      <x:c r="C1225" s="14" t="d">
        <x:v>2026-03-01T00:00:00.000Z</x:v>
      </x:c>
      <x:c r="D1225" s="34" t="str">
        <x:v>0005</x:v>
      </x:c>
      <x:c r="E1225" s="7" t="str">
        <x:v>Central</x:v>
      </x:c>
      <x:c r="F1225" s="7" t="n">
        <x:v>7</x:v>
      </x:c>
      <x:c r="G1225" s="7" t="n">
        <x:v>240</x:v>
      </x:c>
      <x:c r="H1225" s="9" t="n">
        <x:v>0.05</x:v>
      </x:c>
      <x:c r="I1225" s="7" t="n">
        <x:v>1596</x:v>
      </x:c>
    </x:row>
    <x:row r="1226" ht="23" customHeight="1">
      <x:c r="A1226" s="7" t="str">
        <x:v>INV01221</x:v>
      </x:c>
      <x:c r="B1226" s="15" t="d">
        <x:v>2026-03-07T00:00:00.000Z</x:v>
      </x:c>
      <x:c r="C1226" s="14" t="d">
        <x:v>2026-03-01T00:00:00.000Z</x:v>
      </x:c>
      <x:c r="D1226" s="34" t="str">
        <x:v>0006</x:v>
      </x:c>
      <x:c r="E1226" s="7" t="str">
        <x:v>Central</x:v>
      </x:c>
      <x:c r="F1226" s="7" t="n">
        <x:v>6</x:v>
      </x:c>
      <x:c r="G1226" s="7" t="n">
        <x:v>260</x:v>
      </x:c>
      <x:c r="H1226" s="9" t="n">
        <x:v>0</x:v>
      </x:c>
      <x:c r="I1226" s="7" t="n">
        <x:v>1560</x:v>
      </x:c>
    </x:row>
    <x:row r="1227" ht="23" customHeight="1">
      <x:c r="A1227" s="7" t="str">
        <x:v>INV01222</x:v>
      </x:c>
      <x:c r="B1227" s="15" t="d">
        <x:v>2026-03-08T00:00:00.000Z</x:v>
      </x:c>
      <x:c r="C1227" s="14" t="d">
        <x:v>2026-03-01T00:00:00.000Z</x:v>
      </x:c>
      <x:c r="D1227" s="34" t="str">
        <x:v>0007</x:v>
      </x:c>
      <x:c r="E1227" s="7" t="str">
        <x:v>Central</x:v>
      </x:c>
      <x:c r="F1227" s="7" t="n">
        <x:v>6</x:v>
      </x:c>
      <x:c r="G1227" s="7" t="n">
        <x:v>280</x:v>
      </x:c>
      <x:c r="H1227" s="9" t="n">
        <x:v>0.02</x:v>
      </x:c>
      <x:c r="I1227" s="7" t="n">
        <x:v>1646.4</x:v>
      </x:c>
    </x:row>
    <x:row r="1228" ht="23" customHeight="1">
      <x:c r="A1228" s="7" t="str">
        <x:v>INV01223</x:v>
      </x:c>
      <x:c r="B1228" s="15" t="d">
        <x:v>2026-03-09T00:00:00.000Z</x:v>
      </x:c>
      <x:c r="C1228" s="14" t="d">
        <x:v>2026-03-01T00:00:00.000Z</x:v>
      </x:c>
      <x:c r="D1228" s="34" t="str">
        <x:v>0008</x:v>
      </x:c>
      <x:c r="E1228" s="7" t="str">
        <x:v>Central</x:v>
      </x:c>
      <x:c r="F1228" s="7" t="n">
        <x:v>5</x:v>
      </x:c>
      <x:c r="G1228" s="7" t="n">
        <x:v>300</x:v>
      </x:c>
      <x:c r="H1228" s="9" t="n">
        <x:v>0.05</x:v>
      </x:c>
      <x:c r="I1228" s="7" t="n">
        <x:v>1425</x:v>
      </x:c>
    </x:row>
    <x:row r="1229" ht="23" customHeight="1">
      <x:c r="A1229" s="7" t="str">
        <x:v>INV01224</x:v>
      </x:c>
      <x:c r="B1229" s="15" t="d">
        <x:v>2026-03-10T00:00:00.000Z</x:v>
      </x:c>
      <x:c r="C1229" s="14" t="d">
        <x:v>2026-03-01T00:00:00.000Z</x:v>
      </x:c>
      <x:c r="D1229" s="34" t="str">
        <x:v>0001</x:v>
      </x:c>
      <x:c r="E1229" s="7" t="str">
        <x:v>East</x:v>
      </x:c>
      <x:c r="F1229" s="7" t="n">
        <x:v>3</x:v>
      </x:c>
      <x:c r="G1229" s="7" t="n">
        <x:v>160</x:v>
      </x:c>
      <x:c r="H1229" s="9" t="n">
        <x:v>0</x:v>
      </x:c>
      <x:c r="I1229" s="7" t="n">
        <x:v>480</x:v>
      </x:c>
    </x:row>
    <x:row r="1230" ht="23" customHeight="1">
      <x:c r="A1230" s="7" t="str">
        <x:v>INV01225</x:v>
      </x:c>
      <x:c r="B1230" s="15" t="d">
        <x:v>2026-03-11T00:00:00.000Z</x:v>
      </x:c>
      <x:c r="C1230" s="14" t="d">
        <x:v>2026-03-01T00:00:00.000Z</x:v>
      </x:c>
      <x:c r="D1230" s="34" t="str">
        <x:v>0002</x:v>
      </x:c>
      <x:c r="E1230" s="7" t="str">
        <x:v>East</x:v>
      </x:c>
      <x:c r="F1230" s="7" t="n">
        <x:v>6</x:v>
      </x:c>
      <x:c r="G1230" s="7" t="n">
        <x:v>180</x:v>
      </x:c>
      <x:c r="H1230" s="9" t="n">
        <x:v>0.02</x:v>
      </x:c>
      <x:c r="I1230" s="7" t="n">
        <x:v>1058.4</x:v>
      </x:c>
    </x:row>
    <x:row r="1231" ht="23" customHeight="1">
      <x:c r="A1231" s="7" t="str">
        <x:v>INV01226</x:v>
      </x:c>
      <x:c r="B1231" s="15" t="d">
        <x:v>2026-03-12T00:00:00.000Z</x:v>
      </x:c>
      <x:c r="C1231" s="14" t="d">
        <x:v>2026-03-01T00:00:00.000Z</x:v>
      </x:c>
      <x:c r="D1231" s="34" t="str">
        <x:v>0003</x:v>
      </x:c>
      <x:c r="E1231" s="7" t="str">
        <x:v>East</x:v>
      </x:c>
      <x:c r="F1231" s="7" t="n">
        <x:v>3</x:v>
      </x:c>
      <x:c r="G1231" s="7" t="n">
        <x:v>200</x:v>
      </x:c>
      <x:c r="H1231" s="9" t="n">
        <x:v>0.05</x:v>
      </x:c>
      <x:c r="I1231" s="7" t="n">
        <x:v>570</x:v>
      </x:c>
    </x:row>
    <x:row r="1232" ht="23" customHeight="1">
      <x:c r="A1232" s="7" t="str">
        <x:v>INV01227</x:v>
      </x:c>
      <x:c r="B1232" s="15" t="d">
        <x:v>2026-03-13T00:00:00.000Z</x:v>
      </x:c>
      <x:c r="C1232" s="14" t="d">
        <x:v>2026-03-01T00:00:00.000Z</x:v>
      </x:c>
      <x:c r="D1232" s="34" t="str">
        <x:v>0004</x:v>
      </x:c>
      <x:c r="E1232" s="7" t="str">
        <x:v>East</x:v>
      </x:c>
      <x:c r="F1232" s="7" t="n">
        <x:v>2</x:v>
      </x:c>
      <x:c r="G1232" s="7" t="n">
        <x:v>220</x:v>
      </x:c>
      <x:c r="H1232" s="9" t="n">
        <x:v>0</x:v>
      </x:c>
      <x:c r="I1232" s="7" t="n">
        <x:v>440</x:v>
      </x:c>
    </x:row>
    <x:row r="1233" ht="23" customHeight="1">
      <x:c r="A1233" s="7" t="str">
        <x:v>INV01228</x:v>
      </x:c>
      <x:c r="B1233" s="15" t="d">
        <x:v>2026-03-14T00:00:00.000Z</x:v>
      </x:c>
      <x:c r="C1233" s="14" t="d">
        <x:v>2026-03-01T00:00:00.000Z</x:v>
      </x:c>
      <x:c r="D1233" s="34" t="str">
        <x:v>0005</x:v>
      </x:c>
      <x:c r="E1233" s="7" t="str">
        <x:v>East</x:v>
      </x:c>
      <x:c r="F1233" s="7" t="n">
        <x:v>7</x:v>
      </x:c>
      <x:c r="G1233" s="7" t="n">
        <x:v>240</x:v>
      </x:c>
      <x:c r="H1233" s="9" t="n">
        <x:v>0.02</x:v>
      </x:c>
      <x:c r="I1233" s="7" t="n">
        <x:v>1646.4</x:v>
      </x:c>
    </x:row>
    <x:row r="1234" ht="23" customHeight="1">
      <x:c r="A1234" s="7" t="str">
        <x:v>INV01229</x:v>
      </x:c>
      <x:c r="B1234" s="15" t="d">
        <x:v>2026-03-15T00:00:00.000Z</x:v>
      </x:c>
      <x:c r="C1234" s="14" t="d">
        <x:v>2026-03-01T00:00:00.000Z</x:v>
      </x:c>
      <x:c r="D1234" s="34" t="str">
        <x:v>0006</x:v>
      </x:c>
      <x:c r="E1234" s="7" t="str">
        <x:v>East</x:v>
      </x:c>
      <x:c r="F1234" s="7" t="n">
        <x:v>5</x:v>
      </x:c>
      <x:c r="G1234" s="7" t="n">
        <x:v>260</x:v>
      </x:c>
      <x:c r="H1234" s="9" t="n">
        <x:v>0.05</x:v>
      </x:c>
      <x:c r="I1234" s="7" t="n">
        <x:v>1235</x:v>
      </x:c>
    </x:row>
    <x:row r="1235" ht="23" customHeight="1">
      <x:c r="A1235" s="7" t="str">
        <x:v>INV01230</x:v>
      </x:c>
      <x:c r="B1235" s="15" t="d">
        <x:v>2026-03-16T00:00:00.000Z</x:v>
      </x:c>
      <x:c r="C1235" s="14" t="d">
        <x:v>2026-03-01T00:00:00.000Z</x:v>
      </x:c>
      <x:c r="D1235" s="34" t="str">
        <x:v>0007</x:v>
      </x:c>
      <x:c r="E1235" s="7" t="str">
        <x:v>East</x:v>
      </x:c>
      <x:c r="F1235" s="7" t="n">
        <x:v>-1</x:v>
      </x:c>
      <x:c r="G1235" s="7" t="n">
        <x:v>280</x:v>
      </x:c>
      <x:c r="H1235" s="9" t="n">
        <x:v>0</x:v>
      </x:c>
      <x:c r="I1235" s="7" t="n">
        <x:v>-280</x:v>
      </x:c>
    </x:row>
    <x:row r="1236" ht="23" customHeight="1">
      <x:c r="A1236" s="7" t="str">
        <x:v>INV01231</x:v>
      </x:c>
      <x:c r="B1236" s="15" t="d">
        <x:v>2026-03-17T00:00:00.000Z</x:v>
      </x:c>
      <x:c r="C1236" s="14" t="d">
        <x:v>2026-03-01T00:00:00.000Z</x:v>
      </x:c>
      <x:c r="D1236" s="34" t="str">
        <x:v>0008</x:v>
      </x:c>
      <x:c r="E1236" s="7" t="str">
        <x:v>East</x:v>
      </x:c>
      <x:c r="F1236" s="7" t="n">
        <x:v>5</x:v>
      </x:c>
      <x:c r="G1236" s="7" t="n">
        <x:v>300</x:v>
      </x:c>
      <x:c r="H1236" s="9" t="n">
        <x:v>0.02</x:v>
      </x:c>
      <x:c r="I1236" s="7" t="n">
        <x:v>1470</x:v>
      </x:c>
    </x:row>
    <x:row r="1237" ht="23" customHeight="1">
      <x:c r="A1237" s="7" t="str">
        <x:v>INV01232</x:v>
      </x:c>
      <x:c r="B1237" s="15" t="d">
        <x:v>2026-03-18T00:00:00.000Z</x:v>
      </x:c>
      <x:c r="C1237" s="14" t="d">
        <x:v>2026-03-01T00:00:00.000Z</x:v>
      </x:c>
      <x:c r="D1237" s="34" t="str">
        <x:v>0001</x:v>
      </x:c>
      <x:c r="E1237" s="7" t="str">
        <x:v>West</x:v>
      </x:c>
      <x:c r="F1237" s="7" t="n">
        <x:v>1</x:v>
      </x:c>
      <x:c r="G1237" s="7" t="n">
        <x:v>160</x:v>
      </x:c>
      <x:c r="H1237" s="9" t="n">
        <x:v>0.05</x:v>
      </x:c>
      <x:c r="I1237" s="7" t="n">
        <x:v>152</x:v>
      </x:c>
    </x:row>
    <x:row r="1238" ht="23" customHeight="1">
      <x:c r="A1238" s="7" t="str">
        <x:v>INV01233</x:v>
      </x:c>
      <x:c r="B1238" s="15" t="d">
        <x:v>2026-03-19T00:00:00.000Z</x:v>
      </x:c>
      <x:c r="C1238" s="14" t="d">
        <x:v>2026-03-01T00:00:00.000Z</x:v>
      </x:c>
      <x:c r="D1238" s="34" t="str">
        <x:v>0002</x:v>
      </x:c>
      <x:c r="E1238" s="7" t="str">
        <x:v>West</x:v>
      </x:c>
      <x:c r="F1238" s="7" t="n">
        <x:v>7</x:v>
      </x:c>
      <x:c r="G1238" s="7" t="n">
        <x:v>180</x:v>
      </x:c>
      <x:c r="H1238" s="9" t="n">
        <x:v>0</x:v>
      </x:c>
      <x:c r="I1238" s="7" t="n">
        <x:v>1260</x:v>
      </x:c>
    </x:row>
    <x:row r="1239" ht="23" customHeight="1">
      <x:c r="A1239" s="7" t="str">
        <x:v>INV01234</x:v>
      </x:c>
      <x:c r="B1239" s="15" t="d">
        <x:v>2026-03-20T00:00:00.000Z</x:v>
      </x:c>
      <x:c r="C1239" s="14" t="d">
        <x:v>2026-03-01T00:00:00.000Z</x:v>
      </x:c>
      <x:c r="D1239" s="34" t="str">
        <x:v>0003</x:v>
      </x:c>
      <x:c r="E1239" s="7" t="str">
        <x:v>West</x:v>
      </x:c>
      <x:c r="F1239" s="7" t="n">
        <x:v>4</x:v>
      </x:c>
      <x:c r="G1239" s="7" t="n">
        <x:v>200</x:v>
      </x:c>
      <x:c r="H1239" s="9" t="n">
        <x:v>0.02</x:v>
      </x:c>
      <x:c r="I1239" s="7" t="n">
        <x:v>784</x:v>
      </x:c>
    </x:row>
    <x:row r="1240" ht="23" customHeight="1">
      <x:c r="A1240" s="7" t="str">
        <x:v>INV01235</x:v>
      </x:c>
      <x:c r="B1240" s="15" t="d">
        <x:v>2026-03-21T00:00:00.000Z</x:v>
      </x:c>
      <x:c r="C1240" s="14" t="d">
        <x:v>2026-03-01T00:00:00.000Z</x:v>
      </x:c>
      <x:c r="D1240" s="34" t="str">
        <x:v>0004</x:v>
      </x:c>
      <x:c r="E1240" s="7" t="str">
        <x:v>West</x:v>
      </x:c>
      <x:c r="F1240" s="7" t="n">
        <x:v>6</x:v>
      </x:c>
      <x:c r="G1240" s="7" t="n">
        <x:v>220</x:v>
      </x:c>
      <x:c r="H1240" s="9" t="n">
        <x:v>0.05</x:v>
      </x:c>
      <x:c r="I1240" s="7" t="n">
        <x:v>1254</x:v>
      </x:c>
    </x:row>
    <x:row r="1241" ht="23" customHeight="1">
      <x:c r="A1241" s="7" t="str">
        <x:v>INV01236</x:v>
      </x:c>
      <x:c r="B1241" s="15" t="d">
        <x:v>2026-03-22T00:00:00.000Z</x:v>
      </x:c>
      <x:c r="C1241" s="14" t="d">
        <x:v>2026-03-01T00:00:00.000Z</x:v>
      </x:c>
      <x:c r="D1241" s="34" t="str">
        <x:v>0005</x:v>
      </x:c>
      <x:c r="E1241" s="7" t="str">
        <x:v>West</x:v>
      </x:c>
      <x:c r="F1241" s="7" t="n">
        <x:v>6</x:v>
      </x:c>
      <x:c r="G1241" s="7" t="n">
        <x:v>240</x:v>
      </x:c>
      <x:c r="H1241" s="9" t="n">
        <x:v>0</x:v>
      </x:c>
      <x:c r="I1241" s="7" t="n">
        <x:v>1440</x:v>
      </x:c>
    </x:row>
    <x:row r="1242" ht="23" customHeight="1">
      <x:c r="A1242" s="7" t="str">
        <x:v>INV01237</x:v>
      </x:c>
      <x:c r="B1242" s="15" t="d">
        <x:v>2026-03-23T00:00:00.000Z</x:v>
      </x:c>
      <x:c r="C1242" s="14" t="d">
        <x:v>2026-03-01T00:00:00.000Z</x:v>
      </x:c>
      <x:c r="D1242" s="34" t="str">
        <x:v>0006</x:v>
      </x:c>
      <x:c r="E1242" s="7" t="str">
        <x:v>West</x:v>
      </x:c>
      <x:c r="F1242" s="7" t="n">
        <x:v>5</x:v>
      </x:c>
      <x:c r="G1242" s="7" t="n">
        <x:v>260</x:v>
      </x:c>
      <x:c r="H1242" s="9" t="n">
        <x:v>0.02</x:v>
      </x:c>
      <x:c r="I1242" s="7" t="n">
        <x:v>1274</x:v>
      </x:c>
    </x:row>
    <x:row r="1243" ht="23" customHeight="1">
      <x:c r="A1243" s="7" t="str">
        <x:v>INV01238</x:v>
      </x:c>
      <x:c r="B1243" s="15" t="d">
        <x:v>2026-03-24T00:00:00.000Z</x:v>
      </x:c>
      <x:c r="C1243" s="14" t="d">
        <x:v>2026-03-01T00:00:00.000Z</x:v>
      </x:c>
      <x:c r="D1243" s="34" t="str">
        <x:v>0007</x:v>
      </x:c>
      <x:c r="E1243" s="7" t="str">
        <x:v>West</x:v>
      </x:c>
      <x:c r="F1243" s="7" t="n">
        <x:v>6</x:v>
      </x:c>
      <x:c r="G1243" s="7" t="n">
        <x:v>280</x:v>
      </x:c>
      <x:c r="H1243" s="9" t="n">
        <x:v>0.05</x:v>
      </x:c>
      <x:c r="I1243" s="7" t="n">
        <x:v>1596</x:v>
      </x:c>
    </x:row>
    <x:row r="1244" ht="23" customHeight="1">
      <x:c r="A1244" s="7" t="str">
        <x:v>INV01239</x:v>
      </x:c>
      <x:c r="B1244" s="15" t="d">
        <x:v>2026-03-25T00:00:00.000Z</x:v>
      </x:c>
      <x:c r="C1244" s="14" t="d">
        <x:v>2026-03-01T00:00:00.000Z</x:v>
      </x:c>
      <x:c r="D1244" s="34" t="str">
        <x:v>0008</x:v>
      </x:c>
      <x:c r="E1244" s="7" t="str">
        <x:v>West</x:v>
      </x:c>
      <x:c r="F1244" s="7" t="n">
        <x:v>4</x:v>
      </x:c>
      <x:c r="G1244" s="7" t="n">
        <x:v>300</x:v>
      </x:c>
      <x:c r="H1244" s="9" t="n">
        <x:v>0</x:v>
      </x:c>
      <x:c r="I1244" s="7" t="n">
        <x:v>1200</x:v>
      </x:c>
    </x:row>
    <x:row r="1245" ht="23" customHeight="1">
      <x:c r="A1245" s="7" t="str">
        <x:v>INV01240</x:v>
      </x:c>
      <x:c r="B1245" s="15" t="d">
        <x:v>2026-03-26T00:00:00.000Z</x:v>
      </x:c>
      <x:c r="C1245" s="14" t="d">
        <x:v>2026-03-01T00:00:00.000Z</x:v>
      </x:c>
      <x:c r="D1245" s="34" t="str">
        <x:v>0001</x:v>
      </x:c>
      <x:c r="E1245" s="7" t="str">
        <x:v>North</x:v>
      </x:c>
      <x:c r="F1245" s="7" t="n">
        <x:v>5</x:v>
      </x:c>
      <x:c r="G1245" s="7" t="n">
        <x:v>160</x:v>
      </x:c>
      <x:c r="H1245" s="9" t="n">
        <x:v>0.02</x:v>
      </x:c>
      <x:c r="I1245" s="7" t="n">
        <x:v>784</x:v>
      </x:c>
    </x:row>
    <x:row r="1246" ht="23" customHeight="1">
      <x:c r="A1246" s="7" t="str">
        <x:v>INV01241</x:v>
      </x:c>
      <x:c r="B1246" s="15" t="d">
        <x:v>2026-03-27T00:00:00.000Z</x:v>
      </x:c>
      <x:c r="C1246" s="14" t="d">
        <x:v>2026-03-01T00:00:00.000Z</x:v>
      </x:c>
      <x:c r="D1246" s="34" t="str">
        <x:v>0002</x:v>
      </x:c>
      <x:c r="E1246" s="7" t="str">
        <x:v>North</x:v>
      </x:c>
      <x:c r="F1246" s="7" t="n">
        <x:v>7</x:v>
      </x:c>
      <x:c r="G1246" s="7" t="n">
        <x:v>180</x:v>
      </x:c>
      <x:c r="H1246" s="9" t="n">
        <x:v>0.05</x:v>
      </x:c>
      <x:c r="I1246" s="7" t="n">
        <x:v>1197</x:v>
      </x:c>
    </x:row>
    <x:row r="1247" ht="23" customHeight="1">
      <x:c r="A1247" s="7" t="str">
        <x:v>INV01242</x:v>
      </x:c>
      <x:c r="B1247" s="15" t="d">
        <x:v>2026-03-01T00:00:00.000Z</x:v>
      </x:c>
      <x:c r="C1247" s="14" t="d">
        <x:v>2026-03-01T00:00:00.000Z</x:v>
      </x:c>
      <x:c r="D1247" s="34" t="str">
        <x:v>0003</x:v>
      </x:c>
      <x:c r="E1247" s="7" t="str">
        <x:v>North</x:v>
      </x:c>
      <x:c r="F1247" s="7" t="n">
        <x:v>2</x:v>
      </x:c>
      <x:c r="G1247" s="7" t="n">
        <x:v>200</x:v>
      </x:c>
      <x:c r="H1247" s="9" t="n">
        <x:v>0</x:v>
      </x:c>
      <x:c r="I1247" s="7" t="n">
        <x:v>400</x:v>
      </x:c>
    </x:row>
    <x:row r="1248" ht="23" customHeight="1">
      <x:c r="A1248" s="7" t="str">
        <x:v>INV01243</x:v>
      </x:c>
      <x:c r="B1248" s="15" t="d">
        <x:v>2026-03-02T00:00:00.000Z</x:v>
      </x:c>
      <x:c r="C1248" s="14" t="d">
        <x:v>2026-03-01T00:00:00.000Z</x:v>
      </x:c>
      <x:c r="D1248" s="34" t="str">
        <x:v>0004</x:v>
      </x:c>
      <x:c r="E1248" s="7" t="str">
        <x:v>North</x:v>
      </x:c>
      <x:c r="F1248" s="7" t="n">
        <x:v>1</x:v>
      </x:c>
      <x:c r="G1248" s="7" t="n">
        <x:v>220</x:v>
      </x:c>
      <x:c r="H1248" s="9" t="n">
        <x:v>0.02</x:v>
      </x:c>
      <x:c r="I1248" s="7" t="n">
        <x:v>215.6</x:v>
      </x:c>
    </x:row>
    <x:row r="1249" ht="23" customHeight="1">
      <x:c r="A1249" s="7" t="str">
        <x:v>INV01244</x:v>
      </x:c>
      <x:c r="B1249" s="15" t="d">
        <x:v>2026-03-03T00:00:00.000Z</x:v>
      </x:c>
      <x:c r="C1249" s="14" t="d">
        <x:v>2026-03-01T00:00:00.000Z</x:v>
      </x:c>
      <x:c r="D1249" s="34" t="str">
        <x:v>0005</x:v>
      </x:c>
      <x:c r="E1249" s="7" t="str">
        <x:v>North</x:v>
      </x:c>
      <x:c r="F1249" s="7" t="n">
        <x:v>6</x:v>
      </x:c>
      <x:c r="G1249" s="7" t="n">
        <x:v>240</x:v>
      </x:c>
      <x:c r="H1249" s="9" t="n">
        <x:v>0.05</x:v>
      </x:c>
      <x:c r="I1249" s="7" t="n">
        <x:v>1368</x:v>
      </x:c>
    </x:row>
    <x:row r="1250" ht="23" customHeight="1">
      <x:c r="A1250" s="7" t="str">
        <x:v>INV01245</x:v>
      </x:c>
      <x:c r="B1250" s="15" t="d">
        <x:v>2026-03-04T00:00:00.000Z</x:v>
      </x:c>
      <x:c r="C1250" s="14" t="d">
        <x:v>2026-03-01T00:00:00.000Z</x:v>
      </x:c>
      <x:c r="D1250" s="34" t="str">
        <x:v>0006</x:v>
      </x:c>
      <x:c r="E1250" s="7" t="str">
        <x:v>North</x:v>
      </x:c>
      <x:c r="F1250" s="7" t="n">
        <x:v>4</x:v>
      </x:c>
      <x:c r="G1250" s="7" t="n">
        <x:v>260</x:v>
      </x:c>
      <x:c r="H1250" s="9" t="n">
        <x:v>0</x:v>
      </x:c>
      <x:c r="I1250" s="7" t="n">
        <x:v>1040</x:v>
      </x:c>
    </x:row>
    <x:row r="1251" ht="23" customHeight="1">
      <x:c r="A1251" s="7" t="str">
        <x:v>INV01246</x:v>
      </x:c>
      <x:c r="B1251" s="15" t="d">
        <x:v>2026-03-05T00:00:00.000Z</x:v>
      </x:c>
      <x:c r="C1251" s="14" t="d">
        <x:v>2026-03-01T00:00:00.000Z</x:v>
      </x:c>
      <x:c r="D1251" s="34" t="str">
        <x:v>0007</x:v>
      </x:c>
      <x:c r="E1251" s="7" t="str">
        <x:v>North</x:v>
      </x:c>
      <x:c r="F1251" s="7" t="n">
        <x:v>6</x:v>
      </x:c>
      <x:c r="G1251" s="7" t="n">
        <x:v>280</x:v>
      </x:c>
      <x:c r="H1251" s="9" t="n">
        <x:v>0.02</x:v>
      </x:c>
      <x:c r="I1251" s="7" t="n">
        <x:v>1646.4</x:v>
      </x:c>
    </x:row>
    <x:row r="1252" ht="23" customHeight="1">
      <x:c r="A1252" s="7" t="str">
        <x:v>INV01247</x:v>
      </x:c>
      <x:c r="B1252" s="15" t="d">
        <x:v>2026-03-06T00:00:00.000Z</x:v>
      </x:c>
      <x:c r="C1252" s="14" t="d">
        <x:v>2026-03-01T00:00:00.000Z</x:v>
      </x:c>
      <x:c r="D1252" s="34" t="str">
        <x:v>0008</x:v>
      </x:c>
      <x:c r="E1252" s="7" t="str">
        <x:v>North</x:v>
      </x:c>
      <x:c r="F1252" s="7" t="n">
        <x:v>4</x:v>
      </x:c>
      <x:c r="G1252" s="7" t="n">
        <x:v>300</x:v>
      </x:c>
      <x:c r="H1252" s="9" t="n">
        <x:v>0.05</x:v>
      </x:c>
      <x:c r="I1252" s="7" t="n">
        <x:v>1140</x:v>
      </x:c>
    </x:row>
    <x:row r="1253" ht="23" customHeight="1">
      <x:c r="A1253" s="7" t="str">
        <x:v>INV01248</x:v>
      </x:c>
      <x:c r="B1253" s="15" t="d">
        <x:v>2026-04-07T00:00:00.000Z</x:v>
      </x:c>
      <x:c r="C1253" s="14" t="d">
        <x:v>2026-04-01T00:00:00.000Z</x:v>
      </x:c>
      <x:c r="D1253" s="34" t="str">
        <x:v>0001</x:v>
      </x:c>
      <x:c r="E1253" s="7" t="str">
        <x:v>Central</x:v>
      </x:c>
      <x:c r="F1253" s="7" t="n">
        <x:v>2</x:v>
      </x:c>
      <x:c r="G1253" s="7" t="n">
        <x:v>160</x:v>
      </x:c>
      <x:c r="H1253" s="9" t="n">
        <x:v>0</x:v>
      </x:c>
      <x:c r="I1253" s="7" t="n">
        <x:v>320</x:v>
      </x:c>
    </x:row>
    <x:row r="1254" ht="23" customHeight="1">
      <x:c r="A1254" s="7" t="str">
        <x:v>INV01249</x:v>
      </x:c>
      <x:c r="B1254" s="15" t="d">
        <x:v>2026-04-08T00:00:00.000Z</x:v>
      </x:c>
      <x:c r="C1254" s="14" t="d">
        <x:v>2026-04-01T00:00:00.000Z</x:v>
      </x:c>
      <x:c r="D1254" s="34" t="str">
        <x:v>0002</x:v>
      </x:c>
      <x:c r="E1254" s="7" t="str">
        <x:v>Central</x:v>
      </x:c>
      <x:c r="F1254" s="7" t="n">
        <x:v>1</x:v>
      </x:c>
      <x:c r="G1254" s="7" t="n">
        <x:v>180</x:v>
      </x:c>
      <x:c r="H1254" s="9" t="n">
        <x:v>0.02</x:v>
      </x:c>
      <x:c r="I1254" s="7" t="n">
        <x:v>176.4</x:v>
      </x:c>
    </x:row>
    <x:row r="1255" ht="23" customHeight="1">
      <x:c r="A1255" s="7" t="str">
        <x:v>INV01250</x:v>
      </x:c>
      <x:c r="B1255" s="15" t="d">
        <x:v>2026-04-09T00:00:00.000Z</x:v>
      </x:c>
      <x:c r="C1255" s="14" t="d">
        <x:v>2026-04-01T00:00:00.000Z</x:v>
      </x:c>
      <x:c r="D1255" s="34" t="str">
        <x:v>0003</x:v>
      </x:c>
      <x:c r="E1255" s="7" t="str">
        <x:v>Central</x:v>
      </x:c>
      <x:c r="F1255" s="7" t="n">
        <x:v>6</x:v>
      </x:c>
      <x:c r="G1255" s="7" t="n">
        <x:v>200</x:v>
      </x:c>
      <x:c r="H1255" s="9" t="n">
        <x:v>0.05</x:v>
      </x:c>
      <x:c r="I1255" s="7" t="n">
        <x:v>1140</x:v>
      </x:c>
    </x:row>
    <x:row r="1256" ht="23" customHeight="1">
      <x:c r="A1256" s="7" t="str">
        <x:v>INV01251</x:v>
      </x:c>
      <x:c r="B1256" s="15" t="d">
        <x:v>2026-04-10T00:00:00.000Z</x:v>
      </x:c>
      <x:c r="C1256" s="14" t="d">
        <x:v>2026-04-01T00:00:00.000Z</x:v>
      </x:c>
      <x:c r="D1256" s="34" t="str">
        <x:v>0004</x:v>
      </x:c>
      <x:c r="E1256" s="7" t="str">
        <x:v>Central</x:v>
      </x:c>
      <x:c r="F1256" s="7" t="n">
        <x:v>3</x:v>
      </x:c>
      <x:c r="G1256" s="7" t="n">
        <x:v>220</x:v>
      </x:c>
      <x:c r="H1256" s="9" t="n">
        <x:v>0</x:v>
      </x:c>
      <x:c r="I1256" s="7" t="n">
        <x:v>660</x:v>
      </x:c>
    </x:row>
    <x:row r="1257" ht="23" customHeight="1">
      <x:c r="A1257" s="7" t="str">
        <x:v>INV01252</x:v>
      </x:c>
      <x:c r="B1257" s="15" t="d">
        <x:v>2026-04-11T00:00:00.000Z</x:v>
      </x:c>
      <x:c r="C1257" s="14" t="d">
        <x:v>2026-04-01T00:00:00.000Z</x:v>
      </x:c>
      <x:c r="D1257" s="34" t="str">
        <x:v>0005</x:v>
      </x:c>
      <x:c r="E1257" s="7" t="str">
        <x:v>Central</x:v>
      </x:c>
      <x:c r="F1257" s="7" t="n">
        <x:v>3</x:v>
      </x:c>
      <x:c r="G1257" s="7" t="n">
        <x:v>240</x:v>
      </x:c>
      <x:c r="H1257" s="9" t="n">
        <x:v>0.02</x:v>
      </x:c>
      <x:c r="I1257" s="7" t="n">
        <x:v>705.6</x:v>
      </x:c>
    </x:row>
    <x:row r="1258" ht="23" customHeight="1">
      <x:c r="A1258" s="7" t="str">
        <x:v>INV01253</x:v>
      </x:c>
      <x:c r="B1258" s="15" t="d">
        <x:v>2026-04-12T00:00:00.000Z</x:v>
      </x:c>
      <x:c r="C1258" s="14" t="d">
        <x:v>2026-04-01T00:00:00.000Z</x:v>
      </x:c>
      <x:c r="D1258" s="34" t="str">
        <x:v>0006</x:v>
      </x:c>
      <x:c r="E1258" s="7" t="str">
        <x:v>Central</x:v>
      </x:c>
      <x:c r="F1258" s="7" t="n">
        <x:v>1</x:v>
      </x:c>
      <x:c r="G1258" s="7" t="n">
        <x:v>260</x:v>
      </x:c>
      <x:c r="H1258" s="9" t="n">
        <x:v>0.05</x:v>
      </x:c>
      <x:c r="I1258" s="7" t="n">
        <x:v>247</x:v>
      </x:c>
    </x:row>
    <x:row r="1259" ht="23" customHeight="1">
      <x:c r="A1259" s="7" t="str">
        <x:v>INV01254</x:v>
      </x:c>
      <x:c r="B1259" s="15" t="d">
        <x:v>2026-04-13T00:00:00.000Z</x:v>
      </x:c>
      <x:c r="C1259" s="14" t="d">
        <x:v>2026-04-01T00:00:00.000Z</x:v>
      </x:c>
      <x:c r="D1259" s="34" t="str">
        <x:v>0007</x:v>
      </x:c>
      <x:c r="E1259" s="7" t="str">
        <x:v>Central</x:v>
      </x:c>
      <x:c r="F1259" s="7" t="n">
        <x:v>7</x:v>
      </x:c>
      <x:c r="G1259" s="7" t="n">
        <x:v>280</x:v>
      </x:c>
      <x:c r="H1259" s="9" t="n">
        <x:v>0</x:v>
      </x:c>
      <x:c r="I1259" s="7" t="n">
        <x:v>1960</x:v>
      </x:c>
    </x:row>
    <x:row r="1260" ht="23" customHeight="1">
      <x:c r="A1260" s="7" t="str">
        <x:v>INV01255</x:v>
      </x:c>
      <x:c r="B1260" s="15" t="d">
        <x:v>2026-04-14T00:00:00.000Z</x:v>
      </x:c>
      <x:c r="C1260" s="14" t="d">
        <x:v>2026-04-01T00:00:00.000Z</x:v>
      </x:c>
      <x:c r="D1260" s="34" t="str">
        <x:v>0008</x:v>
      </x:c>
      <x:c r="E1260" s="7" t="str">
        <x:v>Central</x:v>
      </x:c>
      <x:c r="F1260" s="7" t="n">
        <x:v>3</x:v>
      </x:c>
      <x:c r="G1260" s="7" t="n">
        <x:v>300</x:v>
      </x:c>
      <x:c r="H1260" s="9" t="n">
        <x:v>0.02</x:v>
      </x:c>
      <x:c r="I1260" s="7" t="n">
        <x:v>882</x:v>
      </x:c>
    </x:row>
    <x:row r="1261" ht="23" customHeight="1">
      <x:c r="A1261" s="7" t="str">
        <x:v>INV01256</x:v>
      </x:c>
      <x:c r="B1261" s="15" t="d">
        <x:v>2026-04-15T00:00:00.000Z</x:v>
      </x:c>
      <x:c r="C1261" s="14" t="d">
        <x:v>2026-04-01T00:00:00.000Z</x:v>
      </x:c>
      <x:c r="D1261" s="34" t="str">
        <x:v>0001</x:v>
      </x:c>
      <x:c r="E1261" s="7" t="str">
        <x:v>East</x:v>
      </x:c>
      <x:c r="F1261" s="7" t="n">
        <x:v>6</x:v>
      </x:c>
      <x:c r="G1261" s="7" t="n">
        <x:v>160</x:v>
      </x:c>
      <x:c r="H1261" s="9" t="n">
        <x:v>0.05</x:v>
      </x:c>
      <x:c r="I1261" s="7" t="n">
        <x:v>912</x:v>
      </x:c>
    </x:row>
    <x:row r="1262" ht="23" customHeight="1">
      <x:c r="A1262" s="7" t="str">
        <x:v>INV01257</x:v>
      </x:c>
      <x:c r="B1262" s="15" t="d">
        <x:v>2026-04-16T00:00:00.000Z</x:v>
      </x:c>
      <x:c r="C1262" s="14" t="d">
        <x:v>2026-04-01T00:00:00.000Z</x:v>
      </x:c>
      <x:c r="D1262" s="34" t="str">
        <x:v>0002</x:v>
      </x:c>
      <x:c r="E1262" s="7" t="str">
        <x:v>East</x:v>
      </x:c>
      <x:c r="F1262" s="7" t="n">
        <x:v>6</x:v>
      </x:c>
      <x:c r="G1262" s="7" t="n">
        <x:v>180</x:v>
      </x:c>
      <x:c r="H1262" s="9" t="n">
        <x:v>0</x:v>
      </x:c>
      <x:c r="I1262" s="7" t="n">
        <x:v>1080</x:v>
      </x:c>
    </x:row>
    <x:row r="1263" ht="23" customHeight="1">
      <x:c r="A1263" s="7" t="str">
        <x:v>INV01258</x:v>
      </x:c>
      <x:c r="B1263" s="15" t="d">
        <x:v>2026-04-17T00:00:00.000Z</x:v>
      </x:c>
      <x:c r="C1263" s="14" t="d">
        <x:v>2026-04-01T00:00:00.000Z</x:v>
      </x:c>
      <x:c r="D1263" s="34" t="str">
        <x:v>0003</x:v>
      </x:c>
      <x:c r="E1263" s="7" t="str">
        <x:v>East</x:v>
      </x:c>
      <x:c r="F1263" s="7" t="n">
        <x:v>6</x:v>
      </x:c>
      <x:c r="G1263" s="7" t="n">
        <x:v>200</x:v>
      </x:c>
      <x:c r="H1263" s="9" t="n">
        <x:v>0.02</x:v>
      </x:c>
      <x:c r="I1263" s="7" t="n">
        <x:v>1176</x:v>
      </x:c>
    </x:row>
    <x:row r="1264" ht="23" customHeight="1">
      <x:c r="A1264" s="7" t="str">
        <x:v>INV01259</x:v>
      </x:c>
      <x:c r="B1264" s="15" t="d">
        <x:v>2026-04-18T00:00:00.000Z</x:v>
      </x:c>
      <x:c r="C1264" s="14" t="d">
        <x:v>2026-04-01T00:00:00.000Z</x:v>
      </x:c>
      <x:c r="D1264" s="34" t="str">
        <x:v>0004</x:v>
      </x:c>
      <x:c r="E1264" s="7" t="str">
        <x:v>East</x:v>
      </x:c>
      <x:c r="F1264" s="7" t="n">
        <x:v>7</x:v>
      </x:c>
      <x:c r="G1264" s="7" t="n">
        <x:v>220</x:v>
      </x:c>
      <x:c r="H1264" s="9" t="n">
        <x:v>0.05</x:v>
      </x:c>
      <x:c r="I1264" s="7" t="n">
        <x:v>1463</x:v>
      </x:c>
    </x:row>
    <x:row r="1265" ht="23" customHeight="1">
      <x:c r="A1265" s="7" t="str">
        <x:v>INV01260</x:v>
      </x:c>
      <x:c r="B1265" s="15" t="d">
        <x:v>2026-04-19T00:00:00.000Z</x:v>
      </x:c>
      <x:c r="C1265" s="14" t="d">
        <x:v>2026-04-01T00:00:00.000Z</x:v>
      </x:c>
      <x:c r="D1265" s="34" t="str">
        <x:v>0005</x:v>
      </x:c>
      <x:c r="E1265" s="7" t="str">
        <x:v>East</x:v>
      </x:c>
      <x:c r="F1265" s="7" t="n">
        <x:v>5</x:v>
      </x:c>
      <x:c r="G1265" s="7" t="n">
        <x:v>240</x:v>
      </x:c>
      <x:c r="H1265" s="9" t="n">
        <x:v>0</x:v>
      </x:c>
      <x:c r="I1265" s="7" t="n">
        <x:v>1200</x:v>
      </x:c>
    </x:row>
    <x:row r="1266" ht="23" customHeight="1">
      <x:c r="A1266" s="7" t="str">
        <x:v>INV01261</x:v>
      </x:c>
      <x:c r="B1266" s="15" t="d">
        <x:v>2026-04-20T00:00:00.000Z</x:v>
      </x:c>
      <x:c r="C1266" s="14" t="d">
        <x:v>2026-04-01T00:00:00.000Z</x:v>
      </x:c>
      <x:c r="D1266" s="34" t="str">
        <x:v>0006</x:v>
      </x:c>
      <x:c r="E1266" s="7" t="str">
        <x:v>East</x:v>
      </x:c>
      <x:c r="F1266" s="7" t="n">
        <x:v>5</x:v>
      </x:c>
      <x:c r="G1266" s="7" t="n">
        <x:v>260</x:v>
      </x:c>
      <x:c r="H1266" s="9" t="n">
        <x:v>0.02</x:v>
      </x:c>
      <x:c r="I1266" s="7" t="n">
        <x:v>1274</x:v>
      </x:c>
    </x:row>
    <x:row r="1267" ht="23" customHeight="1">
      <x:c r="A1267" s="7" t="str">
        <x:v>INV01262</x:v>
      </x:c>
      <x:c r="B1267" s="15" t="d">
        <x:v>2026-04-21T00:00:00.000Z</x:v>
      </x:c>
      <x:c r="C1267" s="14" t="d">
        <x:v>2026-04-01T00:00:00.000Z</x:v>
      </x:c>
      <x:c r="D1267" s="34" t="str">
        <x:v>0007</x:v>
      </x:c>
      <x:c r="E1267" s="7" t="str">
        <x:v>East</x:v>
      </x:c>
      <x:c r="F1267" s="7" t="n">
        <x:v>7</x:v>
      </x:c>
      <x:c r="G1267" s="7" t="n">
        <x:v>280</x:v>
      </x:c>
      <x:c r="H1267" s="9" t="n">
        <x:v>0.05</x:v>
      </x:c>
      <x:c r="I1267" s="7" t="n">
        <x:v>1862</x:v>
      </x:c>
    </x:row>
    <x:row r="1268" ht="23" customHeight="1">
      <x:c r="A1268" s="7" t="str">
        <x:v>INV01263</x:v>
      </x:c>
      <x:c r="B1268" s="15" t="d">
        <x:v>2026-04-22T00:00:00.000Z</x:v>
      </x:c>
      <x:c r="C1268" s="14" t="d">
        <x:v>2026-04-01T00:00:00.000Z</x:v>
      </x:c>
      <x:c r="D1268" s="34" t="str">
        <x:v>0008</x:v>
      </x:c>
      <x:c r="E1268" s="7" t="str">
        <x:v>East</x:v>
      </x:c>
      <x:c r="F1268" s="7" t="n">
        <x:v>1</x:v>
      </x:c>
      <x:c r="G1268" s="7" t="n">
        <x:v>300</x:v>
      </x:c>
      <x:c r="H1268" s="9" t="n">
        <x:v>0</x:v>
      </x:c>
      <x:c r="I1268" s="7" t="n">
        <x:v>300</x:v>
      </x:c>
    </x:row>
    <x:row r="1269" ht="23" customHeight="1">
      <x:c r="A1269" s="7" t="str">
        <x:v>INV01264</x:v>
      </x:c>
      <x:c r="B1269" s="15" t="d">
        <x:v>2026-04-23T00:00:00.000Z</x:v>
      </x:c>
      <x:c r="C1269" s="14" t="d">
        <x:v>2026-04-01T00:00:00.000Z</x:v>
      </x:c>
      <x:c r="D1269" s="34" t="str">
        <x:v>0001</x:v>
      </x:c>
      <x:c r="E1269" s="7" t="str">
        <x:v>West</x:v>
      </x:c>
      <x:c r="F1269" s="7" t="n">
        <x:v>5</x:v>
      </x:c>
      <x:c r="G1269" s="7" t="n">
        <x:v>160</x:v>
      </x:c>
      <x:c r="H1269" s="9" t="n">
        <x:v>0.02</x:v>
      </x:c>
      <x:c r="I1269" s="7" t="n">
        <x:v>784</x:v>
      </x:c>
    </x:row>
    <x:row r="1270" ht="23" customHeight="1">
      <x:c r="A1270" s="7" t="str">
        <x:v>INV01265</x:v>
      </x:c>
      <x:c r="B1270" s="15" t="d">
        <x:v>2026-04-24T00:00:00.000Z</x:v>
      </x:c>
      <x:c r="C1270" s="14" t="d">
        <x:v>2026-04-01T00:00:00.000Z</x:v>
      </x:c>
      <x:c r="D1270" s="34" t="str">
        <x:v>0002</x:v>
      </x:c>
      <x:c r="E1270" s="7" t="str">
        <x:v>West</x:v>
      </x:c>
      <x:c r="F1270" s="7" t="n">
        <x:v>3</x:v>
      </x:c>
      <x:c r="G1270" s="7" t="n">
        <x:v>180</x:v>
      </x:c>
      <x:c r="H1270" s="9" t="n">
        <x:v>0.05</x:v>
      </x:c>
      <x:c r="I1270" s="7" t="n">
        <x:v>513</x:v>
      </x:c>
    </x:row>
    <x:row r="1271" ht="23" customHeight="1">
      <x:c r="A1271" s="7" t="str">
        <x:v>INV01266</x:v>
      </x:c>
      <x:c r="B1271" s="15" t="d">
        <x:v>2026-04-25T00:00:00.000Z</x:v>
      </x:c>
      <x:c r="C1271" s="14" t="d">
        <x:v>2026-04-01T00:00:00.000Z</x:v>
      </x:c>
      <x:c r="D1271" s="34" t="str">
        <x:v>0003</x:v>
      </x:c>
      <x:c r="E1271" s="7" t="str">
        <x:v>West</x:v>
      </x:c>
      <x:c r="F1271" s="7" t="n">
        <x:v>3</x:v>
      </x:c>
      <x:c r="G1271" s="7" t="n">
        <x:v>200</x:v>
      </x:c>
      <x:c r="H1271" s="9" t="n">
        <x:v>0</x:v>
      </x:c>
      <x:c r="I1271" s="7" t="n">
        <x:v>600</x:v>
      </x:c>
    </x:row>
    <x:row r="1272" ht="23" customHeight="1">
      <x:c r="A1272" s="7" t="str">
        <x:v>INV01267</x:v>
      </x:c>
      <x:c r="B1272" s="15" t="d">
        <x:v>2026-04-26T00:00:00.000Z</x:v>
      </x:c>
      <x:c r="C1272" s="14" t="d">
        <x:v>2026-04-01T00:00:00.000Z</x:v>
      </x:c>
      <x:c r="D1272" s="34" t="str">
        <x:v>0004</x:v>
      </x:c>
      <x:c r="E1272" s="7" t="str">
        <x:v>West</x:v>
      </x:c>
      <x:c r="F1272" s="7" t="n">
        <x:v>2</x:v>
      </x:c>
      <x:c r="G1272" s="7" t="n">
        <x:v>220</x:v>
      </x:c>
      <x:c r="H1272" s="9" t="n">
        <x:v>0.02</x:v>
      </x:c>
      <x:c r="I1272" s="7" t="n">
        <x:v>431.2</x:v>
      </x:c>
    </x:row>
    <x:row r="1273" ht="23" customHeight="1">
      <x:c r="A1273" s="7" t="str">
        <x:v>INV01268</x:v>
      </x:c>
      <x:c r="B1273" s="15" t="d">
        <x:v>2026-04-27T00:00:00.000Z</x:v>
      </x:c>
      <x:c r="C1273" s="14" t="d">
        <x:v>2026-04-01T00:00:00.000Z</x:v>
      </x:c>
      <x:c r="D1273" s="34" t="str">
        <x:v>0005</x:v>
      </x:c>
      <x:c r="E1273" s="7" t="str">
        <x:v>West</x:v>
      </x:c>
      <x:c r="F1273" s="7" t="n">
        <x:v>2</x:v>
      </x:c>
      <x:c r="G1273" s="7" t="n">
        <x:v>240</x:v>
      </x:c>
      <x:c r="H1273" s="9" t="n">
        <x:v>0.05</x:v>
      </x:c>
      <x:c r="I1273" s="7" t="n">
        <x:v>456</x:v>
      </x:c>
    </x:row>
    <x:row r="1274" ht="23" customHeight="1">
      <x:c r="A1274" s="7" t="str">
        <x:v>INV01269</x:v>
      </x:c>
      <x:c r="B1274" s="15" t="d">
        <x:v>2026-04-01T00:00:00.000Z</x:v>
      </x:c>
      <x:c r="C1274" s="14" t="d">
        <x:v>2026-04-01T00:00:00.000Z</x:v>
      </x:c>
      <x:c r="D1274" s="34" t="str">
        <x:v>0006</x:v>
      </x:c>
      <x:c r="E1274" s="7" t="str">
        <x:v>West</x:v>
      </x:c>
      <x:c r="F1274" s="7" t="n">
        <x:v>6</x:v>
      </x:c>
      <x:c r="G1274" s="7" t="n">
        <x:v>260</x:v>
      </x:c>
      <x:c r="H1274" s="9" t="n">
        <x:v>0</x:v>
      </x:c>
      <x:c r="I1274" s="7" t="n">
        <x:v>1560</x:v>
      </x:c>
    </x:row>
    <x:row r="1275" ht="23" customHeight="1">
      <x:c r="A1275" s="7" t="str">
        <x:v>INV01270</x:v>
      </x:c>
      <x:c r="B1275" s="15" t="d">
        <x:v>2026-04-02T00:00:00.000Z</x:v>
      </x:c>
      <x:c r="C1275" s="14" t="d">
        <x:v>2026-04-01T00:00:00.000Z</x:v>
      </x:c>
      <x:c r="D1275" s="34" t="str">
        <x:v>0007</x:v>
      </x:c>
      <x:c r="E1275" s="7" t="str">
        <x:v>West</x:v>
      </x:c>
      <x:c r="F1275" s="7" t="n">
        <x:v>3</x:v>
      </x:c>
      <x:c r="G1275" s="7" t="n">
        <x:v>280</x:v>
      </x:c>
      <x:c r="H1275" s="9" t="n">
        <x:v>0.02</x:v>
      </x:c>
      <x:c r="I1275" s="7" t="n">
        <x:v>823.2</x:v>
      </x:c>
    </x:row>
    <x:row r="1276" ht="23" customHeight="1">
      <x:c r="A1276" s="7" t="str">
        <x:v>INV01271</x:v>
      </x:c>
      <x:c r="B1276" s="15" t="d">
        <x:v>2026-04-03T00:00:00.000Z</x:v>
      </x:c>
      <x:c r="C1276" s="14" t="d">
        <x:v>2026-04-01T00:00:00.000Z</x:v>
      </x:c>
      <x:c r="D1276" s="34" t="str">
        <x:v>0008</x:v>
      </x:c>
      <x:c r="E1276" s="7" t="str">
        <x:v>West</x:v>
      </x:c>
      <x:c r="F1276" s="7" t="n">
        <x:v>-1</x:v>
      </x:c>
      <x:c r="G1276" s="7" t="n">
        <x:v>300</x:v>
      </x:c>
      <x:c r="H1276" s="9" t="n">
        <x:v>0.05</x:v>
      </x:c>
      <x:c r="I1276" s="7" t="n">
        <x:v>-285</x:v>
      </x:c>
    </x:row>
    <x:row r="1277" ht="23" customHeight="1">
      <x:c r="A1277" s="7" t="str">
        <x:v>INV01272</x:v>
      </x:c>
      <x:c r="B1277" s="15" t="d">
        <x:v>2026-04-04T00:00:00.000Z</x:v>
      </x:c>
      <x:c r="C1277" s="14" t="d">
        <x:v>2026-04-01T00:00:00.000Z</x:v>
      </x:c>
      <x:c r="D1277" s="34" t="str">
        <x:v>0001</x:v>
      </x:c>
      <x:c r="E1277" s="7" t="str">
        <x:v>North</x:v>
      </x:c>
      <x:c r="F1277" s="7" t="n">
        <x:v>4</x:v>
      </x:c>
      <x:c r="G1277" s="7" t="n">
        <x:v>160</x:v>
      </x:c>
      <x:c r="H1277" s="9" t="n">
        <x:v>0</x:v>
      </x:c>
      <x:c r="I1277" s="7" t="n">
        <x:v>640</x:v>
      </x:c>
    </x:row>
    <x:row r="1278" ht="23" customHeight="1">
      <x:c r="A1278" s="7" t="str">
        <x:v>INV01273</x:v>
      </x:c>
      <x:c r="B1278" s="15" t="d">
        <x:v>2026-04-05T00:00:00.000Z</x:v>
      </x:c>
      <x:c r="C1278" s="14" t="d">
        <x:v>2026-04-01T00:00:00.000Z</x:v>
      </x:c>
      <x:c r="D1278" s="34" t="str">
        <x:v>0002</x:v>
      </x:c>
      <x:c r="E1278" s="7" t="str">
        <x:v>North</x:v>
      </x:c>
      <x:c r="F1278" s="7" t="n">
        <x:v>3</x:v>
      </x:c>
      <x:c r="G1278" s="7" t="n">
        <x:v>180</x:v>
      </x:c>
      <x:c r="H1278" s="9" t="n">
        <x:v>0.02</x:v>
      </x:c>
      <x:c r="I1278" s="7" t="n">
        <x:v>529.2</x:v>
      </x:c>
    </x:row>
    <x:row r="1279" ht="23" customHeight="1">
      <x:c r="A1279" s="7" t="str">
        <x:v>INV01274</x:v>
      </x:c>
      <x:c r="B1279" s="15" t="d">
        <x:v>2026-04-06T00:00:00.000Z</x:v>
      </x:c>
      <x:c r="C1279" s="14" t="d">
        <x:v>2026-04-01T00:00:00.000Z</x:v>
      </x:c>
      <x:c r="D1279" s="34" t="str">
        <x:v>0003</x:v>
      </x:c>
      <x:c r="E1279" s="7" t="str">
        <x:v>North</x:v>
      </x:c>
      <x:c r="F1279" s="7" t="n">
        <x:v>6</x:v>
      </x:c>
      <x:c r="G1279" s="7" t="n">
        <x:v>200</x:v>
      </x:c>
      <x:c r="H1279" s="9" t="n">
        <x:v>0.05</x:v>
      </x:c>
      <x:c r="I1279" s="7" t="n">
        <x:v>1140</x:v>
      </x:c>
    </x:row>
    <x:row r="1280" ht="23" customHeight="1">
      <x:c r="A1280" s="7" t="str">
        <x:v>INV01275</x:v>
      </x:c>
      <x:c r="B1280" s="15" t="d">
        <x:v>2026-04-07T00:00:00.000Z</x:v>
      </x:c>
      <x:c r="C1280" s="14" t="d">
        <x:v>2026-04-01T00:00:00.000Z</x:v>
      </x:c>
      <x:c r="D1280" s="34" t="str">
        <x:v>0004</x:v>
      </x:c>
      <x:c r="E1280" s="7" t="str">
        <x:v>North</x:v>
      </x:c>
      <x:c r="F1280" s="7" t="n">
        <x:v>6</x:v>
      </x:c>
      <x:c r="G1280" s="7" t="n">
        <x:v>220</x:v>
      </x:c>
      <x:c r="H1280" s="9" t="n">
        <x:v>0</x:v>
      </x:c>
      <x:c r="I1280" s="7" t="n">
        <x:v>1320</x:v>
      </x:c>
    </x:row>
    <x:row r="1281" ht="23" customHeight="1">
      <x:c r="A1281" s="7" t="str">
        <x:v>INV01276</x:v>
      </x:c>
      <x:c r="B1281" s="15" t="d">
        <x:v>2026-04-08T00:00:00.000Z</x:v>
      </x:c>
      <x:c r="C1281" s="14" t="d">
        <x:v>2026-04-01T00:00:00.000Z</x:v>
      </x:c>
      <x:c r="D1281" s="34" t="str">
        <x:v>0005</x:v>
      </x:c>
      <x:c r="E1281" s="7" t="str">
        <x:v>North</x:v>
      </x:c>
      <x:c r="F1281" s="7" t="n">
        <x:v>2</x:v>
      </x:c>
      <x:c r="G1281" s="7" t="n">
        <x:v>240</x:v>
      </x:c>
      <x:c r="H1281" s="9" t="n">
        <x:v>0.02</x:v>
      </x:c>
      <x:c r="I1281" s="7" t="n">
        <x:v>470.4</x:v>
      </x:c>
    </x:row>
    <x:row r="1282" ht="23" customHeight="1">
      <x:c r="A1282" s="7" t="str">
        <x:v>INV01277</x:v>
      </x:c>
      <x:c r="B1282" s="15" t="d">
        <x:v>2026-04-09T00:00:00.000Z</x:v>
      </x:c>
      <x:c r="C1282" s="14" t="d">
        <x:v>2026-04-01T00:00:00.000Z</x:v>
      </x:c>
      <x:c r="D1282" s="34" t="str">
        <x:v>0006</x:v>
      </x:c>
      <x:c r="E1282" s="7" t="str">
        <x:v>North</x:v>
      </x:c>
      <x:c r="F1282" s="7" t="n">
        <x:v>7</x:v>
      </x:c>
      <x:c r="G1282" s="7" t="n">
        <x:v>260</x:v>
      </x:c>
      <x:c r="H1282" s="9" t="n">
        <x:v>0.05</x:v>
      </x:c>
      <x:c r="I1282" s="7" t="n">
        <x:v>1729</x:v>
      </x:c>
    </x:row>
    <x:row r="1283" ht="23" customHeight="1">
      <x:c r="A1283" s="7" t="str">
        <x:v>INV01278</x:v>
      </x:c>
      <x:c r="B1283" s="15" t="d">
        <x:v>2026-04-10T00:00:00.000Z</x:v>
      </x:c>
      <x:c r="C1283" s="14" t="d">
        <x:v>2026-04-01T00:00:00.000Z</x:v>
      </x:c>
      <x:c r="D1283" s="34" t="str">
        <x:v>0007</x:v>
      </x:c>
      <x:c r="E1283" s="7" t="str">
        <x:v>North</x:v>
      </x:c>
      <x:c r="F1283" s="7" t="n">
        <x:v>5</x:v>
      </x:c>
      <x:c r="G1283" s="7" t="n">
        <x:v>280</x:v>
      </x:c>
      <x:c r="H1283" s="9" t="n">
        <x:v>0</x:v>
      </x:c>
      <x:c r="I1283" s="7" t="n">
        <x:v>1400</x:v>
      </x:c>
    </x:row>
    <x:row r="1284" ht="23" customHeight="1">
      <x:c r="A1284" s="7" t="str">
        <x:v>INV01279</x:v>
      </x:c>
      <x:c r="B1284" s="15" t="d">
        <x:v>2026-04-11T00:00:00.000Z</x:v>
      </x:c>
      <x:c r="C1284" s="14" t="d">
        <x:v>2026-04-01T00:00:00.000Z</x:v>
      </x:c>
      <x:c r="D1284" s="34" t="str">
        <x:v>0008</x:v>
      </x:c>
      <x:c r="E1284" s="7" t="str">
        <x:v>North</x:v>
      </x:c>
      <x:c r="F1284" s="7" t="n">
        <x:v>4</x:v>
      </x:c>
      <x:c r="G1284" s="7" t="n">
        <x:v>300</x:v>
      </x:c>
      <x:c r="H1284" s="9" t="n">
        <x:v>0.02</x:v>
      </x:c>
      <x:c r="I1284" s="7" t="n">
        <x:v>1176</x:v>
      </x:c>
    </x:row>
    <x:row r="1285" ht="23" customHeight="1">
      <x:c r="A1285" s="7" t="str">
        <x:v>INV01280</x:v>
      </x:c>
      <x:c r="B1285" s="15" t="d">
        <x:v>2026-05-12T00:00:00.000Z</x:v>
      </x:c>
      <x:c r="C1285" s="14" t="d">
        <x:v>2026-05-01T00:00:00.000Z</x:v>
      </x:c>
      <x:c r="D1285" s="34" t="str">
        <x:v>0001</x:v>
      </x:c>
      <x:c r="E1285" s="7" t="str">
        <x:v>Central</x:v>
      </x:c>
      <x:c r="F1285" s="7" t="n">
        <x:v>2</x:v>
      </x:c>
      <x:c r="G1285" s="7" t="n">
        <x:v>160</x:v>
      </x:c>
      <x:c r="H1285" s="9" t="n">
        <x:v>0.05</x:v>
      </x:c>
      <x:c r="I1285" s="7" t="n">
        <x:v>304</x:v>
      </x:c>
    </x:row>
    <x:row r="1286" ht="23" customHeight="1">
      <x:c r="A1286" s="7" t="str">
        <x:v>INV01281</x:v>
      </x:c>
      <x:c r="B1286" s="15" t="d">
        <x:v>2026-05-13T00:00:00.000Z</x:v>
      </x:c>
      <x:c r="C1286" s="14" t="d">
        <x:v>2026-05-01T00:00:00.000Z</x:v>
      </x:c>
      <x:c r="D1286" s="34" t="str">
        <x:v>0002</x:v>
      </x:c>
      <x:c r="E1286" s="7" t="str">
        <x:v>Central</x:v>
      </x:c>
      <x:c r="F1286" s="7" t="n">
        <x:v>4</x:v>
      </x:c>
      <x:c r="G1286" s="7" t="n">
        <x:v>180</x:v>
      </x:c>
      <x:c r="H1286" s="9" t="n">
        <x:v>0</x:v>
      </x:c>
      <x:c r="I1286" s="7" t="n">
        <x:v>720</x:v>
      </x:c>
    </x:row>
    <x:row r="1287" ht="23" customHeight="1">
      <x:c r="A1287" s="7" t="str">
        <x:v>INV01282</x:v>
      </x:c>
      <x:c r="B1287" s="15" t="d">
        <x:v>2026-05-14T00:00:00.000Z</x:v>
      </x:c>
      <x:c r="C1287" s="14" t="d">
        <x:v>2026-05-01T00:00:00.000Z</x:v>
      </x:c>
      <x:c r="D1287" s="34" t="str">
        <x:v>0003</x:v>
      </x:c>
      <x:c r="E1287" s="7" t="str">
        <x:v>Central</x:v>
      </x:c>
      <x:c r="F1287" s="7" t="n">
        <x:v>5</x:v>
      </x:c>
      <x:c r="G1287" s="7" t="n">
        <x:v>200</x:v>
      </x:c>
      <x:c r="H1287" s="9" t="n">
        <x:v>0.02</x:v>
      </x:c>
      <x:c r="I1287" s="7" t="n">
        <x:v>980</x:v>
      </x:c>
    </x:row>
    <x:row r="1288" ht="23" customHeight="1">
      <x:c r="A1288" s="7" t="str">
        <x:v>INV01283</x:v>
      </x:c>
      <x:c r="B1288" s="15" t="d">
        <x:v>2026-05-15T00:00:00.000Z</x:v>
      </x:c>
      <x:c r="C1288" s="14" t="d">
        <x:v>2026-05-01T00:00:00.000Z</x:v>
      </x:c>
      <x:c r="D1288" s="34" t="str">
        <x:v>0004</x:v>
      </x:c>
      <x:c r="E1288" s="7" t="str">
        <x:v>Central</x:v>
      </x:c>
      <x:c r="F1288" s="7" t="n">
        <x:v>5</x:v>
      </x:c>
      <x:c r="G1288" s="7" t="n">
        <x:v>220</x:v>
      </x:c>
      <x:c r="H1288" s="9" t="n">
        <x:v>0.05</x:v>
      </x:c>
      <x:c r="I1288" s="7" t="n">
        <x:v>1045</x:v>
      </x:c>
    </x:row>
    <x:row r="1289" ht="23" customHeight="1">
      <x:c r="A1289" s="7" t="str">
        <x:v>INV01284</x:v>
      </x:c>
      <x:c r="B1289" s="15" t="d">
        <x:v>2026-05-16T00:00:00.000Z</x:v>
      </x:c>
      <x:c r="C1289" s="14" t="d">
        <x:v>2026-05-01T00:00:00.000Z</x:v>
      </x:c>
      <x:c r="D1289" s="34" t="str">
        <x:v>0005</x:v>
      </x:c>
      <x:c r="E1289" s="7" t="str">
        <x:v>Central</x:v>
      </x:c>
      <x:c r="F1289" s="7" t="n">
        <x:v>1</x:v>
      </x:c>
      <x:c r="G1289" s="7" t="n">
        <x:v>240</x:v>
      </x:c>
      <x:c r="H1289" s="9" t="n">
        <x:v>0</x:v>
      </x:c>
      <x:c r="I1289" s="7" t="n">
        <x:v>240</x:v>
      </x:c>
    </x:row>
    <x:row r="1290" ht="23" customHeight="1">
      <x:c r="A1290" s="7" t="str">
        <x:v>INV01285</x:v>
      </x:c>
      <x:c r="B1290" s="15" t="d">
        <x:v>2026-05-17T00:00:00.000Z</x:v>
      </x:c>
      <x:c r="C1290" s="14" t="d">
        <x:v>2026-05-01T00:00:00.000Z</x:v>
      </x:c>
      <x:c r="D1290" s="34" t="str">
        <x:v>0006</x:v>
      </x:c>
      <x:c r="E1290" s="7" t="str">
        <x:v>Central</x:v>
      </x:c>
      <x:c r="F1290" s="7" t="n">
        <x:v>3</x:v>
      </x:c>
      <x:c r="G1290" s="7" t="n">
        <x:v>260</x:v>
      </x:c>
      <x:c r="H1290" s="9" t="n">
        <x:v>0.02</x:v>
      </x:c>
      <x:c r="I1290" s="7" t="n">
        <x:v>764.4</x:v>
      </x:c>
    </x:row>
    <x:row r="1291" ht="23" customHeight="1">
      <x:c r="A1291" s="7" t="str">
        <x:v>INV01286</x:v>
      </x:c>
      <x:c r="B1291" s="15" t="d">
        <x:v>2026-05-18T00:00:00.000Z</x:v>
      </x:c>
      <x:c r="C1291" s="14" t="d">
        <x:v>2026-05-01T00:00:00.000Z</x:v>
      </x:c>
      <x:c r="D1291" s="34" t="str">
        <x:v>0007</x:v>
      </x:c>
      <x:c r="E1291" s="7" t="str">
        <x:v>Central</x:v>
      </x:c>
      <x:c r="F1291" s="7" t="n">
        <x:v>2</x:v>
      </x:c>
      <x:c r="G1291" s="7" t="n">
        <x:v>280</x:v>
      </x:c>
      <x:c r="H1291" s="9" t="n">
        <x:v>0.05</x:v>
      </x:c>
      <x:c r="I1291" s="7" t="n">
        <x:v>532</x:v>
      </x:c>
    </x:row>
    <x:row r="1292" ht="23" customHeight="1">
      <x:c r="A1292" s="7" t="str">
        <x:v>INV01287</x:v>
      </x:c>
      <x:c r="B1292" s="15" t="d">
        <x:v>2026-05-19T00:00:00.000Z</x:v>
      </x:c>
      <x:c r="C1292" s="14" t="d">
        <x:v>2026-05-01T00:00:00.000Z</x:v>
      </x:c>
      <x:c r="D1292" s="34" t="str">
        <x:v>0008</x:v>
      </x:c>
      <x:c r="E1292" s="7" t="str">
        <x:v>Central</x:v>
      </x:c>
      <x:c r="F1292" s="7" t="n">
        <x:v>6</x:v>
      </x:c>
      <x:c r="G1292" s="7" t="n">
        <x:v>300</x:v>
      </x:c>
      <x:c r="H1292" s="9" t="n">
        <x:v>0</x:v>
      </x:c>
      <x:c r="I1292" s="7" t="n">
        <x:v>1800</x:v>
      </x:c>
    </x:row>
    <x:row r="1293" ht="23" customHeight="1">
      <x:c r="A1293" s="7" t="str">
        <x:v>INV01288</x:v>
      </x:c>
      <x:c r="B1293" s="15" t="d">
        <x:v>2026-05-20T00:00:00.000Z</x:v>
      </x:c>
      <x:c r="C1293" s="14" t="d">
        <x:v>2026-05-01T00:00:00.000Z</x:v>
      </x:c>
      <x:c r="D1293" s="34" t="str">
        <x:v>0001</x:v>
      </x:c>
      <x:c r="E1293" s="7" t="str">
        <x:v>East</x:v>
      </x:c>
      <x:c r="F1293" s="7" t="n">
        <x:v>6</x:v>
      </x:c>
      <x:c r="G1293" s="7" t="n">
        <x:v>160</x:v>
      </x:c>
      <x:c r="H1293" s="9" t="n">
        <x:v>0.02</x:v>
      </x:c>
      <x:c r="I1293" s="7" t="n">
        <x:v>940.8</x:v>
      </x:c>
    </x:row>
    <x:row r="1294" ht="23" customHeight="1">
      <x:c r="A1294" s="7" t="str">
        <x:v>INV01289</x:v>
      </x:c>
      <x:c r="B1294" s="15" t="d">
        <x:v>2026-05-21T00:00:00.000Z</x:v>
      </x:c>
      <x:c r="C1294" s="14" t="d">
        <x:v>2026-05-01T00:00:00.000Z</x:v>
      </x:c>
      <x:c r="D1294" s="34" t="str">
        <x:v>0002</x:v>
      </x:c>
      <x:c r="E1294" s="7" t="str">
        <x:v>East</x:v>
      </x:c>
      <x:c r="F1294" s="7" t="n">
        <x:v>3</x:v>
      </x:c>
      <x:c r="G1294" s="7" t="n">
        <x:v>180</x:v>
      </x:c>
      <x:c r="H1294" s="9" t="n">
        <x:v>0.05</x:v>
      </x:c>
      <x:c r="I1294" s="7" t="n">
        <x:v>513</x:v>
      </x:c>
    </x:row>
    <x:row r="1295" ht="23" customHeight="1">
      <x:c r="A1295" s="7" t="str">
        <x:v>INV01290</x:v>
      </x:c>
      <x:c r="B1295" s="15" t="d">
        <x:v>2026-05-22T00:00:00.000Z</x:v>
      </x:c>
      <x:c r="C1295" s="14" t="d">
        <x:v>2026-05-01T00:00:00.000Z</x:v>
      </x:c>
      <x:c r="D1295" s="34" t="str">
        <x:v>0003</x:v>
      </x:c>
      <x:c r="E1295" s="7" t="str">
        <x:v>East</x:v>
      </x:c>
      <x:c r="F1295" s="7" t="n">
        <x:v>1</x:v>
      </x:c>
      <x:c r="G1295" s="7" t="n">
        <x:v>200</x:v>
      </x:c>
      <x:c r="H1295" s="9" t="n">
        <x:v>0</x:v>
      </x:c>
      <x:c r="I1295" s="7" t="n">
        <x:v>200</x:v>
      </x:c>
    </x:row>
    <x:row r="1296" ht="23" customHeight="1">
      <x:c r="A1296" s="7" t="str">
        <x:v>INV01291</x:v>
      </x:c>
      <x:c r="B1296" s="15" t="d">
        <x:v>2026-05-23T00:00:00.000Z</x:v>
      </x:c>
      <x:c r="C1296" s="14" t="d">
        <x:v>2026-05-01T00:00:00.000Z</x:v>
      </x:c>
      <x:c r="D1296" s="34" t="str">
        <x:v>0004</x:v>
      </x:c>
      <x:c r="E1296" s="7" t="str">
        <x:v>East</x:v>
      </x:c>
      <x:c r="F1296" s="7" t="n">
        <x:v>7</x:v>
      </x:c>
      <x:c r="G1296" s="7" t="n">
        <x:v>220</x:v>
      </x:c>
      <x:c r="H1296" s="9" t="n">
        <x:v>0.02</x:v>
      </x:c>
      <x:c r="I1296" s="7" t="n">
        <x:v>1509.2</x:v>
      </x:c>
    </x:row>
    <x:row r="1297" ht="23" customHeight="1">
      <x:c r="A1297" s="7" t="str">
        <x:v>INV01292</x:v>
      </x:c>
      <x:c r="B1297" s="15" t="d">
        <x:v>2026-05-24T00:00:00.000Z</x:v>
      </x:c>
      <x:c r="C1297" s="14" t="d">
        <x:v>2026-05-01T00:00:00.000Z</x:v>
      </x:c>
      <x:c r="D1297" s="34" t="str">
        <x:v>0005</x:v>
      </x:c>
      <x:c r="E1297" s="7" t="str">
        <x:v>East</x:v>
      </x:c>
      <x:c r="F1297" s="7" t="n">
        <x:v>6</x:v>
      </x:c>
      <x:c r="G1297" s="7" t="n">
        <x:v>240</x:v>
      </x:c>
      <x:c r="H1297" s="9" t="n">
        <x:v>0.05</x:v>
      </x:c>
      <x:c r="I1297" s="7" t="n">
        <x:v>1368</x:v>
      </x:c>
    </x:row>
    <x:row r="1298" ht="23" customHeight="1">
      <x:c r="A1298" s="7" t="str">
        <x:v>INV01293</x:v>
      </x:c>
      <x:c r="B1298" s="15" t="d">
        <x:v>2026-05-25T00:00:00.000Z</x:v>
      </x:c>
      <x:c r="C1298" s="14" t="d">
        <x:v>2026-05-01T00:00:00.000Z</x:v>
      </x:c>
      <x:c r="D1298" s="34" t="str">
        <x:v>0006</x:v>
      </x:c>
      <x:c r="E1298" s="7" t="str">
        <x:v>East</x:v>
      </x:c>
      <x:c r="F1298" s="7" t="n">
        <x:v>7</x:v>
      </x:c>
      <x:c r="G1298" s="7" t="n">
        <x:v>260</x:v>
      </x:c>
      <x:c r="H1298" s="9" t="n">
        <x:v>0</x:v>
      </x:c>
      <x:c r="I1298" s="7" t="n">
        <x:v>1820</x:v>
      </x:c>
    </x:row>
    <x:row r="1299" ht="23" customHeight="1">
      <x:c r="A1299" s="7" t="str">
        <x:v>INV01294</x:v>
      </x:c>
      <x:c r="B1299" s="15" t="d">
        <x:v>2026-05-26T00:00:00.000Z</x:v>
      </x:c>
      <x:c r="C1299" s="14" t="d">
        <x:v>2026-05-01T00:00:00.000Z</x:v>
      </x:c>
      <x:c r="D1299" s="34" t="str">
        <x:v>0007</x:v>
      </x:c>
      <x:c r="E1299" s="7" t="str">
        <x:v>East</x:v>
      </x:c>
      <x:c r="F1299" s="7" t="n">
        <x:v>5</x:v>
      </x:c>
      <x:c r="G1299" s="7" t="n">
        <x:v>280</x:v>
      </x:c>
      <x:c r="H1299" s="9" t="n">
        <x:v>0.02</x:v>
      </x:c>
      <x:c r="I1299" s="7" t="n">
        <x:v>1372</x:v>
      </x:c>
    </x:row>
    <x:row r="1300" ht="23" customHeight="1">
      <x:c r="A1300" s="7" t="str">
        <x:v>INV01295</x:v>
      </x:c>
      <x:c r="B1300" s="15" t="d">
        <x:v>2026-05-27T00:00:00.000Z</x:v>
      </x:c>
      <x:c r="C1300" s="14" t="d">
        <x:v>2026-05-01T00:00:00.000Z</x:v>
      </x:c>
      <x:c r="D1300" s="34" t="str">
        <x:v>0008</x:v>
      </x:c>
      <x:c r="E1300" s="7" t="str">
        <x:v>East</x:v>
      </x:c>
      <x:c r="F1300" s="7" t="n">
        <x:v>2</x:v>
      </x:c>
      <x:c r="G1300" s="7" t="n">
        <x:v>300</x:v>
      </x:c>
      <x:c r="H1300" s="9" t="n">
        <x:v>0.05</x:v>
      </x:c>
      <x:c r="I1300" s="7" t="n">
        <x:v>570</x:v>
      </x:c>
    </x:row>
    <x:row r="1301" ht="23" customHeight="1">
      <x:c r="A1301" s="7" t="str">
        <x:v>INV01296</x:v>
      </x:c>
      <x:c r="B1301" s="15" t="d">
        <x:v>2026-05-01T00:00:00.000Z</x:v>
      </x:c>
      <x:c r="C1301" s="14" t="d">
        <x:v>2026-05-01T00:00:00.000Z</x:v>
      </x:c>
      <x:c r="D1301" s="34" t="str">
        <x:v>0001</x:v>
      </x:c>
      <x:c r="E1301" s="7" t="str">
        <x:v>West</x:v>
      </x:c>
      <x:c r="F1301" s="7" t="n">
        <x:v>6</x:v>
      </x:c>
      <x:c r="G1301" s="7" t="n">
        <x:v>160</x:v>
      </x:c>
      <x:c r="H1301" s="9" t="n">
        <x:v>0</x:v>
      </x:c>
      <x:c r="I1301" s="7" t="n">
        <x:v>960</x:v>
      </x:c>
    </x:row>
    <x:row r="1302" ht="23" customHeight="1">
      <x:c r="A1302" s="7" t="str">
        <x:v>INV01297</x:v>
      </x:c>
      <x:c r="B1302" s="15" t="d">
        <x:v>2026-05-02T00:00:00.000Z</x:v>
      </x:c>
      <x:c r="C1302" s="14" t="d">
        <x:v>2026-05-01T00:00:00.000Z</x:v>
      </x:c>
      <x:c r="D1302" s="34" t="str">
        <x:v>0002</x:v>
      </x:c>
      <x:c r="E1302" s="7" t="str">
        <x:v>West</x:v>
      </x:c>
      <x:c r="F1302" s="7" t="n">
        <x:v>2</x:v>
      </x:c>
      <x:c r="G1302" s="7" t="n">
        <x:v>180</x:v>
      </x:c>
      <x:c r="H1302" s="9" t="n">
        <x:v>0.02</x:v>
      </x:c>
      <x:c r="I1302" s="7" t="n">
        <x:v>352.8</x:v>
      </x:c>
    </x:row>
    <x:row r="1303" ht="23" customHeight="1">
      <x:c r="A1303" s="7" t="str">
        <x:v>INV01298</x:v>
      </x:c>
      <x:c r="B1303" s="15" t="d">
        <x:v>2026-05-03T00:00:00.000Z</x:v>
      </x:c>
      <x:c r="C1303" s="14" t="d">
        <x:v>2026-05-01T00:00:00.000Z</x:v>
      </x:c>
      <x:c r="D1303" s="34" t="str">
        <x:v>0003</x:v>
      </x:c>
      <x:c r="E1303" s="7" t="str">
        <x:v>West</x:v>
      </x:c>
      <x:c r="F1303" s="7" t="n">
        <x:v>7</x:v>
      </x:c>
      <x:c r="G1303" s="7" t="n">
        <x:v>200</x:v>
      </x:c>
      <x:c r="H1303" s="9" t="n">
        <x:v>0.05</x:v>
      </x:c>
      <x:c r="I1303" s="7" t="n">
        <x:v>1330</x:v>
      </x:c>
    </x:row>
    <x:row r="1304" ht="23" customHeight="1">
      <x:c r="A1304" s="7" t="str">
        <x:v>INV01299</x:v>
      </x:c>
      <x:c r="B1304" s="15" t="d">
        <x:v>2026-05-04T00:00:00.000Z</x:v>
      </x:c>
      <x:c r="C1304" s="14" t="d">
        <x:v>2026-05-01T00:00:00.000Z</x:v>
      </x:c>
      <x:c r="D1304" s="34" t="str">
        <x:v>0004</x:v>
      </x:c>
      <x:c r="E1304" s="7" t="str">
        <x:v>West</x:v>
      </x:c>
      <x:c r="F1304" s="7" t="n">
        <x:v>1</x:v>
      </x:c>
      <x:c r="G1304" s="7" t="n">
        <x:v>220</x:v>
      </x:c>
      <x:c r="H1304" s="9" t="n">
        <x:v>0</x:v>
      </x:c>
      <x:c r="I1304" s="7" t="n">
        <x:v>220</x:v>
      </x:c>
    </x:row>
    <x:row r="1305" ht="23" customHeight="1">
      <x:c r="A1305" s="7" t="str">
        <x:v>INV01300</x:v>
      </x:c>
      <x:c r="B1305" s="15" t="d">
        <x:v>2026-05-05T00:00:00.000Z</x:v>
      </x:c>
      <x:c r="C1305" s="14" t="d">
        <x:v>2026-05-01T00:00:00.000Z</x:v>
      </x:c>
      <x:c r="D1305" s="34" t="str">
        <x:v>0005</x:v>
      </x:c>
      <x:c r="E1305" s="7" t="str">
        <x:v>West</x:v>
      </x:c>
      <x:c r="F1305" s="7" t="n">
        <x:v>4</x:v>
      </x:c>
      <x:c r="G1305" s="7" t="n">
        <x:v>240</x:v>
      </x:c>
      <x:c r="H1305" s="9" t="n">
        <x:v>0.02</x:v>
      </x:c>
      <x:c r="I1305" s="7" t="n">
        <x:v>940.8</x:v>
      </x:c>
    </x:row>
    <x:row r="1306" ht="23" customHeight="1">
      <x:c r="A1306" s="7" t="str">
        <x:v>INV01301</x:v>
      </x:c>
      <x:c r="B1306" s="15" t="d">
        <x:v>2026-05-06T00:00:00.000Z</x:v>
      </x:c>
      <x:c r="C1306" s="14" t="d">
        <x:v>2026-05-01T00:00:00.000Z</x:v>
      </x:c>
      <x:c r="D1306" s="34" t="str">
        <x:v>0006</x:v>
      </x:c>
      <x:c r="E1306" s="7" t="str">
        <x:v>West</x:v>
      </x:c>
      <x:c r="F1306" s="7" t="n">
        <x:v>5</x:v>
      </x:c>
      <x:c r="G1306" s="7" t="n">
        <x:v>260</x:v>
      </x:c>
      <x:c r="H1306" s="9" t="n">
        <x:v>0.05</x:v>
      </x:c>
      <x:c r="I1306" s="7" t="n">
        <x:v>1235</x:v>
      </x:c>
    </x:row>
    <x:row r="1307" ht="23" customHeight="1">
      <x:c r="A1307" s="7" t="str">
        <x:v>INV01302</x:v>
      </x:c>
      <x:c r="B1307" s="15" t="d">
        <x:v>2026-05-07T00:00:00.000Z</x:v>
      </x:c>
      <x:c r="C1307" s="14" t="d">
        <x:v>2026-05-01T00:00:00.000Z</x:v>
      </x:c>
      <x:c r="D1307" s="34" t="str">
        <x:v>0007</x:v>
      </x:c>
      <x:c r="E1307" s="7" t="str">
        <x:v>West</x:v>
      </x:c>
      <x:c r="F1307" s="7" t="n">
        <x:v>6</x:v>
      </x:c>
      <x:c r="G1307" s="7" t="n">
        <x:v>280</x:v>
      </x:c>
      <x:c r="H1307" s="9" t="n">
        <x:v>0</x:v>
      </x:c>
      <x:c r="I1307" s="7" t="n">
        <x:v>1680</x:v>
      </x:c>
    </x:row>
    <x:row r="1308" ht="23" customHeight="1">
      <x:c r="A1308" s="7" t="str">
        <x:v>INV01303</x:v>
      </x:c>
      <x:c r="B1308" s="15" t="d">
        <x:v>2026-05-08T00:00:00.000Z</x:v>
      </x:c>
      <x:c r="C1308" s="14" t="d">
        <x:v>2026-05-01T00:00:00.000Z</x:v>
      </x:c>
      <x:c r="D1308" s="34" t="str">
        <x:v>0008</x:v>
      </x:c>
      <x:c r="E1308" s="7" t="str">
        <x:v>West</x:v>
      </x:c>
      <x:c r="F1308" s="7" t="n">
        <x:v>5</x:v>
      </x:c>
      <x:c r="G1308" s="7" t="n">
        <x:v>300</x:v>
      </x:c>
      <x:c r="H1308" s="9" t="n">
        <x:v>0.02</x:v>
      </x:c>
      <x:c r="I1308" s="7" t="n">
        <x:v>1470</x:v>
      </x:c>
    </x:row>
    <x:row r="1309" ht="23" customHeight="1">
      <x:c r="A1309" s="7" t="str">
        <x:v>INV01304</x:v>
      </x:c>
      <x:c r="B1309" s="15" t="d">
        <x:v>2026-05-09T00:00:00.000Z</x:v>
      </x:c>
      <x:c r="C1309" s="14" t="d">
        <x:v>2026-05-01T00:00:00.000Z</x:v>
      </x:c>
      <x:c r="D1309" s="34" t="str">
        <x:v>0001</x:v>
      </x:c>
      <x:c r="E1309" s="7" t="str">
        <x:v>North</x:v>
      </x:c>
      <x:c r="F1309" s="7" t="n">
        <x:v>1</x:v>
      </x:c>
      <x:c r="G1309" s="7" t="n">
        <x:v>160</x:v>
      </x:c>
      <x:c r="H1309" s="9" t="n">
        <x:v>0.05</x:v>
      </x:c>
      <x:c r="I1309" s="7" t="n">
        <x:v>152</x:v>
      </x:c>
    </x:row>
    <x:row r="1310" ht="23" customHeight="1">
      <x:c r="A1310" s="7" t="str">
        <x:v>INV01305</x:v>
      </x:c>
      <x:c r="B1310" s="15" t="d">
        <x:v>2026-05-10T00:00:00.000Z</x:v>
      </x:c>
      <x:c r="C1310" s="14" t="d">
        <x:v>2026-05-01T00:00:00.000Z</x:v>
      </x:c>
      <x:c r="D1310" s="34" t="str">
        <x:v>0002</x:v>
      </x:c>
      <x:c r="E1310" s="7" t="str">
        <x:v>North</x:v>
      </x:c>
      <x:c r="F1310" s="7" t="n">
        <x:v>1</x:v>
      </x:c>
      <x:c r="G1310" s="7" t="n">
        <x:v>180</x:v>
      </x:c>
      <x:c r="H1310" s="9" t="n">
        <x:v>0</x:v>
      </x:c>
      <x:c r="I1310" s="7" t="n">
        <x:v>180</x:v>
      </x:c>
    </x:row>
    <x:row r="1311" ht="23" customHeight="1">
      <x:c r="A1311" s="7" t="str">
        <x:v>INV01306</x:v>
      </x:c>
      <x:c r="B1311" s="15" t="d">
        <x:v>2026-05-11T00:00:00.000Z</x:v>
      </x:c>
      <x:c r="C1311" s="14" t="d">
        <x:v>2026-05-01T00:00:00.000Z</x:v>
      </x:c>
      <x:c r="D1311" s="34" t="str">
        <x:v>0003</x:v>
      </x:c>
      <x:c r="E1311" s="7" t="str">
        <x:v>North</x:v>
      </x:c>
      <x:c r="F1311" s="7" t="n">
        <x:v>3</x:v>
      </x:c>
      <x:c r="G1311" s="7" t="n">
        <x:v>200</x:v>
      </x:c>
      <x:c r="H1311" s="9" t="n">
        <x:v>0.02</x:v>
      </x:c>
      <x:c r="I1311" s="7" t="n">
        <x:v>588</x:v>
      </x:c>
    </x:row>
    <x:row r="1312" ht="23" customHeight="1">
      <x:c r="A1312" s="7" t="str">
        <x:v>INV01307</x:v>
      </x:c>
      <x:c r="B1312" s="15" t="d">
        <x:v>2026-05-12T00:00:00.000Z</x:v>
      </x:c>
      <x:c r="C1312" s="14" t="d">
        <x:v>2026-05-01T00:00:00.000Z</x:v>
      </x:c>
      <x:c r="D1312" s="34" t="str">
        <x:v>0004</x:v>
      </x:c>
      <x:c r="E1312" s="7" t="str">
        <x:v>North</x:v>
      </x:c>
      <x:c r="F1312" s="7" t="n">
        <x:v>7</x:v>
      </x:c>
      <x:c r="G1312" s="7" t="n">
        <x:v>220</x:v>
      </x:c>
      <x:c r="H1312" s="9" t="n">
        <x:v>0.05</x:v>
      </x:c>
      <x:c r="I1312" s="7" t="n">
        <x:v>1463</x:v>
      </x:c>
    </x:row>
    <x:row r="1313" ht="23" customHeight="1">
      <x:c r="A1313" s="7" t="str">
        <x:v>INV01308</x:v>
      </x:c>
      <x:c r="B1313" s="15" t="d">
        <x:v>2026-05-13T00:00:00.000Z</x:v>
      </x:c>
      <x:c r="C1313" s="14" t="d">
        <x:v>2026-05-01T00:00:00.000Z</x:v>
      </x:c>
      <x:c r="D1313" s="34" t="str">
        <x:v>0005</x:v>
      </x:c>
      <x:c r="E1313" s="7" t="str">
        <x:v>North</x:v>
      </x:c>
      <x:c r="F1313" s="7" t="n">
        <x:v>5</x:v>
      </x:c>
      <x:c r="G1313" s="7" t="n">
        <x:v>240</x:v>
      </x:c>
      <x:c r="H1313" s="9" t="n">
        <x:v>0</x:v>
      </x:c>
      <x:c r="I1313" s="7" t="n">
        <x:v>1200</x:v>
      </x:c>
    </x:row>
    <x:row r="1314" ht="23" customHeight="1">
      <x:c r="A1314" s="7" t="str">
        <x:v>INV01309</x:v>
      </x:c>
      <x:c r="B1314" s="15" t="d">
        <x:v>2026-05-14T00:00:00.000Z</x:v>
      </x:c>
      <x:c r="C1314" s="14" t="d">
        <x:v>2026-05-01T00:00:00.000Z</x:v>
      </x:c>
      <x:c r="D1314" s="34" t="str">
        <x:v>0006</x:v>
      </x:c>
      <x:c r="E1314" s="7" t="str">
        <x:v>North</x:v>
      </x:c>
      <x:c r="F1314" s="7" t="n">
        <x:v>5</x:v>
      </x:c>
      <x:c r="G1314" s="7" t="n">
        <x:v>260</x:v>
      </x:c>
      <x:c r="H1314" s="9" t="n">
        <x:v>0.02</x:v>
      </x:c>
      <x:c r="I1314" s="7" t="n">
        <x:v>1274</x:v>
      </x:c>
    </x:row>
    <x:row r="1315" ht="23" customHeight="1">
      <x:c r="A1315" s="7" t="str">
        <x:v>INV01310</x:v>
      </x:c>
      <x:c r="B1315" s="15" t="d">
        <x:v>2026-05-15T00:00:00.000Z</x:v>
      </x:c>
      <x:c r="C1315" s="14" t="d">
        <x:v>2026-05-01T00:00:00.000Z</x:v>
      </x:c>
      <x:c r="D1315" s="34" t="str">
        <x:v>0007</x:v>
      </x:c>
      <x:c r="E1315" s="7" t="str">
        <x:v>North</x:v>
      </x:c>
      <x:c r="F1315" s="7" t="n">
        <x:v>5</x:v>
      </x:c>
      <x:c r="G1315" s="7" t="n">
        <x:v>280</x:v>
      </x:c>
      <x:c r="H1315" s="9" t="n">
        <x:v>0.05</x:v>
      </x:c>
      <x:c r="I1315" s="7" t="n">
        <x:v>1330</x:v>
      </x:c>
    </x:row>
    <x:row r="1316" ht="23" customHeight="1">
      <x:c r="A1316" s="7" t="str">
        <x:v>INV01311</x:v>
      </x:c>
      <x:c r="B1316" s="15" t="d">
        <x:v>2026-05-16T00:00:00.000Z</x:v>
      </x:c>
      <x:c r="C1316" s="14" t="d">
        <x:v>2026-05-01T00:00:00.000Z</x:v>
      </x:c>
      <x:c r="D1316" s="34" t="str">
        <x:v>0008</x:v>
      </x:c>
      <x:c r="E1316" s="7" t="str">
        <x:v>North</x:v>
      </x:c>
      <x:c r="F1316" s="7" t="n">
        <x:v>2</x:v>
      </x:c>
      <x:c r="G1316" s="7" t="n">
        <x:v>300</x:v>
      </x:c>
      <x:c r="H1316" s="9" t="n">
        <x:v>0</x:v>
      </x:c>
      <x:c r="I1316" s="7" t="n">
        <x:v>600</x:v>
      </x:c>
    </x:row>
    <x:row r="1317" ht="23" customHeight="1">
      <x:c r="A1317" s="7" t="str">
        <x:v>INV01312</x:v>
      </x:c>
      <x:c r="B1317" s="15" t="d">
        <x:v>2026-06-17T00:00:00.000Z</x:v>
      </x:c>
      <x:c r="C1317" s="14" t="d">
        <x:v>2026-06-01T00:00:00.000Z</x:v>
      </x:c>
      <x:c r="D1317" s="34" t="str">
        <x:v>0001</x:v>
      </x:c>
      <x:c r="E1317" s="7" t="str">
        <x:v>Central</x:v>
      </x:c>
      <x:c r="F1317" s="7" t="n">
        <x:v>-3</x:v>
      </x:c>
      <x:c r="G1317" s="7" t="n">
        <x:v>160</x:v>
      </x:c>
      <x:c r="H1317" s="9" t="n">
        <x:v>0.02</x:v>
      </x:c>
      <x:c r="I1317" s="7" t="n">
        <x:v>-470.4</x:v>
      </x:c>
    </x:row>
    <x:row r="1318" ht="23" customHeight="1">
      <x:c r="A1318" s="7" t="str">
        <x:v>INV01313</x:v>
      </x:c>
      <x:c r="B1318" s="15" t="d">
        <x:v>2026-06-18T00:00:00.000Z</x:v>
      </x:c>
      <x:c r="C1318" s="14" t="d">
        <x:v>2026-06-01T00:00:00.000Z</x:v>
      </x:c>
      <x:c r="D1318" s="34" t="str">
        <x:v>0002</x:v>
      </x:c>
      <x:c r="E1318" s="7" t="str">
        <x:v>Central</x:v>
      </x:c>
      <x:c r="F1318" s="7" t="n">
        <x:v>2</x:v>
      </x:c>
      <x:c r="G1318" s="7" t="n">
        <x:v>180</x:v>
      </x:c>
      <x:c r="H1318" s="9" t="n">
        <x:v>0.05</x:v>
      </x:c>
      <x:c r="I1318" s="7" t="n">
        <x:v>342</x:v>
      </x:c>
    </x:row>
    <x:row r="1319" ht="23" customHeight="1">
      <x:c r="A1319" s="7" t="str">
        <x:v>INV01314</x:v>
      </x:c>
      <x:c r="B1319" s="15" t="d">
        <x:v>2026-06-19T00:00:00.000Z</x:v>
      </x:c>
      <x:c r="C1319" s="14" t="d">
        <x:v>2026-06-01T00:00:00.000Z</x:v>
      </x:c>
      <x:c r="D1319" s="34" t="str">
        <x:v>0003</x:v>
      </x:c>
      <x:c r="E1319" s="7" t="str">
        <x:v>Central</x:v>
      </x:c>
      <x:c r="F1319" s="7" t="n">
        <x:v>4</x:v>
      </x:c>
      <x:c r="G1319" s="7" t="n">
        <x:v>200</x:v>
      </x:c>
      <x:c r="H1319" s="9" t="n">
        <x:v>0</x:v>
      </x:c>
      <x:c r="I1319" s="7" t="n">
        <x:v>800</x:v>
      </x:c>
    </x:row>
    <x:row r="1320" ht="23" customHeight="1">
      <x:c r="A1320" s="7" t="str">
        <x:v>INV01315</x:v>
      </x:c>
      <x:c r="B1320" s="15" t="d">
        <x:v>2026-06-20T00:00:00.000Z</x:v>
      </x:c>
      <x:c r="C1320" s="14" t="d">
        <x:v>2026-06-01T00:00:00.000Z</x:v>
      </x:c>
      <x:c r="D1320" s="34" t="str">
        <x:v>0004</x:v>
      </x:c>
      <x:c r="E1320" s="7" t="str">
        <x:v>Central</x:v>
      </x:c>
      <x:c r="F1320" s="7" t="n">
        <x:v>6</x:v>
      </x:c>
      <x:c r="G1320" s="7" t="n">
        <x:v>220</x:v>
      </x:c>
      <x:c r="H1320" s="9" t="n">
        <x:v>0.02</x:v>
      </x:c>
      <x:c r="I1320" s="7" t="n">
        <x:v>1293.6</x:v>
      </x:c>
    </x:row>
    <x:row r="1321" ht="23" customHeight="1">
      <x:c r="A1321" s="7" t="str">
        <x:v>INV01316</x:v>
      </x:c>
      <x:c r="B1321" s="15" t="d">
        <x:v>2026-06-21T00:00:00.000Z</x:v>
      </x:c>
      <x:c r="C1321" s="14" t="d">
        <x:v>2026-06-01T00:00:00.000Z</x:v>
      </x:c>
      <x:c r="D1321" s="34" t="str">
        <x:v>0005</x:v>
      </x:c>
      <x:c r="E1321" s="7" t="str">
        <x:v>Central</x:v>
      </x:c>
      <x:c r="F1321" s="7" t="n">
        <x:v>7</x:v>
      </x:c>
      <x:c r="G1321" s="7" t="n">
        <x:v>240</x:v>
      </x:c>
      <x:c r="H1321" s="9" t="n">
        <x:v>0.05</x:v>
      </x:c>
      <x:c r="I1321" s="7" t="n">
        <x:v>1596</x:v>
      </x:c>
    </x:row>
    <x:row r="1322" ht="23" customHeight="1">
      <x:c r="A1322" s="7" t="str">
        <x:v>INV01317</x:v>
      </x:c>
      <x:c r="B1322" s="15" t="d">
        <x:v>2026-06-22T00:00:00.000Z</x:v>
      </x:c>
      <x:c r="C1322" s="14" t="d">
        <x:v>2026-06-01T00:00:00.000Z</x:v>
      </x:c>
      <x:c r="D1322" s="34" t="str">
        <x:v>0006</x:v>
      </x:c>
      <x:c r="E1322" s="7" t="str">
        <x:v>Central</x:v>
      </x:c>
      <x:c r="F1322" s="7" t="n">
        <x:v>1</x:v>
      </x:c>
      <x:c r="G1322" s="7" t="n">
        <x:v>260</x:v>
      </x:c>
      <x:c r="H1322" s="9" t="n">
        <x:v>0</x:v>
      </x:c>
      <x:c r="I1322" s="7" t="n">
        <x:v>260</x:v>
      </x:c>
    </x:row>
    <x:row r="1323" ht="23" customHeight="1">
      <x:c r="A1323" s="7" t="str">
        <x:v>INV01318</x:v>
      </x:c>
      <x:c r="B1323" s="15" t="d">
        <x:v>2026-06-23T00:00:00.000Z</x:v>
      </x:c>
      <x:c r="C1323" s="14" t="d">
        <x:v>2026-06-01T00:00:00.000Z</x:v>
      </x:c>
      <x:c r="D1323" s="34" t="str">
        <x:v>0007</x:v>
      </x:c>
      <x:c r="E1323" s="7" t="str">
        <x:v>Central</x:v>
      </x:c>
      <x:c r="F1323" s="7" t="n">
        <x:v>7</x:v>
      </x:c>
      <x:c r="G1323" s="7" t="n">
        <x:v>280</x:v>
      </x:c>
      <x:c r="H1323" s="9" t="n">
        <x:v>0.02</x:v>
      </x:c>
      <x:c r="I1323" s="7" t="n">
        <x:v>1920.8</x:v>
      </x:c>
    </x:row>
    <x:row r="1324" ht="23" customHeight="1">
      <x:c r="A1324" s="7" t="str">
        <x:v>INV01319</x:v>
      </x:c>
      <x:c r="B1324" s="15" t="d">
        <x:v>2026-06-24T00:00:00.000Z</x:v>
      </x:c>
      <x:c r="C1324" s="14" t="d">
        <x:v>2026-06-01T00:00:00.000Z</x:v>
      </x:c>
      <x:c r="D1324" s="34" t="str">
        <x:v>0008</x:v>
      </x:c>
      <x:c r="E1324" s="7" t="str">
        <x:v>Central</x:v>
      </x:c>
      <x:c r="F1324" s="7" t="n">
        <x:v>4</x:v>
      </x:c>
      <x:c r="G1324" s="7" t="n">
        <x:v>300</x:v>
      </x:c>
      <x:c r="H1324" s="9" t="n">
        <x:v>0.05</x:v>
      </x:c>
      <x:c r="I1324" s="7" t="n">
        <x:v>1140</x:v>
      </x:c>
    </x:row>
    <x:row r="1325" ht="23" customHeight="1">
      <x:c r="A1325" s="7" t="str">
        <x:v>INV01320</x:v>
      </x:c>
      <x:c r="B1325" s="15" t="d">
        <x:v>2026-06-25T00:00:00.000Z</x:v>
      </x:c>
      <x:c r="C1325" s="14" t="d">
        <x:v>2026-06-01T00:00:00.000Z</x:v>
      </x:c>
      <x:c r="D1325" s="34" t="str">
        <x:v>0001</x:v>
      </x:c>
      <x:c r="E1325" s="7" t="str">
        <x:v>East</x:v>
      </x:c>
      <x:c r="F1325" s="7" t="n">
        <x:v>7</x:v>
      </x:c>
      <x:c r="G1325" s="7" t="n">
        <x:v>160</x:v>
      </x:c>
      <x:c r="H1325" s="9" t="n">
        <x:v>0</x:v>
      </x:c>
      <x:c r="I1325" s="7" t="n">
        <x:v>1120</x:v>
      </x:c>
    </x:row>
    <x:row r="1326" ht="23" customHeight="1">
      <x:c r="A1326" s="7" t="str">
        <x:v>INV01321</x:v>
      </x:c>
      <x:c r="B1326" s="15" t="d">
        <x:v>2026-06-26T00:00:00.000Z</x:v>
      </x:c>
      <x:c r="C1326" s="14" t="d">
        <x:v>2026-06-01T00:00:00.000Z</x:v>
      </x:c>
      <x:c r="D1326" s="34" t="str">
        <x:v>0002</x:v>
      </x:c>
      <x:c r="E1326" s="7" t="str">
        <x:v>East</x:v>
      </x:c>
      <x:c r="F1326" s="7" t="n">
        <x:v>3</x:v>
      </x:c>
      <x:c r="G1326" s="7" t="n">
        <x:v>180</x:v>
      </x:c>
      <x:c r="H1326" s="9" t="n">
        <x:v>0.02</x:v>
      </x:c>
      <x:c r="I1326" s="7" t="n">
        <x:v>529.2</x:v>
      </x:c>
    </x:row>
    <x:row r="1327" ht="23" customHeight="1">
      <x:c r="A1327" s="7" t="str">
        <x:v>INV01322</x:v>
      </x:c>
      <x:c r="B1327" s="15" t="d">
        <x:v>2026-06-27T00:00:00.000Z</x:v>
      </x:c>
      <x:c r="C1327" s="14" t="d">
        <x:v>2026-06-01T00:00:00.000Z</x:v>
      </x:c>
      <x:c r="D1327" s="34" t="str">
        <x:v>0003</x:v>
      </x:c>
      <x:c r="E1327" s="7" t="str">
        <x:v>East</x:v>
      </x:c>
      <x:c r="F1327" s="7" t="n">
        <x:v>5</x:v>
      </x:c>
      <x:c r="G1327" s="7" t="n">
        <x:v>200</x:v>
      </x:c>
      <x:c r="H1327" s="9" t="n">
        <x:v>0.05</x:v>
      </x:c>
      <x:c r="I1327" s="7" t="n">
        <x:v>950</x:v>
      </x:c>
    </x:row>
    <x:row r="1328" ht="23" customHeight="1">
      <x:c r="A1328" s="7" t="str">
        <x:v>INV01323</x:v>
      </x:c>
      <x:c r="B1328" s="15" t="d">
        <x:v>2026-06-01T00:00:00.000Z</x:v>
      </x:c>
      <x:c r="C1328" s="14" t="d">
        <x:v>2026-06-01T00:00:00.000Z</x:v>
      </x:c>
      <x:c r="D1328" s="34" t="str">
        <x:v>0004</x:v>
      </x:c>
      <x:c r="E1328" s="7" t="str">
        <x:v>East</x:v>
      </x:c>
      <x:c r="F1328" s="7" t="n">
        <x:v>7</x:v>
      </x:c>
      <x:c r="G1328" s="7" t="n">
        <x:v>220</x:v>
      </x:c>
      <x:c r="H1328" s="9" t="n">
        <x:v>0</x:v>
      </x:c>
      <x:c r="I1328" s="7" t="n">
        <x:v>1540</x:v>
      </x:c>
    </x:row>
    <x:row r="1329" ht="23" customHeight="1">
      <x:c r="A1329" s="7" t="str">
        <x:v>INV01324</x:v>
      </x:c>
      <x:c r="B1329" s="15" t="d">
        <x:v>2026-06-02T00:00:00.000Z</x:v>
      </x:c>
      <x:c r="C1329" s="14" t="d">
        <x:v>2026-06-01T00:00:00.000Z</x:v>
      </x:c>
      <x:c r="D1329" s="34" t="str">
        <x:v>0005</x:v>
      </x:c>
      <x:c r="E1329" s="7" t="str">
        <x:v>East</x:v>
      </x:c>
      <x:c r="F1329" s="7" t="n">
        <x:v>2</x:v>
      </x:c>
      <x:c r="G1329" s="7" t="n">
        <x:v>240</x:v>
      </x:c>
      <x:c r="H1329" s="9" t="n">
        <x:v>0.02</x:v>
      </x:c>
      <x:c r="I1329" s="7" t="n">
        <x:v>470.4</x:v>
      </x:c>
    </x:row>
    <x:row r="1330" ht="23" customHeight="1">
      <x:c r="A1330" s="7" t="str">
        <x:v>INV01325</x:v>
      </x:c>
      <x:c r="B1330" s="15" t="d">
        <x:v>2026-06-03T00:00:00.000Z</x:v>
      </x:c>
      <x:c r="C1330" s="14" t="d">
        <x:v>2026-06-01T00:00:00.000Z</x:v>
      </x:c>
      <x:c r="D1330" s="34" t="str">
        <x:v>0006</x:v>
      </x:c>
      <x:c r="E1330" s="7" t="str">
        <x:v>East</x:v>
      </x:c>
      <x:c r="F1330" s="7" t="n">
        <x:v>1</x:v>
      </x:c>
      <x:c r="G1330" s="7" t="n">
        <x:v>260</x:v>
      </x:c>
      <x:c r="H1330" s="9" t="n">
        <x:v>0.05</x:v>
      </x:c>
      <x:c r="I1330" s="7" t="n">
        <x:v>247</x:v>
      </x:c>
    </x:row>
    <x:row r="1331" ht="23" customHeight="1">
      <x:c r="A1331" s="7" t="str">
        <x:v>INV01326</x:v>
      </x:c>
      <x:c r="B1331" s="15" t="d">
        <x:v>2026-06-04T00:00:00.000Z</x:v>
      </x:c>
      <x:c r="C1331" s="14" t="d">
        <x:v>2026-06-01T00:00:00.000Z</x:v>
      </x:c>
      <x:c r="D1331" s="34" t="str">
        <x:v>0007</x:v>
      </x:c>
      <x:c r="E1331" s="7" t="str">
        <x:v>East</x:v>
      </x:c>
      <x:c r="F1331" s="7" t="n">
        <x:v>1</x:v>
      </x:c>
      <x:c r="G1331" s="7" t="n">
        <x:v>280</x:v>
      </x:c>
      <x:c r="H1331" s="9" t="n">
        <x:v>0</x:v>
      </x:c>
      <x:c r="I1331" s="7" t="n">
        <x:v>280</x:v>
      </x:c>
    </x:row>
    <x:row r="1332" ht="23" customHeight="1">
      <x:c r="A1332" s="7" t="str">
        <x:v>INV01327</x:v>
      </x:c>
      <x:c r="B1332" s="15" t="d">
        <x:v>2026-06-05T00:00:00.000Z</x:v>
      </x:c>
      <x:c r="C1332" s="14" t="d">
        <x:v>2026-06-01T00:00:00.000Z</x:v>
      </x:c>
      <x:c r="D1332" s="34" t="str">
        <x:v>0008</x:v>
      </x:c>
      <x:c r="E1332" s="7" t="str">
        <x:v>East</x:v>
      </x:c>
      <x:c r="F1332" s="7" t="n">
        <x:v>1</x:v>
      </x:c>
      <x:c r="G1332" s="7" t="n">
        <x:v>300</x:v>
      </x:c>
      <x:c r="H1332" s="9" t="n">
        <x:v>0.02</x:v>
      </x:c>
      <x:c r="I1332" s="7" t="n">
        <x:v>294</x:v>
      </x:c>
    </x:row>
    <x:row r="1333" ht="23" customHeight="1">
      <x:c r="A1333" s="7" t="str">
        <x:v>INV01328</x:v>
      </x:c>
      <x:c r="B1333" s="15" t="d">
        <x:v>2026-06-06T00:00:00.000Z</x:v>
      </x:c>
      <x:c r="C1333" s="14" t="d">
        <x:v>2026-06-01T00:00:00.000Z</x:v>
      </x:c>
      <x:c r="D1333" s="34" t="str">
        <x:v>0001</x:v>
      </x:c>
      <x:c r="E1333" s="7" t="str">
        <x:v>West</x:v>
      </x:c>
      <x:c r="F1333" s="7" t="n">
        <x:v>1</x:v>
      </x:c>
      <x:c r="G1333" s="7" t="n">
        <x:v>160</x:v>
      </x:c>
      <x:c r="H1333" s="9" t="n">
        <x:v>0.05</x:v>
      </x:c>
      <x:c r="I1333" s="7" t="n">
        <x:v>152</x:v>
      </x:c>
    </x:row>
    <x:row r="1334" ht="23" customHeight="1">
      <x:c r="A1334" s="7" t="str">
        <x:v>INV01329</x:v>
      </x:c>
      <x:c r="B1334" s="15" t="d">
        <x:v>2026-06-07T00:00:00.000Z</x:v>
      </x:c>
      <x:c r="C1334" s="14" t="d">
        <x:v>2026-06-01T00:00:00.000Z</x:v>
      </x:c>
      <x:c r="D1334" s="34" t="str">
        <x:v>0002</x:v>
      </x:c>
      <x:c r="E1334" s="7" t="str">
        <x:v>West</x:v>
      </x:c>
      <x:c r="F1334" s="7" t="n">
        <x:v>3</x:v>
      </x:c>
      <x:c r="G1334" s="7" t="n">
        <x:v>180</x:v>
      </x:c>
      <x:c r="H1334" s="9" t="n">
        <x:v>0</x:v>
      </x:c>
      <x:c r="I1334" s="7" t="n">
        <x:v>540</x:v>
      </x:c>
    </x:row>
    <x:row r="1335" ht="23" customHeight="1">
      <x:c r="A1335" s="7" t="str">
        <x:v>INV01330</x:v>
      </x:c>
      <x:c r="B1335" s="15" t="d">
        <x:v>2026-06-08T00:00:00.000Z</x:v>
      </x:c>
      <x:c r="C1335" s="14" t="d">
        <x:v>2026-06-01T00:00:00.000Z</x:v>
      </x:c>
      <x:c r="D1335" s="34" t="str">
        <x:v>0003</x:v>
      </x:c>
      <x:c r="E1335" s="7" t="str">
        <x:v>West</x:v>
      </x:c>
      <x:c r="F1335" s="7" t="n">
        <x:v>4</x:v>
      </x:c>
      <x:c r="G1335" s="7" t="n">
        <x:v>200</x:v>
      </x:c>
      <x:c r="H1335" s="9" t="n">
        <x:v>0.02</x:v>
      </x:c>
      <x:c r="I1335" s="7" t="n">
        <x:v>784</x:v>
      </x:c>
    </x:row>
    <x:row r="1336" ht="23" customHeight="1">
      <x:c r="A1336" s="7" t="str">
        <x:v>INV01331</x:v>
      </x:c>
      <x:c r="B1336" s="15" t="d">
        <x:v>2026-06-09T00:00:00.000Z</x:v>
      </x:c>
      <x:c r="C1336" s="14" t="d">
        <x:v>2026-06-01T00:00:00.000Z</x:v>
      </x:c>
      <x:c r="D1336" s="34" t="str">
        <x:v>0004</x:v>
      </x:c>
      <x:c r="E1336" s="7" t="str">
        <x:v>West</x:v>
      </x:c>
      <x:c r="F1336" s="7" t="n">
        <x:v>3</x:v>
      </x:c>
      <x:c r="G1336" s="7" t="n">
        <x:v>220</x:v>
      </x:c>
      <x:c r="H1336" s="9" t="n">
        <x:v>0.05</x:v>
      </x:c>
      <x:c r="I1336" s="7" t="n">
        <x:v>627</x:v>
      </x:c>
    </x:row>
    <x:row r="1337" ht="23" customHeight="1">
      <x:c r="A1337" s="7" t="str">
        <x:v>INV01332</x:v>
      </x:c>
      <x:c r="B1337" s="15" t="d">
        <x:v>2026-06-10T00:00:00.000Z</x:v>
      </x:c>
      <x:c r="C1337" s="14" t="d">
        <x:v>2026-06-01T00:00:00.000Z</x:v>
      </x:c>
      <x:c r="D1337" s="34" t="str">
        <x:v>0005</x:v>
      </x:c>
      <x:c r="E1337" s="7" t="str">
        <x:v>West</x:v>
      </x:c>
      <x:c r="F1337" s="7" t="n">
        <x:v>4</x:v>
      </x:c>
      <x:c r="G1337" s="7" t="n">
        <x:v>240</x:v>
      </x:c>
      <x:c r="H1337" s="9" t="n">
        <x:v>0</x:v>
      </x:c>
      <x:c r="I1337" s="7" t="n">
        <x:v>960</x:v>
      </x:c>
    </x:row>
    <x:row r="1338" ht="23" customHeight="1">
      <x:c r="A1338" s="7" t="str">
        <x:v>INV01333</x:v>
      </x:c>
      <x:c r="B1338" s="15" t="d">
        <x:v>2026-06-11T00:00:00.000Z</x:v>
      </x:c>
      <x:c r="C1338" s="14" t="d">
        <x:v>2026-06-01T00:00:00.000Z</x:v>
      </x:c>
      <x:c r="D1338" s="34" t="str">
        <x:v>0006</x:v>
      </x:c>
      <x:c r="E1338" s="7" t="str">
        <x:v>West</x:v>
      </x:c>
      <x:c r="F1338" s="7" t="n">
        <x:v>4</x:v>
      </x:c>
      <x:c r="G1338" s="7" t="n">
        <x:v>260</x:v>
      </x:c>
      <x:c r="H1338" s="9" t="n">
        <x:v>0.02</x:v>
      </x:c>
      <x:c r="I1338" s="7" t="n">
        <x:v>1019.2</x:v>
      </x:c>
    </x:row>
    <x:row r="1339" ht="23" customHeight="1">
      <x:c r="A1339" s="7" t="str">
        <x:v>INV01334</x:v>
      </x:c>
      <x:c r="B1339" s="15" t="d">
        <x:v>2026-06-12T00:00:00.000Z</x:v>
      </x:c>
      <x:c r="C1339" s="14" t="d">
        <x:v>2026-06-01T00:00:00.000Z</x:v>
      </x:c>
      <x:c r="D1339" s="34" t="str">
        <x:v>0007</x:v>
      </x:c>
      <x:c r="E1339" s="7" t="str">
        <x:v>West</x:v>
      </x:c>
      <x:c r="F1339" s="7" t="n">
        <x:v>7</x:v>
      </x:c>
      <x:c r="G1339" s="7" t="n">
        <x:v>280</x:v>
      </x:c>
      <x:c r="H1339" s="9" t="n">
        <x:v>0.05</x:v>
      </x:c>
      <x:c r="I1339" s="7" t="n">
        <x:v>1862</x:v>
      </x:c>
    </x:row>
    <x:row r="1340" ht="23" customHeight="1">
      <x:c r="A1340" s="7" t="str">
        <x:v>INV01335</x:v>
      </x:c>
      <x:c r="B1340" s="15" t="d">
        <x:v>2026-06-13T00:00:00.000Z</x:v>
      </x:c>
      <x:c r="C1340" s="14" t="d">
        <x:v>2026-06-01T00:00:00.000Z</x:v>
      </x:c>
      <x:c r="D1340" s="34" t="str">
        <x:v>0008</x:v>
      </x:c>
      <x:c r="E1340" s="7" t="str">
        <x:v>West</x:v>
      </x:c>
      <x:c r="F1340" s="7" t="n">
        <x:v>6</x:v>
      </x:c>
      <x:c r="G1340" s="7" t="n">
        <x:v>300</x:v>
      </x:c>
      <x:c r="H1340" s="9" t="n">
        <x:v>0</x:v>
      </x:c>
      <x:c r="I1340" s="7" t="n">
        <x:v>1800</x:v>
      </x:c>
    </x:row>
    <x:row r="1341" ht="23" customHeight="1">
      <x:c r="A1341" s="7" t="str">
        <x:v>INV01336</x:v>
      </x:c>
      <x:c r="B1341" s="15" t="d">
        <x:v>2026-06-14T00:00:00.000Z</x:v>
      </x:c>
      <x:c r="C1341" s="14" t="d">
        <x:v>2026-06-01T00:00:00.000Z</x:v>
      </x:c>
      <x:c r="D1341" s="34" t="str">
        <x:v>0001</x:v>
      </x:c>
      <x:c r="E1341" s="7" t="str">
        <x:v>North</x:v>
      </x:c>
      <x:c r="F1341" s="7" t="n">
        <x:v>5</x:v>
      </x:c>
      <x:c r="G1341" s="7" t="n">
        <x:v>160</x:v>
      </x:c>
      <x:c r="H1341" s="9" t="n">
        <x:v>0.02</x:v>
      </x:c>
      <x:c r="I1341" s="7" t="n">
        <x:v>784</x:v>
      </x:c>
    </x:row>
    <x:row r="1342" ht="23" customHeight="1">
      <x:c r="A1342" s="7" t="str">
        <x:v>INV01337</x:v>
      </x:c>
      <x:c r="B1342" s="15" t="d">
        <x:v>2026-06-15T00:00:00.000Z</x:v>
      </x:c>
      <x:c r="C1342" s="14" t="d">
        <x:v>2026-06-01T00:00:00.000Z</x:v>
      </x:c>
      <x:c r="D1342" s="34" t="str">
        <x:v>0002</x:v>
      </x:c>
      <x:c r="E1342" s="7" t="str">
        <x:v>North</x:v>
      </x:c>
      <x:c r="F1342" s="7" t="n">
        <x:v>1</x:v>
      </x:c>
      <x:c r="G1342" s="7" t="n">
        <x:v>180</x:v>
      </x:c>
      <x:c r="H1342" s="9" t="n">
        <x:v>0.05</x:v>
      </x:c>
      <x:c r="I1342" s="7" t="n">
        <x:v>171</x:v>
      </x:c>
    </x:row>
    <x:row r="1343" ht="23" customHeight="1">
      <x:c r="A1343" s="7" t="str">
        <x:v>INV01338</x:v>
      </x:c>
      <x:c r="B1343" s="15" t="d">
        <x:v>2026-06-16T00:00:00.000Z</x:v>
      </x:c>
      <x:c r="C1343" s="14" t="d">
        <x:v>2026-06-01T00:00:00.000Z</x:v>
      </x:c>
      <x:c r="D1343" s="34" t="str">
        <x:v>0003</x:v>
      </x:c>
      <x:c r="E1343" s="7" t="str">
        <x:v>North</x:v>
      </x:c>
      <x:c r="F1343" s="7" t="n">
        <x:v>2</x:v>
      </x:c>
      <x:c r="G1343" s="7" t="n">
        <x:v>200</x:v>
      </x:c>
      <x:c r="H1343" s="9" t="n">
        <x:v>0</x:v>
      </x:c>
      <x:c r="I1343" s="7" t="n">
        <x:v>400</x:v>
      </x:c>
    </x:row>
    <x:row r="1344" ht="23" customHeight="1">
      <x:c r="A1344" s="7" t="str">
        <x:v>INV01339</x:v>
      </x:c>
      <x:c r="B1344" s="15" t="d">
        <x:v>2026-06-17T00:00:00.000Z</x:v>
      </x:c>
      <x:c r="C1344" s="14" t="d">
        <x:v>2026-06-01T00:00:00.000Z</x:v>
      </x:c>
      <x:c r="D1344" s="34" t="str">
        <x:v>0004</x:v>
      </x:c>
      <x:c r="E1344" s="7" t="str">
        <x:v>North</x:v>
      </x:c>
      <x:c r="F1344" s="7" t="n">
        <x:v>5</x:v>
      </x:c>
      <x:c r="G1344" s="7" t="n">
        <x:v>220</x:v>
      </x:c>
      <x:c r="H1344" s="9" t="n">
        <x:v>0.02</x:v>
      </x:c>
      <x:c r="I1344" s="7" t="n">
        <x:v>1078</x:v>
      </x:c>
    </x:row>
    <x:row r="1345" ht="23" customHeight="1">
      <x:c r="A1345" s="7" t="str">
        <x:v>INV01340</x:v>
      </x:c>
      <x:c r="B1345" s="15" t="d">
        <x:v>2026-06-18T00:00:00.000Z</x:v>
      </x:c>
      <x:c r="C1345" s="14" t="d">
        <x:v>2026-06-01T00:00:00.000Z</x:v>
      </x:c>
      <x:c r="D1345" s="34" t="str">
        <x:v>0005</x:v>
      </x:c>
      <x:c r="E1345" s="7" t="str">
        <x:v>North</x:v>
      </x:c>
      <x:c r="F1345" s="7" t="n">
        <x:v>2</x:v>
      </x:c>
      <x:c r="G1345" s="7" t="n">
        <x:v>240</x:v>
      </x:c>
      <x:c r="H1345" s="9" t="n">
        <x:v>0.05</x:v>
      </x:c>
      <x:c r="I1345" s="7" t="n">
        <x:v>456</x:v>
      </x:c>
    </x:row>
    <x:row r="1346" ht="23" customHeight="1">
      <x:c r="A1346" s="7" t="str">
        <x:v>INV01341</x:v>
      </x:c>
      <x:c r="B1346" s="15" t="d">
        <x:v>2026-06-19T00:00:00.000Z</x:v>
      </x:c>
      <x:c r="C1346" s="14" t="d">
        <x:v>2026-06-01T00:00:00.000Z</x:v>
      </x:c>
      <x:c r="D1346" s="34" t="str">
        <x:v>0006</x:v>
      </x:c>
      <x:c r="E1346" s="7" t="str">
        <x:v>North</x:v>
      </x:c>
      <x:c r="F1346" s="7" t="n">
        <x:v>1</x:v>
      </x:c>
      <x:c r="G1346" s="7" t="n">
        <x:v>260</x:v>
      </x:c>
      <x:c r="H1346" s="9" t="n">
        <x:v>0</x:v>
      </x:c>
      <x:c r="I1346" s="7" t="n">
        <x:v>260</x:v>
      </x:c>
    </x:row>
    <x:row r="1347" ht="23" customHeight="1">
      <x:c r="A1347" s="7" t="str">
        <x:v>INV01342</x:v>
      </x:c>
      <x:c r="B1347" s="15" t="d">
        <x:v>2026-06-20T00:00:00.000Z</x:v>
      </x:c>
      <x:c r="C1347" s="14" t="d">
        <x:v>2026-06-01T00:00:00.000Z</x:v>
      </x:c>
      <x:c r="D1347" s="34" t="str">
        <x:v>0007</x:v>
      </x:c>
      <x:c r="E1347" s="7" t="str">
        <x:v>North</x:v>
      </x:c>
      <x:c r="F1347" s="7" t="n">
        <x:v>1</x:v>
      </x:c>
      <x:c r="G1347" s="7" t="n">
        <x:v>280</x:v>
      </x:c>
      <x:c r="H1347" s="9" t="n">
        <x:v>0.02</x:v>
      </x:c>
      <x:c r="I1347" s="7" t="n">
        <x:v>274.4</x:v>
      </x:c>
    </x:row>
    <x:row r="1348" ht="23" customHeight="1">
      <x:c r="A1348" s="7" t="str">
        <x:v>INV01343</x:v>
      </x:c>
      <x:c r="B1348" s="15" t="d">
        <x:v>2026-06-21T00:00:00.000Z</x:v>
      </x:c>
      <x:c r="C1348" s="14" t="d">
        <x:v>2026-06-01T00:00:00.000Z</x:v>
      </x:c>
      <x:c r="D1348" s="34" t="str">
        <x:v>0008</x:v>
      </x:c>
      <x:c r="E1348" s="7" t="str">
        <x:v>North</x:v>
      </x:c>
      <x:c r="F1348" s="7" t="n">
        <x:v>2</x:v>
      </x:c>
      <x:c r="G1348" s="7" t="n">
        <x:v>300</x:v>
      </x:c>
      <x:c r="H1348" s="9" t="n">
        <x:v>0.05</x:v>
      </x:c>
      <x:c r="I1348" s="7" t="n">
        <x:v>570</x:v>
      </x:c>
    </x:row>
    <x:row r="1349" ht="23" customHeight="1">
      <x:c r="A1349" s="7" t="str">
        <x:v>INV01344</x:v>
      </x:c>
      <x:c r="B1349" s="15" t="d">
        <x:v>2026-01-22T00:00:00.000Z</x:v>
      </x:c>
      <x:c r="C1349" s="14" t="d">
        <x:v>2026-01-01T00:00:00.000Z</x:v>
      </x:c>
      <x:c r="D1349" s="34" t="str">
        <x:v>0001</x:v>
      </x:c>
      <x:c r="E1349" s="7" t="str">
        <x:v>Central</x:v>
      </x:c>
      <x:c r="F1349" s="7" t="n">
        <x:v>4</x:v>
      </x:c>
      <x:c r="G1349" s="7" t="n">
        <x:v>160</x:v>
      </x:c>
      <x:c r="H1349" s="9" t="n">
        <x:v>0</x:v>
      </x:c>
      <x:c r="I1349" s="7" t="n">
        <x:v>640</x:v>
      </x:c>
    </x:row>
    <x:row r="1350" ht="23" customHeight="1">
      <x:c r="A1350" s="7" t="str">
        <x:v>INV01345</x:v>
      </x:c>
      <x:c r="B1350" s="15" t="d">
        <x:v>2026-01-23T00:00:00.000Z</x:v>
      </x:c>
      <x:c r="C1350" s="14" t="d">
        <x:v>2026-01-01T00:00:00.000Z</x:v>
      </x:c>
      <x:c r="D1350" s="34" t="str">
        <x:v>0002</x:v>
      </x:c>
      <x:c r="E1350" s="7" t="str">
        <x:v>Central</x:v>
      </x:c>
      <x:c r="F1350" s="7" t="n">
        <x:v>4</x:v>
      </x:c>
      <x:c r="G1350" s="7" t="n">
        <x:v>180</x:v>
      </x:c>
      <x:c r="H1350" s="9" t="n">
        <x:v>0.02</x:v>
      </x:c>
      <x:c r="I1350" s="7" t="n">
        <x:v>705.6</x:v>
      </x:c>
    </x:row>
    <x:row r="1351" ht="23" customHeight="1">
      <x:c r="A1351" s="7" t="str">
        <x:v>INV01346</x:v>
      </x:c>
      <x:c r="B1351" s="15" t="d">
        <x:v>2026-01-24T00:00:00.000Z</x:v>
      </x:c>
      <x:c r="C1351" s="14" t="d">
        <x:v>2026-01-01T00:00:00.000Z</x:v>
      </x:c>
      <x:c r="D1351" s="34" t="str">
        <x:v>0003</x:v>
      </x:c>
      <x:c r="E1351" s="7" t="str">
        <x:v>Central</x:v>
      </x:c>
      <x:c r="F1351" s="7" t="n">
        <x:v>1</x:v>
      </x:c>
      <x:c r="G1351" s="7" t="n">
        <x:v>200</x:v>
      </x:c>
      <x:c r="H1351" s="9" t="n">
        <x:v>0.05</x:v>
      </x:c>
      <x:c r="I1351" s="7" t="n">
        <x:v>190</x:v>
      </x:c>
    </x:row>
    <x:row r="1352" ht="23" customHeight="1">
      <x:c r="A1352" s="7" t="str">
        <x:v>INV01347</x:v>
      </x:c>
      <x:c r="B1352" s="15" t="d">
        <x:v>2026-01-25T00:00:00.000Z</x:v>
      </x:c>
      <x:c r="C1352" s="14" t="d">
        <x:v>2026-01-01T00:00:00.000Z</x:v>
      </x:c>
      <x:c r="D1352" s="34" t="str">
        <x:v>0004</x:v>
      </x:c>
      <x:c r="E1352" s="7" t="str">
        <x:v>Central</x:v>
      </x:c>
      <x:c r="F1352" s="7" t="n">
        <x:v>1</x:v>
      </x:c>
      <x:c r="G1352" s="7" t="n">
        <x:v>220</x:v>
      </x:c>
      <x:c r="H1352" s="9" t="n">
        <x:v>0</x:v>
      </x:c>
      <x:c r="I1352" s="7" t="n">
        <x:v>220</x:v>
      </x:c>
    </x:row>
    <x:row r="1353" ht="23" customHeight="1">
      <x:c r="A1353" s="7" t="str">
        <x:v>INV01348</x:v>
      </x:c>
      <x:c r="B1353" s="15" t="d">
        <x:v>2026-01-26T00:00:00.000Z</x:v>
      </x:c>
      <x:c r="C1353" s="14" t="d">
        <x:v>2026-01-01T00:00:00.000Z</x:v>
      </x:c>
      <x:c r="D1353" s="34" t="str">
        <x:v>0005</x:v>
      </x:c>
      <x:c r="E1353" s="7" t="str">
        <x:v>Central</x:v>
      </x:c>
      <x:c r="F1353" s="7" t="n">
        <x:v>6</x:v>
      </x:c>
      <x:c r="G1353" s="7" t="n">
        <x:v>240</x:v>
      </x:c>
      <x:c r="H1353" s="9" t="n">
        <x:v>0.02</x:v>
      </x:c>
      <x:c r="I1353" s="7" t="n">
        <x:v>1411.2</x:v>
      </x:c>
    </x:row>
    <x:row r="1354" ht="23" customHeight="1">
      <x:c r="A1354" s="7" t="str">
        <x:v>INV01349</x:v>
      </x:c>
      <x:c r="B1354" s="15" t="d">
        <x:v>2026-01-27T00:00:00.000Z</x:v>
      </x:c>
      <x:c r="C1354" s="14" t="d">
        <x:v>2026-01-01T00:00:00.000Z</x:v>
      </x:c>
      <x:c r="D1354" s="34" t="str">
        <x:v>0006</x:v>
      </x:c>
      <x:c r="E1354" s="7" t="str">
        <x:v>Central</x:v>
      </x:c>
      <x:c r="F1354" s="7" t="n">
        <x:v>4</x:v>
      </x:c>
      <x:c r="G1354" s="7" t="n">
        <x:v>260</x:v>
      </x:c>
      <x:c r="H1354" s="9" t="n">
        <x:v>0.05</x:v>
      </x:c>
      <x:c r="I1354" s="7" t="n">
        <x:v>988</x:v>
      </x:c>
    </x:row>
    <x:row r="1355" ht="23" customHeight="1">
      <x:c r="A1355" s="7" t="str">
        <x:v>INV01350</x:v>
      </x:c>
      <x:c r="B1355" s="15" t="d">
        <x:v>2026-01-01T00:00:00.000Z</x:v>
      </x:c>
      <x:c r="C1355" s="14" t="d">
        <x:v>2026-01-01T00:00:00.000Z</x:v>
      </x:c>
      <x:c r="D1355" s="34" t="str">
        <x:v>0007</x:v>
      </x:c>
      <x:c r="E1355" s="7" t="str">
        <x:v>Central</x:v>
      </x:c>
      <x:c r="F1355" s="7" t="n">
        <x:v>5</x:v>
      </x:c>
      <x:c r="G1355" s="7" t="n">
        <x:v>280</x:v>
      </x:c>
      <x:c r="H1355" s="9" t="n">
        <x:v>0</x:v>
      </x:c>
      <x:c r="I1355" s="7" t="n">
        <x:v>1400</x:v>
      </x:c>
    </x:row>
    <x:row r="1356" ht="23" customHeight="1">
      <x:c r="A1356" s="7" t="str">
        <x:v>INV01351</x:v>
      </x:c>
      <x:c r="B1356" s="15" t="d">
        <x:v>2026-01-02T00:00:00.000Z</x:v>
      </x:c>
      <x:c r="C1356" s="14" t="d">
        <x:v>2026-01-01T00:00:00.000Z</x:v>
      </x:c>
      <x:c r="D1356" s="34" t="str">
        <x:v>0008</x:v>
      </x:c>
      <x:c r="E1356" s="7" t="str">
        <x:v>Central</x:v>
      </x:c>
      <x:c r="F1356" s="7" t="n">
        <x:v>2</x:v>
      </x:c>
      <x:c r="G1356" s="7" t="n">
        <x:v>300</x:v>
      </x:c>
      <x:c r="H1356" s="9" t="n">
        <x:v>0.02</x:v>
      </x:c>
      <x:c r="I1356" s="7" t="n">
        <x:v>588</x:v>
      </x:c>
    </x:row>
    <x:row r="1357" ht="23" customHeight="1">
      <x:c r="A1357" s="7" t="str">
        <x:v>INV01352</x:v>
      </x:c>
      <x:c r="B1357" s="15" t="d">
        <x:v>2026-01-03T00:00:00.000Z</x:v>
      </x:c>
      <x:c r="C1357" s="14" t="d">
        <x:v>2026-01-01T00:00:00.000Z</x:v>
      </x:c>
      <x:c r="D1357" s="34" t="str">
        <x:v>0001</x:v>
      </x:c>
      <x:c r="E1357" s="7" t="str">
        <x:v>East</x:v>
      </x:c>
      <x:c r="F1357" s="7" t="n">
        <x:v>5</x:v>
      </x:c>
      <x:c r="G1357" s="7" t="n">
        <x:v>160</x:v>
      </x:c>
      <x:c r="H1357" s="9" t="n">
        <x:v>0.05</x:v>
      </x:c>
      <x:c r="I1357" s="7" t="n">
        <x:v>760</x:v>
      </x:c>
    </x:row>
    <x:row r="1358" ht="23" customHeight="1">
      <x:c r="A1358" s="7" t="str">
        <x:v>INV01353</x:v>
      </x:c>
      <x:c r="B1358" s="15" t="d">
        <x:v>2026-01-04T00:00:00.000Z</x:v>
      </x:c>
      <x:c r="C1358" s="14" t="d">
        <x:v>2026-01-01T00:00:00.000Z</x:v>
      </x:c>
      <x:c r="D1358" s="34" t="str">
        <x:v>0002</x:v>
      </x:c>
      <x:c r="E1358" s="7" t="str">
        <x:v>East</x:v>
      </x:c>
      <x:c r="F1358" s="7" t="n">
        <x:v>-2</x:v>
      </x:c>
      <x:c r="G1358" s="7" t="n">
        <x:v>180</x:v>
      </x:c>
      <x:c r="H1358" s="9" t="n">
        <x:v>0</x:v>
      </x:c>
      <x:c r="I1358" s="7" t="n">
        <x:v>-360</x:v>
      </x:c>
    </x:row>
    <x:row r="1359" ht="23" customHeight="1">
      <x:c r="A1359" s="7" t="str">
        <x:v>INV01354</x:v>
      </x:c>
      <x:c r="B1359" s="15" t="d">
        <x:v>2026-01-05T00:00:00.000Z</x:v>
      </x:c>
      <x:c r="C1359" s="14" t="d">
        <x:v>2026-01-01T00:00:00.000Z</x:v>
      </x:c>
      <x:c r="D1359" s="34" t="str">
        <x:v>0003</x:v>
      </x:c>
      <x:c r="E1359" s="7" t="str">
        <x:v>East</x:v>
      </x:c>
      <x:c r="F1359" s="7" t="n">
        <x:v>2</x:v>
      </x:c>
      <x:c r="G1359" s="7" t="n">
        <x:v>200</x:v>
      </x:c>
      <x:c r="H1359" s="9" t="n">
        <x:v>0.02</x:v>
      </x:c>
      <x:c r="I1359" s="7" t="n">
        <x:v>392</x:v>
      </x:c>
    </x:row>
    <x:row r="1360" ht="23" customHeight="1">
      <x:c r="A1360" s="7" t="str">
        <x:v>INV01355</x:v>
      </x:c>
      <x:c r="B1360" s="15" t="d">
        <x:v>2026-01-06T00:00:00.000Z</x:v>
      </x:c>
      <x:c r="C1360" s="14" t="d">
        <x:v>2026-01-01T00:00:00.000Z</x:v>
      </x:c>
      <x:c r="D1360" s="34" t="str">
        <x:v>0004</x:v>
      </x:c>
      <x:c r="E1360" s="7" t="str">
        <x:v>East</x:v>
      </x:c>
      <x:c r="F1360" s="7" t="n">
        <x:v>1</x:v>
      </x:c>
      <x:c r="G1360" s="7" t="n">
        <x:v>220</x:v>
      </x:c>
      <x:c r="H1360" s="9" t="n">
        <x:v>0.05</x:v>
      </x:c>
      <x:c r="I1360" s="7" t="n">
        <x:v>209</x:v>
      </x:c>
    </x:row>
    <x:row r="1361" ht="23" customHeight="1">
      <x:c r="A1361" s="7" t="str">
        <x:v>INV01356</x:v>
      </x:c>
      <x:c r="B1361" s="15" t="d">
        <x:v>2026-01-07T00:00:00.000Z</x:v>
      </x:c>
      <x:c r="C1361" s="14" t="d">
        <x:v>2026-01-01T00:00:00.000Z</x:v>
      </x:c>
      <x:c r="D1361" s="34" t="str">
        <x:v>0005</x:v>
      </x:c>
      <x:c r="E1361" s="7" t="str">
        <x:v>East</x:v>
      </x:c>
      <x:c r="F1361" s="7" t="n">
        <x:v>4</x:v>
      </x:c>
      <x:c r="G1361" s="7" t="n">
        <x:v>240</x:v>
      </x:c>
      <x:c r="H1361" s="9" t="n">
        <x:v>0</x:v>
      </x:c>
      <x:c r="I1361" s="7" t="n">
        <x:v>960</x:v>
      </x:c>
    </x:row>
    <x:row r="1362" ht="23" customHeight="1">
      <x:c r="A1362" s="7" t="str">
        <x:v>INV01357</x:v>
      </x:c>
      <x:c r="B1362" s="15" t="d">
        <x:v>2026-01-08T00:00:00.000Z</x:v>
      </x:c>
      <x:c r="C1362" s="14" t="d">
        <x:v>2026-01-01T00:00:00.000Z</x:v>
      </x:c>
      <x:c r="D1362" s="34" t="str">
        <x:v>0006</x:v>
      </x:c>
      <x:c r="E1362" s="7" t="str">
        <x:v>East</x:v>
      </x:c>
      <x:c r="F1362" s="7" t="n">
        <x:v>2</x:v>
      </x:c>
      <x:c r="G1362" s="7" t="n">
        <x:v>260</x:v>
      </x:c>
      <x:c r="H1362" s="9" t="n">
        <x:v>0.02</x:v>
      </x:c>
      <x:c r="I1362" s="7" t="n">
        <x:v>509.6</x:v>
      </x:c>
    </x:row>
    <x:row r="1363" ht="23" customHeight="1">
      <x:c r="A1363" s="7" t="str">
        <x:v>INV01358</x:v>
      </x:c>
      <x:c r="B1363" s="15" t="d">
        <x:v>2026-01-09T00:00:00.000Z</x:v>
      </x:c>
      <x:c r="C1363" s="14" t="d">
        <x:v>2026-01-01T00:00:00.000Z</x:v>
      </x:c>
      <x:c r="D1363" s="34" t="str">
        <x:v>0007</x:v>
      </x:c>
      <x:c r="E1363" s="7" t="str">
        <x:v>East</x:v>
      </x:c>
      <x:c r="F1363" s="7" t="n">
        <x:v>3</x:v>
      </x:c>
      <x:c r="G1363" s="7" t="n">
        <x:v>280</x:v>
      </x:c>
      <x:c r="H1363" s="9" t="n">
        <x:v>0.05</x:v>
      </x:c>
      <x:c r="I1363" s="7" t="n">
        <x:v>798</x:v>
      </x:c>
    </x:row>
    <x:row r="1364" ht="23" customHeight="1">
      <x:c r="A1364" s="7" t="str">
        <x:v>INV01359</x:v>
      </x:c>
      <x:c r="B1364" s="15" t="d">
        <x:v>2026-01-10T00:00:00.000Z</x:v>
      </x:c>
      <x:c r="C1364" s="14" t="d">
        <x:v>2026-01-01T00:00:00.000Z</x:v>
      </x:c>
      <x:c r="D1364" s="34" t="str">
        <x:v>0008</x:v>
      </x:c>
      <x:c r="E1364" s="7" t="str">
        <x:v>East</x:v>
      </x:c>
      <x:c r="F1364" s="7" t="n">
        <x:v>7</x:v>
      </x:c>
      <x:c r="G1364" s="7" t="n">
        <x:v>300</x:v>
      </x:c>
      <x:c r="H1364" s="9" t="n">
        <x:v>0</x:v>
      </x:c>
      <x:c r="I1364" s="7" t="n">
        <x:v>2100</x:v>
      </x:c>
    </x:row>
    <x:row r="1365" ht="23" customHeight="1">
      <x:c r="A1365" s="7" t="str">
        <x:v>INV01360</x:v>
      </x:c>
      <x:c r="B1365" s="15" t="d">
        <x:v>2026-01-11T00:00:00.000Z</x:v>
      </x:c>
      <x:c r="C1365" s="14" t="d">
        <x:v>2026-01-01T00:00:00.000Z</x:v>
      </x:c>
      <x:c r="D1365" s="34" t="str">
        <x:v>0001</x:v>
      </x:c>
      <x:c r="E1365" s="7" t="str">
        <x:v>West</x:v>
      </x:c>
      <x:c r="F1365" s="7" t="n">
        <x:v>4</x:v>
      </x:c>
      <x:c r="G1365" s="7" t="n">
        <x:v>160</x:v>
      </x:c>
      <x:c r="H1365" s="9" t="n">
        <x:v>0.02</x:v>
      </x:c>
      <x:c r="I1365" s="7" t="n">
        <x:v>627.2</x:v>
      </x:c>
    </x:row>
    <x:row r="1366" ht="23" customHeight="1">
      <x:c r="A1366" s="7" t="str">
        <x:v>INV01361</x:v>
      </x:c>
      <x:c r="B1366" s="15" t="d">
        <x:v>2026-01-12T00:00:00.000Z</x:v>
      </x:c>
      <x:c r="C1366" s="14" t="d">
        <x:v>2026-01-01T00:00:00.000Z</x:v>
      </x:c>
      <x:c r="D1366" s="34" t="str">
        <x:v>0002</x:v>
      </x:c>
      <x:c r="E1366" s="7" t="str">
        <x:v>West</x:v>
      </x:c>
      <x:c r="F1366" s="7" t="n">
        <x:v>3</x:v>
      </x:c>
      <x:c r="G1366" s="7" t="n">
        <x:v>180</x:v>
      </x:c>
      <x:c r="H1366" s="9" t="n">
        <x:v>0.05</x:v>
      </x:c>
      <x:c r="I1366" s="7" t="n">
        <x:v>513</x:v>
      </x:c>
    </x:row>
    <x:row r="1367" ht="23" customHeight="1">
      <x:c r="A1367" s="7" t="str">
        <x:v>INV01362</x:v>
      </x:c>
      <x:c r="B1367" s="15" t="d">
        <x:v>2026-01-13T00:00:00.000Z</x:v>
      </x:c>
      <x:c r="C1367" s="14" t="d">
        <x:v>2026-01-01T00:00:00.000Z</x:v>
      </x:c>
      <x:c r="D1367" s="34" t="str">
        <x:v>0003</x:v>
      </x:c>
      <x:c r="E1367" s="7" t="str">
        <x:v>West</x:v>
      </x:c>
      <x:c r="F1367" s="7" t="n">
        <x:v>7</x:v>
      </x:c>
      <x:c r="G1367" s="7" t="n">
        <x:v>200</x:v>
      </x:c>
      <x:c r="H1367" s="9" t="n">
        <x:v>0</x:v>
      </x:c>
      <x:c r="I1367" s="7" t="n">
        <x:v>1400</x:v>
      </x:c>
    </x:row>
    <x:row r="1368" ht="23" customHeight="1">
      <x:c r="A1368" s="7" t="str">
        <x:v>INV01363</x:v>
      </x:c>
      <x:c r="B1368" s="15" t="d">
        <x:v>2026-01-14T00:00:00.000Z</x:v>
      </x:c>
      <x:c r="C1368" s="14" t="d">
        <x:v>2026-01-01T00:00:00.000Z</x:v>
      </x:c>
      <x:c r="D1368" s="34" t="str">
        <x:v>0004</x:v>
      </x:c>
      <x:c r="E1368" s="7" t="str">
        <x:v>West</x:v>
      </x:c>
      <x:c r="F1368" s="7" t="n">
        <x:v>7</x:v>
      </x:c>
      <x:c r="G1368" s="7" t="n">
        <x:v>220</x:v>
      </x:c>
      <x:c r="H1368" s="9" t="n">
        <x:v>0.02</x:v>
      </x:c>
      <x:c r="I1368" s="7" t="n">
        <x:v>1509.2</x:v>
      </x:c>
    </x:row>
    <x:row r="1369" ht="23" customHeight="1">
      <x:c r="A1369" s="7" t="str">
        <x:v>INV01364</x:v>
      </x:c>
      <x:c r="B1369" s="15" t="d">
        <x:v>2026-01-15T00:00:00.000Z</x:v>
      </x:c>
      <x:c r="C1369" s="14" t="d">
        <x:v>2026-01-01T00:00:00.000Z</x:v>
      </x:c>
      <x:c r="D1369" s="34" t="str">
        <x:v>0005</x:v>
      </x:c>
      <x:c r="E1369" s="7" t="str">
        <x:v>West</x:v>
      </x:c>
      <x:c r="F1369" s="7" t="n">
        <x:v>6</x:v>
      </x:c>
      <x:c r="G1369" s="7" t="n">
        <x:v>240</x:v>
      </x:c>
      <x:c r="H1369" s="9" t="n">
        <x:v>0.05</x:v>
      </x:c>
      <x:c r="I1369" s="7" t="n">
        <x:v>1368</x:v>
      </x:c>
    </x:row>
    <x:row r="1370" ht="23" customHeight="1">
      <x:c r="A1370" s="7" t="str">
        <x:v>INV01365</x:v>
      </x:c>
      <x:c r="B1370" s="15" t="d">
        <x:v>2026-01-16T00:00:00.000Z</x:v>
      </x:c>
      <x:c r="C1370" s="14" t="d">
        <x:v>2026-01-01T00:00:00.000Z</x:v>
      </x:c>
      <x:c r="D1370" s="34" t="str">
        <x:v>0006</x:v>
      </x:c>
      <x:c r="E1370" s="7" t="str">
        <x:v>West</x:v>
      </x:c>
      <x:c r="F1370" s="7" t="n">
        <x:v>2</x:v>
      </x:c>
      <x:c r="G1370" s="7" t="n">
        <x:v>260</x:v>
      </x:c>
      <x:c r="H1370" s="9" t="n">
        <x:v>0</x:v>
      </x:c>
      <x:c r="I1370" s="7" t="n">
        <x:v>520</x:v>
      </x:c>
    </x:row>
    <x:row r="1371" ht="23" customHeight="1">
      <x:c r="A1371" s="7" t="str">
        <x:v>INV01366</x:v>
      </x:c>
      <x:c r="B1371" s="15" t="d">
        <x:v>2026-01-17T00:00:00.000Z</x:v>
      </x:c>
      <x:c r="C1371" s="14" t="d">
        <x:v>2026-01-01T00:00:00.000Z</x:v>
      </x:c>
      <x:c r="D1371" s="34" t="str">
        <x:v>0007</x:v>
      </x:c>
      <x:c r="E1371" s="7" t="str">
        <x:v>West</x:v>
      </x:c>
      <x:c r="F1371" s="7" t="n">
        <x:v>5</x:v>
      </x:c>
      <x:c r="G1371" s="7" t="n">
        <x:v>280</x:v>
      </x:c>
      <x:c r="H1371" s="9" t="n">
        <x:v>0.02</x:v>
      </x:c>
      <x:c r="I1371" s="7" t="n">
        <x:v>1372</x:v>
      </x:c>
    </x:row>
    <x:row r="1372" ht="23" customHeight="1">
      <x:c r="A1372" s="7" t="str">
        <x:v>INV01367</x:v>
      </x:c>
      <x:c r="B1372" s="15" t="d">
        <x:v>2026-01-18T00:00:00.000Z</x:v>
      </x:c>
      <x:c r="C1372" s="14" t="d">
        <x:v>2026-01-01T00:00:00.000Z</x:v>
      </x:c>
      <x:c r="D1372" s="34" t="str">
        <x:v>0008</x:v>
      </x:c>
      <x:c r="E1372" s="7" t="str">
        <x:v>West</x:v>
      </x:c>
      <x:c r="F1372" s="7" t="n">
        <x:v>5</x:v>
      </x:c>
      <x:c r="G1372" s="7" t="n">
        <x:v>300</x:v>
      </x:c>
      <x:c r="H1372" s="9" t="n">
        <x:v>0.05</x:v>
      </x:c>
      <x:c r="I1372" s="7" t="n">
        <x:v>1425</x:v>
      </x:c>
    </x:row>
    <x:row r="1373" ht="23" customHeight="1">
      <x:c r="A1373" s="7" t="str">
        <x:v>INV01368</x:v>
      </x:c>
      <x:c r="B1373" s="15" t="d">
        <x:v>2026-01-19T00:00:00.000Z</x:v>
      </x:c>
      <x:c r="C1373" s="14" t="d">
        <x:v>2026-01-01T00:00:00.000Z</x:v>
      </x:c>
      <x:c r="D1373" s="34" t="str">
        <x:v>0001</x:v>
      </x:c>
      <x:c r="E1373" s="7" t="str">
        <x:v>North</x:v>
      </x:c>
      <x:c r="F1373" s="7" t="n">
        <x:v>5</x:v>
      </x:c>
      <x:c r="G1373" s="7" t="n">
        <x:v>160</x:v>
      </x:c>
      <x:c r="H1373" s="9" t="n">
        <x:v>0</x:v>
      </x:c>
      <x:c r="I1373" s="7" t="n">
        <x:v>800</x:v>
      </x:c>
    </x:row>
    <x:row r="1374" ht="23" customHeight="1">
      <x:c r="A1374" s="7" t="str">
        <x:v>INV01369</x:v>
      </x:c>
      <x:c r="B1374" s="15" t="d">
        <x:v>2026-01-20T00:00:00.000Z</x:v>
      </x:c>
      <x:c r="C1374" s="14" t="d">
        <x:v>2026-01-01T00:00:00.000Z</x:v>
      </x:c>
      <x:c r="D1374" s="34" t="str">
        <x:v>0002</x:v>
      </x:c>
      <x:c r="E1374" s="7" t="str">
        <x:v>North</x:v>
      </x:c>
      <x:c r="F1374" s="7" t="n">
        <x:v>6</x:v>
      </x:c>
      <x:c r="G1374" s="7" t="n">
        <x:v>180</x:v>
      </x:c>
      <x:c r="H1374" s="9" t="n">
        <x:v>0.02</x:v>
      </x:c>
      <x:c r="I1374" s="7" t="n">
        <x:v>1058.4</x:v>
      </x:c>
    </x:row>
    <x:row r="1375" ht="23" customHeight="1">
      <x:c r="A1375" s="7" t="str">
        <x:v>INV01370</x:v>
      </x:c>
      <x:c r="B1375" s="15" t="d">
        <x:v>2026-01-21T00:00:00.000Z</x:v>
      </x:c>
      <x:c r="C1375" s="14" t="d">
        <x:v>2026-01-01T00:00:00.000Z</x:v>
      </x:c>
      <x:c r="D1375" s="34" t="str">
        <x:v>0003</x:v>
      </x:c>
      <x:c r="E1375" s="7" t="str">
        <x:v>North</x:v>
      </x:c>
      <x:c r="F1375" s="7" t="n">
        <x:v>6</x:v>
      </x:c>
      <x:c r="G1375" s="7" t="n">
        <x:v>200</x:v>
      </x:c>
      <x:c r="H1375" s="9" t="n">
        <x:v>0.05</x:v>
      </x:c>
      <x:c r="I1375" s="7" t="n">
        <x:v>1140</x:v>
      </x:c>
    </x:row>
    <x:row r="1376" ht="23" customHeight="1">
      <x:c r="A1376" s="7" t="str">
        <x:v>INV01371</x:v>
      </x:c>
      <x:c r="B1376" s="15" t="d">
        <x:v>2026-01-22T00:00:00.000Z</x:v>
      </x:c>
      <x:c r="C1376" s="14" t="d">
        <x:v>2026-01-01T00:00:00.000Z</x:v>
      </x:c>
      <x:c r="D1376" s="34" t="str">
        <x:v>0004</x:v>
      </x:c>
      <x:c r="E1376" s="7" t="str">
        <x:v>North</x:v>
      </x:c>
      <x:c r="F1376" s="7" t="n">
        <x:v>2</x:v>
      </x:c>
      <x:c r="G1376" s="7" t="n">
        <x:v>220</x:v>
      </x:c>
      <x:c r="H1376" s="9" t="n">
        <x:v>0</x:v>
      </x:c>
      <x:c r="I1376" s="7" t="n">
        <x:v>440</x:v>
      </x:c>
    </x:row>
    <x:row r="1377" ht="23" customHeight="1">
      <x:c r="A1377" s="7" t="str">
        <x:v>INV01372</x:v>
      </x:c>
      <x:c r="B1377" s="15" t="d">
        <x:v>2026-01-23T00:00:00.000Z</x:v>
      </x:c>
      <x:c r="C1377" s="14" t="d">
        <x:v>2026-01-01T00:00:00.000Z</x:v>
      </x:c>
      <x:c r="D1377" s="34" t="str">
        <x:v>0005</x:v>
      </x:c>
      <x:c r="E1377" s="7" t="str">
        <x:v>North</x:v>
      </x:c>
      <x:c r="F1377" s="7" t="n">
        <x:v>5</x:v>
      </x:c>
      <x:c r="G1377" s="7" t="n">
        <x:v>240</x:v>
      </x:c>
      <x:c r="H1377" s="9" t="n">
        <x:v>0.02</x:v>
      </x:c>
      <x:c r="I1377" s="7" t="n">
        <x:v>1176</x:v>
      </x:c>
    </x:row>
    <x:row r="1378" ht="23" customHeight="1">
      <x:c r="A1378" s="7" t="str">
        <x:v>INV01373</x:v>
      </x:c>
      <x:c r="B1378" s="15" t="d">
        <x:v>2026-01-24T00:00:00.000Z</x:v>
      </x:c>
      <x:c r="C1378" s="14" t="d">
        <x:v>2026-01-01T00:00:00.000Z</x:v>
      </x:c>
      <x:c r="D1378" s="34" t="str">
        <x:v>0006</x:v>
      </x:c>
      <x:c r="E1378" s="7" t="str">
        <x:v>North</x:v>
      </x:c>
      <x:c r="F1378" s="7" t="n">
        <x:v>7</x:v>
      </x:c>
      <x:c r="G1378" s="7" t="n">
        <x:v>260</x:v>
      </x:c>
      <x:c r="H1378" s="9" t="n">
        <x:v>0.05</x:v>
      </x:c>
      <x:c r="I1378" s="7" t="n">
        <x:v>1729</x:v>
      </x:c>
    </x:row>
    <x:row r="1379" ht="23" customHeight="1">
      <x:c r="A1379" s="7" t="str">
        <x:v>INV01374</x:v>
      </x:c>
      <x:c r="B1379" s="15" t="d">
        <x:v>2026-01-25T00:00:00.000Z</x:v>
      </x:c>
      <x:c r="C1379" s="14" t="d">
        <x:v>2026-01-01T00:00:00.000Z</x:v>
      </x:c>
      <x:c r="D1379" s="34" t="str">
        <x:v>0007</x:v>
      </x:c>
      <x:c r="E1379" s="7" t="str">
        <x:v>North</x:v>
      </x:c>
      <x:c r="F1379" s="7" t="n">
        <x:v>6</x:v>
      </x:c>
      <x:c r="G1379" s="7" t="n">
        <x:v>280</x:v>
      </x:c>
      <x:c r="H1379" s="9" t="n">
        <x:v>0</x:v>
      </x:c>
      <x:c r="I1379" s="7" t="n">
        <x:v>1680</x:v>
      </x:c>
    </x:row>
    <x:row r="1380" ht="23" customHeight="1">
      <x:c r="A1380" s="7" t="str">
        <x:v>INV01375</x:v>
      </x:c>
      <x:c r="B1380" s="15" t="d">
        <x:v>2026-01-26T00:00:00.000Z</x:v>
      </x:c>
      <x:c r="C1380" s="14" t="d">
        <x:v>2026-01-01T00:00:00.000Z</x:v>
      </x:c>
      <x:c r="D1380" s="34" t="str">
        <x:v>0008</x:v>
      </x:c>
      <x:c r="E1380" s="7" t="str">
        <x:v>North</x:v>
      </x:c>
      <x:c r="F1380" s="7" t="n">
        <x:v>3</x:v>
      </x:c>
      <x:c r="G1380" s="7" t="n">
        <x:v>300</x:v>
      </x:c>
      <x:c r="H1380" s="9" t="n">
        <x:v>0.02</x:v>
      </x:c>
      <x:c r="I1380" s="7" t="n">
        <x:v>882</x:v>
      </x:c>
    </x:row>
    <x:row r="1381" ht="23" customHeight="1">
      <x:c r="A1381" s="7" t="str">
        <x:v>INV01376</x:v>
      </x:c>
      <x:c r="B1381" s="15" t="d">
        <x:v>2026-02-27T00:00:00.000Z</x:v>
      </x:c>
      <x:c r="C1381" s="14" t="d">
        <x:v>2026-02-01T00:00:00.000Z</x:v>
      </x:c>
      <x:c r="D1381" s="34" t="str">
        <x:v>0001</x:v>
      </x:c>
      <x:c r="E1381" s="7" t="str">
        <x:v>Central</x:v>
      </x:c>
      <x:c r="F1381" s="7" t="n">
        <x:v>4</x:v>
      </x:c>
      <x:c r="G1381" s="7" t="n">
        <x:v>160</x:v>
      </x:c>
      <x:c r="H1381" s="9" t="n">
        <x:v>0.05</x:v>
      </x:c>
      <x:c r="I1381" s="7" t="n">
        <x:v>608</x:v>
      </x:c>
    </x:row>
    <x:row r="1382" ht="23" customHeight="1">
      <x:c r="A1382" s="7" t="str">
        <x:v>INV01377</x:v>
      </x:c>
      <x:c r="B1382" s="15" t="d">
        <x:v>2026-02-01T00:00:00.000Z</x:v>
      </x:c>
      <x:c r="C1382" s="14" t="d">
        <x:v>2026-02-01T00:00:00.000Z</x:v>
      </x:c>
      <x:c r="D1382" s="34" t="str">
        <x:v>0002</x:v>
      </x:c>
      <x:c r="E1382" s="7" t="str">
        <x:v>Central</x:v>
      </x:c>
      <x:c r="F1382" s="7" t="n">
        <x:v>3</x:v>
      </x:c>
      <x:c r="G1382" s="7" t="n">
        <x:v>180</x:v>
      </x:c>
      <x:c r="H1382" s="9" t="n">
        <x:v>0</x:v>
      </x:c>
      <x:c r="I1382" s="7" t="n">
        <x:v>540</x:v>
      </x:c>
    </x:row>
    <x:row r="1383" ht="23" customHeight="1">
      <x:c r="A1383" s="7" t="str">
        <x:v>INV01378</x:v>
      </x:c>
      <x:c r="B1383" s="15" t="d">
        <x:v>2026-02-02T00:00:00.000Z</x:v>
      </x:c>
      <x:c r="C1383" s="14" t="d">
        <x:v>2026-02-01T00:00:00.000Z</x:v>
      </x:c>
      <x:c r="D1383" s="34" t="str">
        <x:v>0003</x:v>
      </x:c>
      <x:c r="E1383" s="7" t="str">
        <x:v>Central</x:v>
      </x:c>
      <x:c r="F1383" s="7" t="n">
        <x:v>3</x:v>
      </x:c>
      <x:c r="G1383" s="7" t="n">
        <x:v>200</x:v>
      </x:c>
      <x:c r="H1383" s="9" t="n">
        <x:v>0.02</x:v>
      </x:c>
      <x:c r="I1383" s="7" t="n">
        <x:v>588</x:v>
      </x:c>
    </x:row>
    <x:row r="1384" ht="23" customHeight="1">
      <x:c r="A1384" s="7" t="str">
        <x:v>INV01379</x:v>
      </x:c>
      <x:c r="B1384" s="15" t="d">
        <x:v>2026-02-03T00:00:00.000Z</x:v>
      </x:c>
      <x:c r="C1384" s="14" t="d">
        <x:v>2026-02-01T00:00:00.000Z</x:v>
      </x:c>
      <x:c r="D1384" s="34" t="str">
        <x:v>0004</x:v>
      </x:c>
      <x:c r="E1384" s="7" t="str">
        <x:v>Central</x:v>
      </x:c>
      <x:c r="F1384" s="7" t="n">
        <x:v>6</x:v>
      </x:c>
      <x:c r="G1384" s="7" t="n">
        <x:v>220</x:v>
      </x:c>
      <x:c r="H1384" s="9" t="n">
        <x:v>0.05</x:v>
      </x:c>
      <x:c r="I1384" s="7" t="n">
        <x:v>1254</x:v>
      </x:c>
    </x:row>
    <x:row r="1385" ht="23" customHeight="1">
      <x:c r="A1385" s="7" t="str">
        <x:v>INV01380</x:v>
      </x:c>
      <x:c r="B1385" s="15" t="d">
        <x:v>2026-02-04T00:00:00.000Z</x:v>
      </x:c>
      <x:c r="C1385" s="14" t="d">
        <x:v>2026-02-01T00:00:00.000Z</x:v>
      </x:c>
      <x:c r="D1385" s="34" t="str">
        <x:v>0005</x:v>
      </x:c>
      <x:c r="E1385" s="7" t="str">
        <x:v>Central</x:v>
      </x:c>
      <x:c r="F1385" s="7" t="n">
        <x:v>6</x:v>
      </x:c>
      <x:c r="G1385" s="7" t="n">
        <x:v>240</x:v>
      </x:c>
      <x:c r="H1385" s="9" t="n">
        <x:v>0</x:v>
      </x:c>
      <x:c r="I1385" s="7" t="n">
        <x:v>1440</x:v>
      </x:c>
    </x:row>
    <x:row r="1386" ht="23" customHeight="1">
      <x:c r="A1386" s="7" t="str">
        <x:v>INV01381</x:v>
      </x:c>
      <x:c r="B1386" s="15" t="d">
        <x:v>2026-02-05T00:00:00.000Z</x:v>
      </x:c>
      <x:c r="C1386" s="14" t="d">
        <x:v>2026-02-01T00:00:00.000Z</x:v>
      </x:c>
      <x:c r="D1386" s="34" t="str">
        <x:v>0006</x:v>
      </x:c>
      <x:c r="E1386" s="7" t="str">
        <x:v>Central</x:v>
      </x:c>
      <x:c r="F1386" s="7" t="n">
        <x:v>1</x:v>
      </x:c>
      <x:c r="G1386" s="7" t="n">
        <x:v>260</x:v>
      </x:c>
      <x:c r="H1386" s="9" t="n">
        <x:v>0.02</x:v>
      </x:c>
      <x:c r="I1386" s="7" t="n">
        <x:v>254.8</x:v>
      </x:c>
    </x:row>
    <x:row r="1387" ht="23" customHeight="1">
      <x:c r="A1387" s="7" t="str">
        <x:v>INV01382</x:v>
      </x:c>
      <x:c r="B1387" s="15" t="d">
        <x:v>2026-02-06T00:00:00.000Z</x:v>
      </x:c>
      <x:c r="C1387" s="14" t="d">
        <x:v>2026-02-01T00:00:00.000Z</x:v>
      </x:c>
      <x:c r="D1387" s="34" t="str">
        <x:v>0007</x:v>
      </x:c>
      <x:c r="E1387" s="7" t="str">
        <x:v>Central</x:v>
      </x:c>
      <x:c r="F1387" s="7" t="n">
        <x:v>4</x:v>
      </x:c>
      <x:c r="G1387" s="7" t="n">
        <x:v>280</x:v>
      </x:c>
      <x:c r="H1387" s="9" t="n">
        <x:v>0.05</x:v>
      </x:c>
      <x:c r="I1387" s="7" t="n">
        <x:v>1064</x:v>
      </x:c>
    </x:row>
    <x:row r="1388" ht="23" customHeight="1">
      <x:c r="A1388" s="7" t="str">
        <x:v>INV01383</x:v>
      </x:c>
      <x:c r="B1388" s="15" t="d">
        <x:v>2026-02-07T00:00:00.000Z</x:v>
      </x:c>
      <x:c r="C1388" s="14" t="d">
        <x:v>2026-02-01T00:00:00.000Z</x:v>
      </x:c>
      <x:c r="D1388" s="34" t="str">
        <x:v>0008</x:v>
      </x:c>
      <x:c r="E1388" s="7" t="str">
        <x:v>Central</x:v>
      </x:c>
      <x:c r="F1388" s="7" t="n">
        <x:v>3</x:v>
      </x:c>
      <x:c r="G1388" s="7" t="n">
        <x:v>300</x:v>
      </x:c>
      <x:c r="H1388" s="9" t="n">
        <x:v>0</x:v>
      </x:c>
      <x:c r="I1388" s="7" t="n">
        <x:v>900</x:v>
      </x:c>
    </x:row>
    <x:row r="1389" ht="23" customHeight="1">
      <x:c r="A1389" s="7" t="str">
        <x:v>INV01384</x:v>
      </x:c>
      <x:c r="B1389" s="15" t="d">
        <x:v>2026-02-08T00:00:00.000Z</x:v>
      </x:c>
      <x:c r="C1389" s="14" t="d">
        <x:v>2026-02-01T00:00:00.000Z</x:v>
      </x:c>
      <x:c r="D1389" s="34" t="str">
        <x:v>0001</x:v>
      </x:c>
      <x:c r="E1389" s="7" t="str">
        <x:v>East</x:v>
      </x:c>
      <x:c r="F1389" s="7" t="n">
        <x:v>7</x:v>
      </x:c>
      <x:c r="G1389" s="7" t="n">
        <x:v>160</x:v>
      </x:c>
      <x:c r="H1389" s="9" t="n">
        <x:v>0.02</x:v>
      </x:c>
      <x:c r="I1389" s="7" t="n">
        <x:v>1097.6</x:v>
      </x:c>
    </x:row>
    <x:row r="1390" ht="23" customHeight="1">
      <x:c r="A1390" s="7" t="str">
        <x:v>INV01385</x:v>
      </x:c>
      <x:c r="B1390" s="15" t="d">
        <x:v>2026-02-09T00:00:00.000Z</x:v>
      </x:c>
      <x:c r="C1390" s="14" t="d">
        <x:v>2026-02-01T00:00:00.000Z</x:v>
      </x:c>
      <x:c r="D1390" s="34" t="str">
        <x:v>0002</x:v>
      </x:c>
      <x:c r="E1390" s="7" t="str">
        <x:v>East</x:v>
      </x:c>
      <x:c r="F1390" s="7" t="n">
        <x:v>2</x:v>
      </x:c>
      <x:c r="G1390" s="7" t="n">
        <x:v>180</x:v>
      </x:c>
      <x:c r="H1390" s="9" t="n">
        <x:v>0.05</x:v>
      </x:c>
      <x:c r="I1390" s="7" t="n">
        <x:v>342</x:v>
      </x:c>
    </x:row>
    <x:row r="1391" ht="23" customHeight="1">
      <x:c r="A1391" s="7" t="str">
        <x:v>INV01386</x:v>
      </x:c>
      <x:c r="B1391" s="15" t="d">
        <x:v>2026-02-10T00:00:00.000Z</x:v>
      </x:c>
      <x:c r="C1391" s="14" t="d">
        <x:v>2026-02-01T00:00:00.000Z</x:v>
      </x:c>
      <x:c r="D1391" s="34" t="str">
        <x:v>0003</x:v>
      </x:c>
      <x:c r="E1391" s="7" t="str">
        <x:v>East</x:v>
      </x:c>
      <x:c r="F1391" s="7" t="n">
        <x:v>3</x:v>
      </x:c>
      <x:c r="G1391" s="7" t="n">
        <x:v>200</x:v>
      </x:c>
      <x:c r="H1391" s="9" t="n">
        <x:v>0</x:v>
      </x:c>
      <x:c r="I1391" s="7" t="n">
        <x:v>600</x:v>
      </x:c>
    </x:row>
    <x:row r="1392" ht="23" customHeight="1">
      <x:c r="A1392" s="7" t="str">
        <x:v>INV01387</x:v>
      </x:c>
      <x:c r="B1392" s="15" t="d">
        <x:v>2026-02-11T00:00:00.000Z</x:v>
      </x:c>
      <x:c r="C1392" s="14" t="d">
        <x:v>2026-02-01T00:00:00.000Z</x:v>
      </x:c>
      <x:c r="D1392" s="34" t="str">
        <x:v>0004</x:v>
      </x:c>
      <x:c r="E1392" s="7" t="str">
        <x:v>East</x:v>
      </x:c>
      <x:c r="F1392" s="7" t="n">
        <x:v>2</x:v>
      </x:c>
      <x:c r="G1392" s="7" t="n">
        <x:v>220</x:v>
      </x:c>
      <x:c r="H1392" s="9" t="n">
        <x:v>0.02</x:v>
      </x:c>
      <x:c r="I1392" s="7" t="n">
        <x:v>431.2</x:v>
      </x:c>
    </x:row>
    <x:row r="1393" ht="23" customHeight="1">
      <x:c r="A1393" s="7" t="str">
        <x:v>INV01388</x:v>
      </x:c>
      <x:c r="B1393" s="15" t="d">
        <x:v>2026-02-12T00:00:00.000Z</x:v>
      </x:c>
      <x:c r="C1393" s="14" t="d">
        <x:v>2026-02-01T00:00:00.000Z</x:v>
      </x:c>
      <x:c r="D1393" s="34" t="str">
        <x:v>0005</x:v>
      </x:c>
      <x:c r="E1393" s="7" t="str">
        <x:v>East</x:v>
      </x:c>
      <x:c r="F1393" s="7" t="n">
        <x:v>1</x:v>
      </x:c>
      <x:c r="G1393" s="7" t="n">
        <x:v>240</x:v>
      </x:c>
      <x:c r="H1393" s="9" t="n">
        <x:v>0.05</x:v>
      </x:c>
      <x:c r="I1393" s="7" t="n">
        <x:v>228</x:v>
      </x:c>
    </x:row>
    <x:row r="1394" ht="23" customHeight="1">
      <x:c r="A1394" s="7" t="str">
        <x:v>INV01389</x:v>
      </x:c>
      <x:c r="B1394" s="15" t="d">
        <x:v>2026-02-13T00:00:00.000Z</x:v>
      </x:c>
      <x:c r="C1394" s="14" t="d">
        <x:v>2026-02-01T00:00:00.000Z</x:v>
      </x:c>
      <x:c r="D1394" s="34" t="str">
        <x:v>0006</x:v>
      </x:c>
      <x:c r="E1394" s="7" t="str">
        <x:v>East</x:v>
      </x:c>
      <x:c r="F1394" s="7" t="n">
        <x:v>3</x:v>
      </x:c>
      <x:c r="G1394" s="7" t="n">
        <x:v>260</x:v>
      </x:c>
      <x:c r="H1394" s="9" t="n">
        <x:v>0</x:v>
      </x:c>
      <x:c r="I1394" s="7" t="n">
        <x:v>780</x:v>
      </x:c>
    </x:row>
    <x:row r="1395" ht="23" customHeight="1">
      <x:c r="A1395" s="7" t="str">
        <x:v>INV01390</x:v>
      </x:c>
      <x:c r="B1395" s="15" t="d">
        <x:v>2026-02-14T00:00:00.000Z</x:v>
      </x:c>
      <x:c r="C1395" s="14" t="d">
        <x:v>2026-02-01T00:00:00.000Z</x:v>
      </x:c>
      <x:c r="D1395" s="34" t="str">
        <x:v>0007</x:v>
      </x:c>
      <x:c r="E1395" s="7" t="str">
        <x:v>East</x:v>
      </x:c>
      <x:c r="F1395" s="7" t="n">
        <x:v>6</x:v>
      </x:c>
      <x:c r="G1395" s="7" t="n">
        <x:v>280</x:v>
      </x:c>
      <x:c r="H1395" s="9" t="n">
        <x:v>0.02</x:v>
      </x:c>
      <x:c r="I1395" s="7" t="n">
        <x:v>1646.4</x:v>
      </x:c>
    </x:row>
    <x:row r="1396" ht="23" customHeight="1">
      <x:c r="A1396" s="7" t="str">
        <x:v>INV01391</x:v>
      </x:c>
      <x:c r="B1396" s="15" t="d">
        <x:v>2026-02-15T00:00:00.000Z</x:v>
      </x:c>
      <x:c r="C1396" s="14" t="d">
        <x:v>2026-02-01T00:00:00.000Z</x:v>
      </x:c>
      <x:c r="D1396" s="34" t="str">
        <x:v>0008</x:v>
      </x:c>
      <x:c r="E1396" s="7" t="str">
        <x:v>East</x:v>
      </x:c>
      <x:c r="F1396" s="7" t="n">
        <x:v>7</x:v>
      </x:c>
      <x:c r="G1396" s="7" t="n">
        <x:v>300</x:v>
      </x:c>
      <x:c r="H1396" s="9" t="n">
        <x:v>0.05</x:v>
      </x:c>
      <x:c r="I1396" s="7" t="n">
        <x:v>1995</x:v>
      </x:c>
    </x:row>
    <x:row r="1397" ht="23" customHeight="1">
      <x:c r="A1397" s="7" t="str">
        <x:v>INV01392</x:v>
      </x:c>
      <x:c r="B1397" s="15" t="d">
        <x:v>2026-02-16T00:00:00.000Z</x:v>
      </x:c>
      <x:c r="C1397" s="14" t="d">
        <x:v>2026-02-01T00:00:00.000Z</x:v>
      </x:c>
      <x:c r="D1397" s="34" t="str">
        <x:v>0001</x:v>
      </x:c>
      <x:c r="E1397" s="7" t="str">
        <x:v>West</x:v>
      </x:c>
      <x:c r="F1397" s="7" t="n">
        <x:v>5</x:v>
      </x:c>
      <x:c r="G1397" s="7" t="n">
        <x:v>160</x:v>
      </x:c>
      <x:c r="H1397" s="9" t="n">
        <x:v>0</x:v>
      </x:c>
      <x:c r="I1397" s="7" t="n">
        <x:v>800</x:v>
      </x:c>
    </x:row>
    <x:row r="1398" ht="23" customHeight="1">
      <x:c r="A1398" s="7" t="str">
        <x:v>INV01393</x:v>
      </x:c>
      <x:c r="B1398" s="15" t="d">
        <x:v>2026-02-17T00:00:00.000Z</x:v>
      </x:c>
      <x:c r="C1398" s="14" t="d">
        <x:v>2026-02-01T00:00:00.000Z</x:v>
      </x:c>
      <x:c r="D1398" s="34" t="str">
        <x:v>0002</x:v>
      </x:c>
      <x:c r="E1398" s="7" t="str">
        <x:v>West</x:v>
      </x:c>
      <x:c r="F1398" s="7" t="n">
        <x:v>5</x:v>
      </x:c>
      <x:c r="G1398" s="7" t="n">
        <x:v>180</x:v>
      </x:c>
      <x:c r="H1398" s="9" t="n">
        <x:v>0.02</x:v>
      </x:c>
      <x:c r="I1398" s="7" t="n">
        <x:v>882</x:v>
      </x:c>
    </x:row>
    <x:row r="1399" ht="23" customHeight="1">
      <x:c r="A1399" s="7" t="str">
        <x:v>INV01394</x:v>
      </x:c>
      <x:c r="B1399" s="15" t="d">
        <x:v>2026-02-18T00:00:00.000Z</x:v>
      </x:c>
      <x:c r="C1399" s="14" t="d">
        <x:v>2026-02-01T00:00:00.000Z</x:v>
      </x:c>
      <x:c r="D1399" s="34" t="str">
        <x:v>0003</x:v>
      </x:c>
      <x:c r="E1399" s="7" t="str">
        <x:v>West</x:v>
      </x:c>
      <x:c r="F1399" s="7" t="n">
        <x:v>-5</x:v>
      </x:c>
      <x:c r="G1399" s="7" t="n">
        <x:v>200</x:v>
      </x:c>
      <x:c r="H1399" s="9" t="n">
        <x:v>0.05</x:v>
      </x:c>
      <x:c r="I1399" s="7" t="n">
        <x:v>-950</x:v>
      </x:c>
    </x:row>
    <x:row r="1400" ht="23" customHeight="1">
      <x:c r="A1400" s="7" t="str">
        <x:v>INV01395</x:v>
      </x:c>
      <x:c r="B1400" s="15" t="d">
        <x:v>2026-02-19T00:00:00.000Z</x:v>
      </x:c>
      <x:c r="C1400" s="14" t="d">
        <x:v>2026-02-01T00:00:00.000Z</x:v>
      </x:c>
      <x:c r="D1400" s="34" t="str">
        <x:v>0004</x:v>
      </x:c>
      <x:c r="E1400" s="7" t="str">
        <x:v>West</x:v>
      </x:c>
      <x:c r="F1400" s="7" t="n">
        <x:v>4</x:v>
      </x:c>
      <x:c r="G1400" s="7" t="n">
        <x:v>220</x:v>
      </x:c>
      <x:c r="H1400" s="9" t="n">
        <x:v>0</x:v>
      </x:c>
      <x:c r="I1400" s="7" t="n">
        <x:v>880</x:v>
      </x:c>
    </x:row>
    <x:row r="1401" ht="23" customHeight="1">
      <x:c r="A1401" s="7" t="str">
        <x:v>INV01396</x:v>
      </x:c>
      <x:c r="B1401" s="15" t="d">
        <x:v>2026-02-20T00:00:00.000Z</x:v>
      </x:c>
      <x:c r="C1401" s="14" t="d">
        <x:v>2026-02-01T00:00:00.000Z</x:v>
      </x:c>
      <x:c r="D1401" s="34" t="str">
        <x:v>0005</x:v>
      </x:c>
      <x:c r="E1401" s="7" t="str">
        <x:v>West</x:v>
      </x:c>
      <x:c r="F1401" s="7" t="n">
        <x:v>3</x:v>
      </x:c>
      <x:c r="G1401" s="7" t="n">
        <x:v>240</x:v>
      </x:c>
      <x:c r="H1401" s="9" t="n">
        <x:v>0.02</x:v>
      </x:c>
      <x:c r="I1401" s="7" t="n">
        <x:v>705.6</x:v>
      </x:c>
    </x:row>
    <x:row r="1402" ht="23" customHeight="1">
      <x:c r="A1402" s="7" t="str">
        <x:v>INV01397</x:v>
      </x:c>
      <x:c r="B1402" s="15" t="d">
        <x:v>2026-02-21T00:00:00.000Z</x:v>
      </x:c>
      <x:c r="C1402" s="14" t="d">
        <x:v>2026-02-01T00:00:00.000Z</x:v>
      </x:c>
      <x:c r="D1402" s="34" t="str">
        <x:v>0006</x:v>
      </x:c>
      <x:c r="E1402" s="7" t="str">
        <x:v>West</x:v>
      </x:c>
      <x:c r="F1402" s="7" t="n">
        <x:v>7</x:v>
      </x:c>
      <x:c r="G1402" s="7" t="n">
        <x:v>260</x:v>
      </x:c>
      <x:c r="H1402" s="9" t="n">
        <x:v>0.05</x:v>
      </x:c>
      <x:c r="I1402" s="7" t="n">
        <x:v>1729</x:v>
      </x:c>
    </x:row>
    <x:row r="1403" ht="23" customHeight="1">
      <x:c r="A1403" s="7" t="str">
        <x:v>INV01398</x:v>
      </x:c>
      <x:c r="B1403" s="15" t="d">
        <x:v>2026-02-22T00:00:00.000Z</x:v>
      </x:c>
      <x:c r="C1403" s="14" t="d">
        <x:v>2026-02-01T00:00:00.000Z</x:v>
      </x:c>
      <x:c r="D1403" s="34" t="str">
        <x:v>0007</x:v>
      </x:c>
      <x:c r="E1403" s="7" t="str">
        <x:v>West</x:v>
      </x:c>
      <x:c r="F1403" s="7" t="n">
        <x:v>5</x:v>
      </x:c>
      <x:c r="G1403" s="7" t="n">
        <x:v>280</x:v>
      </x:c>
      <x:c r="H1403" s="9" t="n">
        <x:v>0</x:v>
      </x:c>
      <x:c r="I1403" s="7" t="n">
        <x:v>1400</x:v>
      </x:c>
    </x:row>
    <x:row r="1404" ht="23" customHeight="1">
      <x:c r="A1404" s="7" t="str">
        <x:v>INV01399</x:v>
      </x:c>
      <x:c r="B1404" s="15" t="d">
        <x:v>2026-02-23T00:00:00.000Z</x:v>
      </x:c>
      <x:c r="C1404" s="14" t="d">
        <x:v>2026-02-01T00:00:00.000Z</x:v>
      </x:c>
      <x:c r="D1404" s="34" t="str">
        <x:v>0008</x:v>
      </x:c>
      <x:c r="E1404" s="7" t="str">
        <x:v>West</x:v>
      </x:c>
      <x:c r="F1404" s="7" t="n">
        <x:v>1</x:v>
      </x:c>
      <x:c r="G1404" s="7" t="n">
        <x:v>300</x:v>
      </x:c>
      <x:c r="H1404" s="9" t="n">
        <x:v>0.02</x:v>
      </x:c>
      <x:c r="I1404" s="7" t="n">
        <x:v>294</x:v>
      </x:c>
    </x:row>
    <x:row r="1405" ht="23" customHeight="1">
      <x:c r="A1405" s="7" t="str">
        <x:v>INV01400</x:v>
      </x:c>
      <x:c r="B1405" s="15" t="d">
        <x:v>2026-02-24T00:00:00.000Z</x:v>
      </x:c>
      <x:c r="C1405" s="14" t="d">
        <x:v>2026-02-01T00:00:00.000Z</x:v>
      </x:c>
      <x:c r="D1405" s="34" t="str">
        <x:v>0001</x:v>
      </x:c>
      <x:c r="E1405" s="7" t="str">
        <x:v>North</x:v>
      </x:c>
      <x:c r="F1405" s="7" t="n">
        <x:v>4</x:v>
      </x:c>
      <x:c r="G1405" s="7" t="n">
        <x:v>160</x:v>
      </x:c>
      <x:c r="H1405" s="9" t="n">
        <x:v>0.05</x:v>
      </x:c>
      <x:c r="I1405" s="7" t="n">
        <x:v>608</x:v>
      </x:c>
    </x:row>
    <x:row r="1406" ht="23" customHeight="1">
      <x:c r="A1406" s="7" t="str">
        <x:v>INV01401</x:v>
      </x:c>
      <x:c r="B1406" s="15" t="d">
        <x:v>2026-02-25T00:00:00.000Z</x:v>
      </x:c>
      <x:c r="C1406" s="14" t="d">
        <x:v>2026-02-01T00:00:00.000Z</x:v>
      </x:c>
      <x:c r="D1406" s="34" t="str">
        <x:v>0002</x:v>
      </x:c>
      <x:c r="E1406" s="7" t="str">
        <x:v>North</x:v>
      </x:c>
      <x:c r="F1406" s="7" t="n">
        <x:v>1</x:v>
      </x:c>
      <x:c r="G1406" s="7" t="n">
        <x:v>180</x:v>
      </x:c>
      <x:c r="H1406" s="9" t="n">
        <x:v>0</x:v>
      </x:c>
      <x:c r="I1406" s="7" t="n">
        <x:v>180</x:v>
      </x:c>
    </x:row>
    <x:row r="1407" ht="23" customHeight="1">
      <x:c r="A1407" s="7" t="str">
        <x:v>INV01402</x:v>
      </x:c>
      <x:c r="B1407" s="15" t="d">
        <x:v>2026-02-26T00:00:00.000Z</x:v>
      </x:c>
      <x:c r="C1407" s="14" t="d">
        <x:v>2026-02-01T00:00:00.000Z</x:v>
      </x:c>
      <x:c r="D1407" s="34" t="str">
        <x:v>0003</x:v>
      </x:c>
      <x:c r="E1407" s="7" t="str">
        <x:v>North</x:v>
      </x:c>
      <x:c r="F1407" s="7" t="n">
        <x:v>7</x:v>
      </x:c>
      <x:c r="G1407" s="7" t="n">
        <x:v>200</x:v>
      </x:c>
      <x:c r="H1407" s="9" t="n">
        <x:v>0.02</x:v>
      </x:c>
      <x:c r="I1407" s="7" t="n">
        <x:v>1372</x:v>
      </x:c>
    </x:row>
    <x:row r="1408" ht="23" customHeight="1">
      <x:c r="A1408" s="7" t="str">
        <x:v>INV01403</x:v>
      </x:c>
      <x:c r="B1408" s="15" t="d">
        <x:v>2026-02-27T00:00:00.000Z</x:v>
      </x:c>
      <x:c r="C1408" s="14" t="d">
        <x:v>2026-02-01T00:00:00.000Z</x:v>
      </x:c>
      <x:c r="D1408" s="34" t="str">
        <x:v>0004</x:v>
      </x:c>
      <x:c r="E1408" s="7" t="str">
        <x:v>North</x:v>
      </x:c>
      <x:c r="F1408" s="7" t="n">
        <x:v>5</x:v>
      </x:c>
      <x:c r="G1408" s="7" t="n">
        <x:v>220</x:v>
      </x:c>
      <x:c r="H1408" s="9" t="n">
        <x:v>0.05</x:v>
      </x:c>
      <x:c r="I1408" s="7" t="n">
        <x:v>1045</x:v>
      </x:c>
    </x:row>
    <x:row r="1409" ht="23" customHeight="1">
      <x:c r="A1409" s="7" t="str">
        <x:v>INV01404</x:v>
      </x:c>
      <x:c r="B1409" s="15" t="d">
        <x:v>2026-02-01T00:00:00.000Z</x:v>
      </x:c>
      <x:c r="C1409" s="14" t="d">
        <x:v>2026-02-01T00:00:00.000Z</x:v>
      </x:c>
      <x:c r="D1409" s="34" t="str">
        <x:v>0005</x:v>
      </x:c>
      <x:c r="E1409" s="7" t="str">
        <x:v>North</x:v>
      </x:c>
      <x:c r="F1409" s="7" t="n">
        <x:v>4</x:v>
      </x:c>
      <x:c r="G1409" s="7" t="n">
        <x:v>240</x:v>
      </x:c>
      <x:c r="H1409" s="9" t="n">
        <x:v>0</x:v>
      </x:c>
      <x:c r="I1409" s="7" t="n">
        <x:v>960</x:v>
      </x:c>
    </x:row>
    <x:row r="1410" ht="23" customHeight="1">
      <x:c r="A1410" s="7" t="str">
        <x:v>INV01405</x:v>
      </x:c>
      <x:c r="B1410" s="15" t="d">
        <x:v>2026-02-02T00:00:00.000Z</x:v>
      </x:c>
      <x:c r="C1410" s="14" t="d">
        <x:v>2026-02-01T00:00:00.000Z</x:v>
      </x:c>
      <x:c r="D1410" s="34" t="str">
        <x:v>0006</x:v>
      </x:c>
      <x:c r="E1410" s="7" t="str">
        <x:v>North</x:v>
      </x:c>
      <x:c r="F1410" s="7" t="n">
        <x:v>1</x:v>
      </x:c>
      <x:c r="G1410" s="7" t="n">
        <x:v>260</x:v>
      </x:c>
      <x:c r="H1410" s="9" t="n">
        <x:v>0.02</x:v>
      </x:c>
      <x:c r="I1410" s="7" t="n">
        <x:v>254.8</x:v>
      </x:c>
    </x:row>
    <x:row r="1411" ht="23" customHeight="1">
      <x:c r="A1411" s="7" t="str">
        <x:v>INV01406</x:v>
      </x:c>
      <x:c r="B1411" s="15" t="d">
        <x:v>2026-02-03T00:00:00.000Z</x:v>
      </x:c>
      <x:c r="C1411" s="14" t="d">
        <x:v>2026-02-01T00:00:00.000Z</x:v>
      </x:c>
      <x:c r="D1411" s="34" t="str">
        <x:v>0007</x:v>
      </x:c>
      <x:c r="E1411" s="7" t="str">
        <x:v>North</x:v>
      </x:c>
      <x:c r="F1411" s="7" t="n">
        <x:v>3</x:v>
      </x:c>
      <x:c r="G1411" s="7" t="n">
        <x:v>280</x:v>
      </x:c>
      <x:c r="H1411" s="9" t="n">
        <x:v>0.05</x:v>
      </x:c>
      <x:c r="I1411" s="7" t="n">
        <x:v>798</x:v>
      </x:c>
    </x:row>
    <x:row r="1412" ht="23" customHeight="1">
      <x:c r="A1412" s="7" t="str">
        <x:v>INV01407</x:v>
      </x:c>
      <x:c r="B1412" s="15" t="d">
        <x:v>2026-02-04T00:00:00.000Z</x:v>
      </x:c>
      <x:c r="C1412" s="14" t="d">
        <x:v>2026-02-01T00:00:00.000Z</x:v>
      </x:c>
      <x:c r="D1412" s="34" t="str">
        <x:v>0008</x:v>
      </x:c>
      <x:c r="E1412" s="7" t="str">
        <x:v>North</x:v>
      </x:c>
      <x:c r="F1412" s="7" t="n">
        <x:v>4</x:v>
      </x:c>
      <x:c r="G1412" s="7" t="n">
        <x:v>300</x:v>
      </x:c>
      <x:c r="H1412" s="9" t="n">
        <x:v>0</x:v>
      </x:c>
      <x:c r="I1412" s="7" t="n">
        <x:v>1200</x:v>
      </x:c>
    </x:row>
    <x:row r="1413" ht="23" customHeight="1">
      <x:c r="A1413" s="7" t="str">
        <x:v>INV01408</x:v>
      </x:c>
      <x:c r="B1413" s="15" t="d">
        <x:v>2026-03-05T00:00:00.000Z</x:v>
      </x:c>
      <x:c r="C1413" s="14" t="d">
        <x:v>2026-03-01T00:00:00.000Z</x:v>
      </x:c>
      <x:c r="D1413" s="34" t="str">
        <x:v>0001</x:v>
      </x:c>
      <x:c r="E1413" s="7" t="str">
        <x:v>Central</x:v>
      </x:c>
      <x:c r="F1413" s="7" t="n">
        <x:v>5</x:v>
      </x:c>
      <x:c r="G1413" s="7" t="n">
        <x:v>160</x:v>
      </x:c>
      <x:c r="H1413" s="9" t="n">
        <x:v>0.02</x:v>
      </x:c>
      <x:c r="I1413" s="7" t="n">
        <x:v>784</x:v>
      </x:c>
    </x:row>
    <x:row r="1414" ht="23" customHeight="1">
      <x:c r="A1414" s="7" t="str">
        <x:v>INV01409</x:v>
      </x:c>
      <x:c r="B1414" s="15" t="d">
        <x:v>2026-03-06T00:00:00.000Z</x:v>
      </x:c>
      <x:c r="C1414" s="14" t="d">
        <x:v>2026-03-01T00:00:00.000Z</x:v>
      </x:c>
      <x:c r="D1414" s="34" t="str">
        <x:v>0002</x:v>
      </x:c>
      <x:c r="E1414" s="7" t="str">
        <x:v>Central</x:v>
      </x:c>
      <x:c r="F1414" s="7" t="n">
        <x:v>2</x:v>
      </x:c>
      <x:c r="G1414" s="7" t="n">
        <x:v>180</x:v>
      </x:c>
      <x:c r="H1414" s="9" t="n">
        <x:v>0.05</x:v>
      </x:c>
      <x:c r="I1414" s="7" t="n">
        <x:v>342</x:v>
      </x:c>
    </x:row>
    <x:row r="1415" ht="23" customHeight="1">
      <x:c r="A1415" s="7" t="str">
        <x:v>INV01410</x:v>
      </x:c>
      <x:c r="B1415" s="15" t="d">
        <x:v>2026-03-07T00:00:00.000Z</x:v>
      </x:c>
      <x:c r="C1415" s="14" t="d">
        <x:v>2026-03-01T00:00:00.000Z</x:v>
      </x:c>
      <x:c r="D1415" s="34" t="str">
        <x:v>0003</x:v>
      </x:c>
      <x:c r="E1415" s="7" t="str">
        <x:v>Central</x:v>
      </x:c>
      <x:c r="F1415" s="7" t="n">
        <x:v>7</x:v>
      </x:c>
      <x:c r="G1415" s="7" t="n">
        <x:v>200</x:v>
      </x:c>
      <x:c r="H1415" s="9" t="n">
        <x:v>0</x:v>
      </x:c>
      <x:c r="I1415" s="7" t="n">
        <x:v>1400</x:v>
      </x:c>
    </x:row>
    <x:row r="1416" ht="23" customHeight="1">
      <x:c r="A1416" s="7" t="str">
        <x:v>INV01411</x:v>
      </x:c>
      <x:c r="B1416" s="15" t="d">
        <x:v>2026-03-08T00:00:00.000Z</x:v>
      </x:c>
      <x:c r="C1416" s="14" t="d">
        <x:v>2026-03-01T00:00:00.000Z</x:v>
      </x:c>
      <x:c r="D1416" s="34" t="str">
        <x:v>0004</x:v>
      </x:c>
      <x:c r="E1416" s="7" t="str">
        <x:v>Central</x:v>
      </x:c>
      <x:c r="F1416" s="7" t="n">
        <x:v>6</x:v>
      </x:c>
      <x:c r="G1416" s="7" t="n">
        <x:v>220</x:v>
      </x:c>
      <x:c r="H1416" s="9" t="n">
        <x:v>0.02</x:v>
      </x:c>
      <x:c r="I1416" s="7" t="n">
        <x:v>1293.6</x:v>
      </x:c>
    </x:row>
    <x:row r="1417" ht="23" customHeight="1">
      <x:c r="A1417" s="7" t="str">
        <x:v>INV01412</x:v>
      </x:c>
      <x:c r="B1417" s="15" t="d">
        <x:v>2026-03-09T00:00:00.000Z</x:v>
      </x:c>
      <x:c r="C1417" s="14" t="d">
        <x:v>2026-03-01T00:00:00.000Z</x:v>
      </x:c>
      <x:c r="D1417" s="34" t="str">
        <x:v>0005</x:v>
      </x:c>
      <x:c r="E1417" s="7" t="str">
        <x:v>Central</x:v>
      </x:c>
      <x:c r="F1417" s="7" t="n">
        <x:v>5</x:v>
      </x:c>
      <x:c r="G1417" s="7" t="n">
        <x:v>240</x:v>
      </x:c>
      <x:c r="H1417" s="9" t="n">
        <x:v>0.05</x:v>
      </x:c>
      <x:c r="I1417" s="7" t="n">
        <x:v>1140</x:v>
      </x:c>
    </x:row>
    <x:row r="1418" ht="23" customHeight="1">
      <x:c r="A1418" s="7" t="str">
        <x:v>INV01413</x:v>
      </x:c>
      <x:c r="B1418" s="15" t="d">
        <x:v>2026-03-10T00:00:00.000Z</x:v>
      </x:c>
      <x:c r="C1418" s="14" t="d">
        <x:v>2026-03-01T00:00:00.000Z</x:v>
      </x:c>
      <x:c r="D1418" s="34" t="str">
        <x:v>0006</x:v>
      </x:c>
      <x:c r="E1418" s="7" t="str">
        <x:v>Central</x:v>
      </x:c>
      <x:c r="F1418" s="7" t="n">
        <x:v>4</x:v>
      </x:c>
      <x:c r="G1418" s="7" t="n">
        <x:v>260</x:v>
      </x:c>
      <x:c r="H1418" s="9" t="n">
        <x:v>0</x:v>
      </x:c>
      <x:c r="I1418" s="7" t="n">
        <x:v>1040</x:v>
      </x:c>
    </x:row>
    <x:row r="1419" ht="23" customHeight="1">
      <x:c r="A1419" s="7" t="str">
        <x:v>INV01414</x:v>
      </x:c>
      <x:c r="B1419" s="15" t="d">
        <x:v>2026-03-11T00:00:00.000Z</x:v>
      </x:c>
      <x:c r="C1419" s="14" t="d">
        <x:v>2026-03-01T00:00:00.000Z</x:v>
      </x:c>
      <x:c r="D1419" s="34" t="str">
        <x:v>0007</x:v>
      </x:c>
      <x:c r="E1419" s="7" t="str">
        <x:v>Central</x:v>
      </x:c>
      <x:c r="F1419" s="7" t="n">
        <x:v>1</x:v>
      </x:c>
      <x:c r="G1419" s="7" t="n">
        <x:v>280</x:v>
      </x:c>
      <x:c r="H1419" s="9" t="n">
        <x:v>0.02</x:v>
      </x:c>
      <x:c r="I1419" s="7" t="n">
        <x:v>274.4</x:v>
      </x:c>
    </x:row>
    <x:row r="1420" ht="23" customHeight="1">
      <x:c r="A1420" s="7" t="str">
        <x:v>INV01415</x:v>
      </x:c>
      <x:c r="B1420" s="15" t="d">
        <x:v>2026-03-12T00:00:00.000Z</x:v>
      </x:c>
      <x:c r="C1420" s="14" t="d">
        <x:v>2026-03-01T00:00:00.000Z</x:v>
      </x:c>
      <x:c r="D1420" s="34" t="str">
        <x:v>0008</x:v>
      </x:c>
      <x:c r="E1420" s="7" t="str">
        <x:v>Central</x:v>
      </x:c>
      <x:c r="F1420" s="7" t="n">
        <x:v>6</x:v>
      </x:c>
      <x:c r="G1420" s="7" t="n">
        <x:v>300</x:v>
      </x:c>
      <x:c r="H1420" s="9" t="n">
        <x:v>0.05</x:v>
      </x:c>
      <x:c r="I1420" s="7" t="n">
        <x:v>1710</x:v>
      </x:c>
    </x:row>
    <x:row r="1421" ht="23" customHeight="1">
      <x:c r="A1421" s="7" t="str">
        <x:v>INV01416</x:v>
      </x:c>
      <x:c r="B1421" s="15" t="d">
        <x:v>2026-03-13T00:00:00.000Z</x:v>
      </x:c>
      <x:c r="C1421" s="14" t="d">
        <x:v>2026-03-01T00:00:00.000Z</x:v>
      </x:c>
      <x:c r="D1421" s="34" t="str">
        <x:v>0001</x:v>
      </x:c>
      <x:c r="E1421" s="7" t="str">
        <x:v>East</x:v>
      </x:c>
      <x:c r="F1421" s="7" t="n">
        <x:v>2</x:v>
      </x:c>
      <x:c r="G1421" s="7" t="n">
        <x:v>160</x:v>
      </x:c>
      <x:c r="H1421" s="9" t="n">
        <x:v>0</x:v>
      </x:c>
      <x:c r="I1421" s="7" t="n">
        <x:v>320</x:v>
      </x:c>
    </x:row>
    <x:row r="1422" ht="23" customHeight="1">
      <x:c r="A1422" s="7" t="str">
        <x:v>INV01417</x:v>
      </x:c>
      <x:c r="B1422" s="15" t="d">
        <x:v>2026-03-14T00:00:00.000Z</x:v>
      </x:c>
      <x:c r="C1422" s="14" t="d">
        <x:v>2026-03-01T00:00:00.000Z</x:v>
      </x:c>
      <x:c r="D1422" s="34" t="str">
        <x:v>0002</x:v>
      </x:c>
      <x:c r="E1422" s="7" t="str">
        <x:v>East</x:v>
      </x:c>
      <x:c r="F1422" s="7" t="n">
        <x:v>7</x:v>
      </x:c>
      <x:c r="G1422" s="7" t="n">
        <x:v>180</x:v>
      </x:c>
      <x:c r="H1422" s="9" t="n">
        <x:v>0.02</x:v>
      </x:c>
      <x:c r="I1422" s="7" t="n">
        <x:v>1234.8</x:v>
      </x:c>
    </x:row>
    <x:row r="1423" ht="23" customHeight="1">
      <x:c r="A1423" s="7" t="str">
        <x:v>INV01418</x:v>
      </x:c>
      <x:c r="B1423" s="15" t="d">
        <x:v>2026-03-15T00:00:00.000Z</x:v>
      </x:c>
      <x:c r="C1423" s="14" t="d">
        <x:v>2026-03-01T00:00:00.000Z</x:v>
      </x:c>
      <x:c r="D1423" s="34" t="str">
        <x:v>0003</x:v>
      </x:c>
      <x:c r="E1423" s="7" t="str">
        <x:v>East</x:v>
      </x:c>
      <x:c r="F1423" s="7" t="n">
        <x:v>7</x:v>
      </x:c>
      <x:c r="G1423" s="7" t="n">
        <x:v>200</x:v>
      </x:c>
      <x:c r="H1423" s="9" t="n">
        <x:v>0.05</x:v>
      </x:c>
      <x:c r="I1423" s="7" t="n">
        <x:v>1330</x:v>
      </x:c>
    </x:row>
    <x:row r="1424" ht="23" customHeight="1">
      <x:c r="A1424" s="7" t="str">
        <x:v>INV01419</x:v>
      </x:c>
      <x:c r="B1424" s="15" t="d">
        <x:v>2026-03-16T00:00:00.000Z</x:v>
      </x:c>
      <x:c r="C1424" s="14" t="d">
        <x:v>2026-03-01T00:00:00.000Z</x:v>
      </x:c>
      <x:c r="D1424" s="34" t="str">
        <x:v>0004</x:v>
      </x:c>
      <x:c r="E1424" s="7" t="str">
        <x:v>East</x:v>
      </x:c>
      <x:c r="F1424" s="7" t="n">
        <x:v>7</x:v>
      </x:c>
      <x:c r="G1424" s="7" t="n">
        <x:v>220</x:v>
      </x:c>
      <x:c r="H1424" s="9" t="n">
        <x:v>0</x:v>
      </x:c>
      <x:c r="I1424" s="7" t="n">
        <x:v>1540</x:v>
      </x:c>
    </x:row>
    <x:row r="1425" ht="23" customHeight="1">
      <x:c r="A1425" s="7" t="str">
        <x:v>INV01420</x:v>
      </x:c>
      <x:c r="B1425" s="15" t="d">
        <x:v>2026-03-17T00:00:00.000Z</x:v>
      </x:c>
      <x:c r="C1425" s="14" t="d">
        <x:v>2026-03-01T00:00:00.000Z</x:v>
      </x:c>
      <x:c r="D1425" s="34" t="str">
        <x:v>0005</x:v>
      </x:c>
      <x:c r="E1425" s="7" t="str">
        <x:v>East</x:v>
      </x:c>
      <x:c r="F1425" s="7" t="n">
        <x:v>5</x:v>
      </x:c>
      <x:c r="G1425" s="7" t="n">
        <x:v>240</x:v>
      </x:c>
      <x:c r="H1425" s="9" t="n">
        <x:v>0.02</x:v>
      </x:c>
      <x:c r="I1425" s="7" t="n">
        <x:v>1176</x:v>
      </x:c>
    </x:row>
    <x:row r="1426" ht="23" customHeight="1">
      <x:c r="A1426" s="7" t="str">
        <x:v>INV01421</x:v>
      </x:c>
      <x:c r="B1426" s="15" t="d">
        <x:v>2026-03-18T00:00:00.000Z</x:v>
      </x:c>
      <x:c r="C1426" s="14" t="d">
        <x:v>2026-03-01T00:00:00.000Z</x:v>
      </x:c>
      <x:c r="D1426" s="34" t="str">
        <x:v>0006</x:v>
      </x:c>
      <x:c r="E1426" s="7" t="str">
        <x:v>East</x:v>
      </x:c>
      <x:c r="F1426" s="7" t="n">
        <x:v>3</x:v>
      </x:c>
      <x:c r="G1426" s="7" t="n">
        <x:v>260</x:v>
      </x:c>
      <x:c r="H1426" s="9" t="n">
        <x:v>0.05</x:v>
      </x:c>
      <x:c r="I1426" s="7" t="n">
        <x:v>741</x:v>
      </x:c>
    </x:row>
    <x:row r="1427" ht="23" customHeight="1">
      <x:c r="A1427" s="7" t="str">
        <x:v>INV01422</x:v>
      </x:c>
      <x:c r="B1427" s="15" t="d">
        <x:v>2026-03-19T00:00:00.000Z</x:v>
      </x:c>
      <x:c r="C1427" s="14" t="d">
        <x:v>2026-03-01T00:00:00.000Z</x:v>
      </x:c>
      <x:c r="D1427" s="34" t="str">
        <x:v>0007</x:v>
      </x:c>
      <x:c r="E1427" s="7" t="str">
        <x:v>East</x:v>
      </x:c>
      <x:c r="F1427" s="7" t="n">
        <x:v>5</x:v>
      </x:c>
      <x:c r="G1427" s="7" t="n">
        <x:v>280</x:v>
      </x:c>
      <x:c r="H1427" s="9" t="n">
        <x:v>0</x:v>
      </x:c>
      <x:c r="I1427" s="7" t="n">
        <x:v>1400</x:v>
      </x:c>
    </x:row>
    <x:row r="1428" ht="23" customHeight="1">
      <x:c r="A1428" s="7" t="str">
        <x:v>INV01423</x:v>
      </x:c>
      <x:c r="B1428" s="15" t="d">
        <x:v>2026-03-20T00:00:00.000Z</x:v>
      </x:c>
      <x:c r="C1428" s="14" t="d">
        <x:v>2026-03-01T00:00:00.000Z</x:v>
      </x:c>
      <x:c r="D1428" s="34" t="str">
        <x:v>0008</x:v>
      </x:c>
      <x:c r="E1428" s="7" t="str">
        <x:v>East</x:v>
      </x:c>
      <x:c r="F1428" s="7" t="n">
        <x:v>4</x:v>
      </x:c>
      <x:c r="G1428" s="7" t="n">
        <x:v>300</x:v>
      </x:c>
      <x:c r="H1428" s="9" t="n">
        <x:v>0.02</x:v>
      </x:c>
      <x:c r="I1428" s="7" t="n">
        <x:v>1176</x:v>
      </x:c>
    </x:row>
    <x:row r="1429" ht="23" customHeight="1">
      <x:c r="A1429" s="7" t="str">
        <x:v>INV01424</x:v>
      </x:c>
      <x:c r="B1429" s="15" t="d">
        <x:v>2026-03-21T00:00:00.000Z</x:v>
      </x:c>
      <x:c r="C1429" s="14" t="d">
        <x:v>2026-03-01T00:00:00.000Z</x:v>
      </x:c>
      <x:c r="D1429" s="34" t="str">
        <x:v>0001</x:v>
      </x:c>
      <x:c r="E1429" s="7" t="str">
        <x:v>West</x:v>
      </x:c>
      <x:c r="F1429" s="7" t="n">
        <x:v>3</x:v>
      </x:c>
      <x:c r="G1429" s="7" t="n">
        <x:v>160</x:v>
      </x:c>
      <x:c r="H1429" s="9" t="n">
        <x:v>0.05</x:v>
      </x:c>
      <x:c r="I1429" s="7" t="n">
        <x:v>456</x:v>
      </x:c>
    </x:row>
    <x:row r="1430" ht="23" customHeight="1">
      <x:c r="A1430" s="7" t="str">
        <x:v>INV01425</x:v>
      </x:c>
      <x:c r="B1430" s="15" t="d">
        <x:v>2026-03-22T00:00:00.000Z</x:v>
      </x:c>
      <x:c r="C1430" s="14" t="d">
        <x:v>2026-03-01T00:00:00.000Z</x:v>
      </x:c>
      <x:c r="D1430" s="34" t="str">
        <x:v>0002</x:v>
      </x:c>
      <x:c r="E1430" s="7" t="str">
        <x:v>West</x:v>
      </x:c>
      <x:c r="F1430" s="7" t="n">
        <x:v>4</x:v>
      </x:c>
      <x:c r="G1430" s="7" t="n">
        <x:v>180</x:v>
      </x:c>
      <x:c r="H1430" s="9" t="n">
        <x:v>0</x:v>
      </x:c>
      <x:c r="I1430" s="7" t="n">
        <x:v>720</x:v>
      </x:c>
    </x:row>
    <x:row r="1431" ht="23" customHeight="1">
      <x:c r="A1431" s="7" t="str">
        <x:v>INV01426</x:v>
      </x:c>
      <x:c r="B1431" s="15" t="d">
        <x:v>2026-03-23T00:00:00.000Z</x:v>
      </x:c>
      <x:c r="C1431" s="14" t="d">
        <x:v>2026-03-01T00:00:00.000Z</x:v>
      </x:c>
      <x:c r="D1431" s="34" t="str">
        <x:v>0003</x:v>
      </x:c>
      <x:c r="E1431" s="7" t="str">
        <x:v>West</x:v>
      </x:c>
      <x:c r="F1431" s="7" t="n">
        <x:v>2</x:v>
      </x:c>
      <x:c r="G1431" s="7" t="n">
        <x:v>200</x:v>
      </x:c>
      <x:c r="H1431" s="9" t="n">
        <x:v>0.02</x:v>
      </x:c>
      <x:c r="I1431" s="7" t="n">
        <x:v>392</x:v>
      </x:c>
    </x:row>
    <x:row r="1432" ht="23" customHeight="1">
      <x:c r="A1432" s="7" t="str">
        <x:v>INV01427</x:v>
      </x:c>
      <x:c r="B1432" s="15" t="d">
        <x:v>2026-03-24T00:00:00.000Z</x:v>
      </x:c>
      <x:c r="C1432" s="14" t="d">
        <x:v>2026-03-01T00:00:00.000Z</x:v>
      </x:c>
      <x:c r="D1432" s="34" t="str">
        <x:v>0004</x:v>
      </x:c>
      <x:c r="E1432" s="7" t="str">
        <x:v>West</x:v>
      </x:c>
      <x:c r="F1432" s="7" t="n">
        <x:v>1</x:v>
      </x:c>
      <x:c r="G1432" s="7" t="n">
        <x:v>220</x:v>
      </x:c>
      <x:c r="H1432" s="9" t="n">
        <x:v>0.05</x:v>
      </x:c>
      <x:c r="I1432" s="7" t="n">
        <x:v>209</x:v>
      </x:c>
    </x:row>
    <x:row r="1433" ht="23" customHeight="1">
      <x:c r="A1433" s="7" t="str">
        <x:v>INV01428</x:v>
      </x:c>
      <x:c r="B1433" s="15" t="d">
        <x:v>2026-03-25T00:00:00.000Z</x:v>
      </x:c>
      <x:c r="C1433" s="14" t="d">
        <x:v>2026-03-01T00:00:00.000Z</x:v>
      </x:c>
      <x:c r="D1433" s="34" t="str">
        <x:v>0005</x:v>
      </x:c>
      <x:c r="E1433" s="7" t="str">
        <x:v>West</x:v>
      </x:c>
      <x:c r="F1433" s="7" t="n">
        <x:v>1</x:v>
      </x:c>
      <x:c r="G1433" s="7" t="n">
        <x:v>240</x:v>
      </x:c>
      <x:c r="H1433" s="9" t="n">
        <x:v>0</x:v>
      </x:c>
      <x:c r="I1433" s="7" t="n">
        <x:v>240</x:v>
      </x:c>
    </x:row>
    <x:row r="1434" ht="23" customHeight="1">
      <x:c r="A1434" s="7" t="str">
        <x:v>INV01429</x:v>
      </x:c>
      <x:c r="B1434" s="15" t="d">
        <x:v>2026-03-26T00:00:00.000Z</x:v>
      </x:c>
      <x:c r="C1434" s="14" t="d">
        <x:v>2026-03-01T00:00:00.000Z</x:v>
      </x:c>
      <x:c r="D1434" s="34" t="str">
        <x:v>0006</x:v>
      </x:c>
      <x:c r="E1434" s="7" t="str">
        <x:v>West</x:v>
      </x:c>
      <x:c r="F1434" s="7" t="n">
        <x:v>4</x:v>
      </x:c>
      <x:c r="G1434" s="7" t="n">
        <x:v>260</x:v>
      </x:c>
      <x:c r="H1434" s="9" t="n">
        <x:v>0.02</x:v>
      </x:c>
      <x:c r="I1434" s="7" t="n">
        <x:v>1019.2</x:v>
      </x:c>
    </x:row>
    <x:row r="1435" ht="23" customHeight="1">
      <x:c r="A1435" s="7" t="str">
        <x:v>INV01430</x:v>
      </x:c>
      <x:c r="B1435" s="15" t="d">
        <x:v>2026-03-27T00:00:00.000Z</x:v>
      </x:c>
      <x:c r="C1435" s="14" t="d">
        <x:v>2026-03-01T00:00:00.000Z</x:v>
      </x:c>
      <x:c r="D1435" s="34" t="str">
        <x:v>0007</x:v>
      </x:c>
      <x:c r="E1435" s="7" t="str">
        <x:v>West</x:v>
      </x:c>
      <x:c r="F1435" s="7" t="n">
        <x:v>2</x:v>
      </x:c>
      <x:c r="G1435" s="7" t="n">
        <x:v>280</x:v>
      </x:c>
      <x:c r="H1435" s="9" t="n">
        <x:v>0.05</x:v>
      </x:c>
      <x:c r="I1435" s="7" t="n">
        <x:v>532</x:v>
      </x:c>
    </x:row>
    <x:row r="1436" ht="23" customHeight="1">
      <x:c r="A1436" s="7" t="str">
        <x:v>INV01431</x:v>
      </x:c>
      <x:c r="B1436" s="15" t="d">
        <x:v>2026-03-01T00:00:00.000Z</x:v>
      </x:c>
      <x:c r="C1436" s="14" t="d">
        <x:v>2026-03-01T00:00:00.000Z</x:v>
      </x:c>
      <x:c r="D1436" s="34" t="str">
        <x:v>0008</x:v>
      </x:c>
      <x:c r="E1436" s="7" t="str">
        <x:v>West</x:v>
      </x:c>
      <x:c r="F1436" s="7" t="n">
        <x:v>4</x:v>
      </x:c>
      <x:c r="G1436" s="7" t="n">
        <x:v>300</x:v>
      </x:c>
      <x:c r="H1436" s="9" t="n">
        <x:v>0</x:v>
      </x:c>
      <x:c r="I1436" s="7" t="n">
        <x:v>1200</x:v>
      </x:c>
    </x:row>
    <x:row r="1437" ht="23" customHeight="1">
      <x:c r="A1437" s="7" t="str">
        <x:v>INV01432</x:v>
      </x:c>
      <x:c r="B1437" s="15" t="d">
        <x:v>2026-03-02T00:00:00.000Z</x:v>
      </x:c>
      <x:c r="C1437" s="14" t="d">
        <x:v>2026-03-01T00:00:00.000Z</x:v>
      </x:c>
      <x:c r="D1437" s="34" t="str">
        <x:v>0001</x:v>
      </x:c>
      <x:c r="E1437" s="7" t="str">
        <x:v>North</x:v>
      </x:c>
      <x:c r="F1437" s="7" t="n">
        <x:v>7</x:v>
      </x:c>
      <x:c r="G1437" s="7" t="n">
        <x:v>160</x:v>
      </x:c>
      <x:c r="H1437" s="9" t="n">
        <x:v>0.02</x:v>
      </x:c>
      <x:c r="I1437" s="7" t="n">
        <x:v>1097.6</x:v>
      </x:c>
    </x:row>
    <x:row r="1438" ht="23" customHeight="1">
      <x:c r="A1438" s="7" t="str">
        <x:v>INV01433</x:v>
      </x:c>
      <x:c r="B1438" s="15" t="d">
        <x:v>2026-03-03T00:00:00.000Z</x:v>
      </x:c>
      <x:c r="C1438" s="14" t="d">
        <x:v>2026-03-01T00:00:00.000Z</x:v>
      </x:c>
      <x:c r="D1438" s="34" t="str">
        <x:v>0002</x:v>
      </x:c>
      <x:c r="E1438" s="7" t="str">
        <x:v>North</x:v>
      </x:c>
      <x:c r="F1438" s="7" t="n">
        <x:v>3</x:v>
      </x:c>
      <x:c r="G1438" s="7" t="n">
        <x:v>180</x:v>
      </x:c>
      <x:c r="H1438" s="9" t="n">
        <x:v>0.05</x:v>
      </x:c>
      <x:c r="I1438" s="7" t="n">
        <x:v>513</x:v>
      </x:c>
    </x:row>
    <x:row r="1439" ht="23" customHeight="1">
      <x:c r="A1439" s="7" t="str">
        <x:v>INV01434</x:v>
      </x:c>
      <x:c r="B1439" s="15" t="d">
        <x:v>2026-03-04T00:00:00.000Z</x:v>
      </x:c>
      <x:c r="C1439" s="14" t="d">
        <x:v>2026-03-01T00:00:00.000Z</x:v>
      </x:c>
      <x:c r="D1439" s="34" t="str">
        <x:v>0003</x:v>
      </x:c>
      <x:c r="E1439" s="7" t="str">
        <x:v>North</x:v>
      </x:c>
      <x:c r="F1439" s="7" t="n">
        <x:v>5</x:v>
      </x:c>
      <x:c r="G1439" s="7" t="n">
        <x:v>200</x:v>
      </x:c>
      <x:c r="H1439" s="9" t="n">
        <x:v>0</x:v>
      </x:c>
      <x:c r="I1439" s="7" t="n">
        <x:v>1000</x:v>
      </x:c>
    </x:row>
    <x:row r="1440" ht="23" customHeight="1">
      <x:c r="A1440" s="7" t="str">
        <x:v>INV01435</x:v>
      </x:c>
      <x:c r="B1440" s="15" t="d">
        <x:v>2026-03-05T00:00:00.000Z</x:v>
      </x:c>
      <x:c r="C1440" s="14" t="d">
        <x:v>2026-03-01T00:00:00.000Z</x:v>
      </x:c>
      <x:c r="D1440" s="34" t="str">
        <x:v>0004</x:v>
      </x:c>
      <x:c r="E1440" s="7" t="str">
        <x:v>North</x:v>
      </x:c>
      <x:c r="F1440" s="7" t="n">
        <x:v>-7</x:v>
      </x:c>
      <x:c r="G1440" s="7" t="n">
        <x:v>220</x:v>
      </x:c>
      <x:c r="H1440" s="9" t="n">
        <x:v>0.02</x:v>
      </x:c>
      <x:c r="I1440" s="7" t="n">
        <x:v>-1509.2</x:v>
      </x:c>
    </x:row>
    <x:row r="1441" ht="23" customHeight="1">
      <x:c r="A1441" s="7" t="str">
        <x:v>INV01436</x:v>
      </x:c>
      <x:c r="B1441" s="15" t="d">
        <x:v>2026-03-06T00:00:00.000Z</x:v>
      </x:c>
      <x:c r="C1441" s="14" t="d">
        <x:v>2026-03-01T00:00:00.000Z</x:v>
      </x:c>
      <x:c r="D1441" s="34" t="str">
        <x:v>0005</x:v>
      </x:c>
      <x:c r="E1441" s="7" t="str">
        <x:v>North</x:v>
      </x:c>
      <x:c r="F1441" s="7" t="n">
        <x:v>1</x:v>
      </x:c>
      <x:c r="G1441" s="7" t="n">
        <x:v>240</x:v>
      </x:c>
      <x:c r="H1441" s="9" t="n">
        <x:v>0.05</x:v>
      </x:c>
      <x:c r="I1441" s="7" t="n">
        <x:v>228</x:v>
      </x:c>
    </x:row>
    <x:row r="1442" ht="23" customHeight="1">
      <x:c r="A1442" s="7" t="str">
        <x:v>INV01437</x:v>
      </x:c>
      <x:c r="B1442" s="15" t="d">
        <x:v>2026-03-07T00:00:00.000Z</x:v>
      </x:c>
      <x:c r="C1442" s="14" t="d">
        <x:v>2026-03-01T00:00:00.000Z</x:v>
      </x:c>
      <x:c r="D1442" s="34" t="str">
        <x:v>0006</x:v>
      </x:c>
      <x:c r="E1442" s="7" t="str">
        <x:v>North</x:v>
      </x:c>
      <x:c r="F1442" s="7" t="n">
        <x:v>5</x:v>
      </x:c>
      <x:c r="G1442" s="7" t="n">
        <x:v>260</x:v>
      </x:c>
      <x:c r="H1442" s="9" t="n">
        <x:v>0</x:v>
      </x:c>
      <x:c r="I1442" s="7" t="n">
        <x:v>1300</x:v>
      </x:c>
    </x:row>
    <x:row r="1443" ht="23" customHeight="1">
      <x:c r="A1443" s="7" t="str">
        <x:v>INV01438</x:v>
      </x:c>
      <x:c r="B1443" s="15" t="d">
        <x:v>2026-03-08T00:00:00.000Z</x:v>
      </x:c>
      <x:c r="C1443" s="14" t="d">
        <x:v>2026-03-01T00:00:00.000Z</x:v>
      </x:c>
      <x:c r="D1443" s="34" t="str">
        <x:v>0007</x:v>
      </x:c>
      <x:c r="E1443" s="7" t="str">
        <x:v>North</x:v>
      </x:c>
      <x:c r="F1443" s="7" t="n">
        <x:v>3</x:v>
      </x:c>
      <x:c r="G1443" s="7" t="n">
        <x:v>280</x:v>
      </x:c>
      <x:c r="H1443" s="9" t="n">
        <x:v>0.02</x:v>
      </x:c>
      <x:c r="I1443" s="7" t="n">
        <x:v>823.2</x:v>
      </x:c>
    </x:row>
    <x:row r="1444" ht="23" customHeight="1">
      <x:c r="A1444" s="7" t="str">
        <x:v>INV01439</x:v>
      </x:c>
      <x:c r="B1444" s="15" t="d">
        <x:v>2026-03-09T00:00:00.000Z</x:v>
      </x:c>
      <x:c r="C1444" s="14" t="d">
        <x:v>2026-03-01T00:00:00.000Z</x:v>
      </x:c>
      <x:c r="D1444" s="34" t="str">
        <x:v>0008</x:v>
      </x:c>
      <x:c r="E1444" s="7" t="str">
        <x:v>North</x:v>
      </x:c>
      <x:c r="F1444" s="7" t="n">
        <x:v>7</x:v>
      </x:c>
      <x:c r="G1444" s="7" t="n">
        <x:v>300</x:v>
      </x:c>
      <x:c r="H1444" s="9" t="n">
        <x:v>0.05</x:v>
      </x:c>
      <x:c r="I1444" s="7" t="n">
        <x:v>1995</x:v>
      </x:c>
    </x:row>
    <x:row r="1445" ht="23" customHeight="1">
      <x:c r="A1445" s="7" t="str">
        <x:v>INV01440</x:v>
      </x:c>
      <x:c r="B1445" s="15" t="d">
        <x:v>2026-04-10T00:00:00.000Z</x:v>
      </x:c>
      <x:c r="C1445" s="14" t="d">
        <x:v>2026-04-01T00:00:00.000Z</x:v>
      </x:c>
      <x:c r="D1445" s="34" t="str">
        <x:v>0001</x:v>
      </x:c>
      <x:c r="E1445" s="7" t="str">
        <x:v>Central</x:v>
      </x:c>
      <x:c r="F1445" s="7" t="n">
        <x:v>4</x:v>
      </x:c>
      <x:c r="G1445" s="7" t="n">
        <x:v>160</x:v>
      </x:c>
      <x:c r="H1445" s="9" t="n">
        <x:v>0</x:v>
      </x:c>
      <x:c r="I1445" s="7" t="n">
        <x:v>640</x:v>
      </x:c>
    </x:row>
    <x:row r="1446" ht="23" customHeight="1">
      <x:c r="A1446" s="7" t="str">
        <x:v>INV01441</x:v>
      </x:c>
      <x:c r="B1446" s="15" t="d">
        <x:v>2026-04-11T00:00:00.000Z</x:v>
      </x:c>
      <x:c r="C1446" s="14" t="d">
        <x:v>2026-04-01T00:00:00.000Z</x:v>
      </x:c>
      <x:c r="D1446" s="34" t="str">
        <x:v>0002</x:v>
      </x:c>
      <x:c r="E1446" s="7" t="str">
        <x:v>Central</x:v>
      </x:c>
      <x:c r="F1446" s="7" t="n">
        <x:v>1</x:v>
      </x:c>
      <x:c r="G1446" s="7" t="n">
        <x:v>180</x:v>
      </x:c>
      <x:c r="H1446" s="9" t="n">
        <x:v>0.02</x:v>
      </x:c>
      <x:c r="I1446" s="7" t="n">
        <x:v>176.4</x:v>
      </x:c>
    </x:row>
    <x:row r="1447" ht="23" customHeight="1">
      <x:c r="A1447" s="7" t="str">
        <x:v>INV01442</x:v>
      </x:c>
      <x:c r="B1447" s="15" t="d">
        <x:v>2026-04-12T00:00:00.000Z</x:v>
      </x:c>
      <x:c r="C1447" s="14" t="d">
        <x:v>2026-04-01T00:00:00.000Z</x:v>
      </x:c>
      <x:c r="D1447" s="34" t="str">
        <x:v>0003</x:v>
      </x:c>
      <x:c r="E1447" s="7" t="str">
        <x:v>Central</x:v>
      </x:c>
      <x:c r="F1447" s="7" t="n">
        <x:v>7</x:v>
      </x:c>
      <x:c r="G1447" s="7" t="n">
        <x:v>200</x:v>
      </x:c>
      <x:c r="H1447" s="9" t="n">
        <x:v>0.05</x:v>
      </x:c>
      <x:c r="I1447" s="7" t="n">
        <x:v>1330</x:v>
      </x:c>
    </x:row>
    <x:row r="1448" ht="23" customHeight="1">
      <x:c r="A1448" s="7" t="str">
        <x:v>INV01443</x:v>
      </x:c>
      <x:c r="B1448" s="15" t="d">
        <x:v>2026-04-13T00:00:00.000Z</x:v>
      </x:c>
      <x:c r="C1448" s="14" t="d">
        <x:v>2026-04-01T00:00:00.000Z</x:v>
      </x:c>
      <x:c r="D1448" s="34" t="str">
        <x:v>0004</x:v>
      </x:c>
      <x:c r="E1448" s="7" t="str">
        <x:v>Central</x:v>
      </x:c>
      <x:c r="F1448" s="7" t="n">
        <x:v>2</x:v>
      </x:c>
      <x:c r="G1448" s="7" t="n">
        <x:v>220</x:v>
      </x:c>
      <x:c r="H1448" s="9" t="n">
        <x:v>0</x:v>
      </x:c>
      <x:c r="I1448" s="7" t="n">
        <x:v>440</x:v>
      </x:c>
    </x:row>
    <x:row r="1449" ht="23" customHeight="1">
      <x:c r="A1449" s="7" t="str">
        <x:v>INV01444</x:v>
      </x:c>
      <x:c r="B1449" s="15" t="d">
        <x:v>2026-04-14T00:00:00.000Z</x:v>
      </x:c>
      <x:c r="C1449" s="14" t="d">
        <x:v>2026-04-01T00:00:00.000Z</x:v>
      </x:c>
      <x:c r="D1449" s="34" t="str">
        <x:v>0005</x:v>
      </x:c>
      <x:c r="E1449" s="7" t="str">
        <x:v>Central</x:v>
      </x:c>
      <x:c r="F1449" s="7" t="n">
        <x:v>2</x:v>
      </x:c>
      <x:c r="G1449" s="7" t="n">
        <x:v>240</x:v>
      </x:c>
      <x:c r="H1449" s="9" t="n">
        <x:v>0.02</x:v>
      </x:c>
      <x:c r="I1449" s="7" t="n">
        <x:v>470.4</x:v>
      </x:c>
    </x:row>
    <x:row r="1450" ht="23" customHeight="1">
      <x:c r="A1450" s="7" t="str">
        <x:v>INV01445</x:v>
      </x:c>
      <x:c r="B1450" s="15" t="d">
        <x:v>2026-04-15T00:00:00.000Z</x:v>
      </x:c>
      <x:c r="C1450" s="14" t="d">
        <x:v>2026-04-01T00:00:00.000Z</x:v>
      </x:c>
      <x:c r="D1450" s="34" t="str">
        <x:v>0006</x:v>
      </x:c>
      <x:c r="E1450" s="7" t="str">
        <x:v>Central</x:v>
      </x:c>
      <x:c r="F1450" s="7" t="n">
        <x:v>4</x:v>
      </x:c>
      <x:c r="G1450" s="7" t="n">
        <x:v>260</x:v>
      </x:c>
      <x:c r="H1450" s="9" t="n">
        <x:v>0.05</x:v>
      </x:c>
      <x:c r="I1450" s="7" t="n">
        <x:v>988</x:v>
      </x:c>
    </x:row>
    <x:row r="1451" ht="23" customHeight="1">
      <x:c r="A1451" s="7" t="str">
        <x:v>INV01446</x:v>
      </x:c>
      <x:c r="B1451" s="15" t="d">
        <x:v>2026-04-16T00:00:00.000Z</x:v>
      </x:c>
      <x:c r="C1451" s="14" t="d">
        <x:v>2026-04-01T00:00:00.000Z</x:v>
      </x:c>
      <x:c r="D1451" s="34" t="str">
        <x:v>0007</x:v>
      </x:c>
      <x:c r="E1451" s="7" t="str">
        <x:v>Central</x:v>
      </x:c>
      <x:c r="F1451" s="7" t="n">
        <x:v>7</x:v>
      </x:c>
      <x:c r="G1451" s="7" t="n">
        <x:v>280</x:v>
      </x:c>
      <x:c r="H1451" s="9" t="n">
        <x:v>0</x:v>
      </x:c>
      <x:c r="I1451" s="7" t="n">
        <x:v>1960</x:v>
      </x:c>
    </x:row>
    <x:row r="1452" ht="23" customHeight="1">
      <x:c r="A1452" s="7" t="str">
        <x:v>INV01447</x:v>
      </x:c>
      <x:c r="B1452" s="15" t="d">
        <x:v>2026-04-17T00:00:00.000Z</x:v>
      </x:c>
      <x:c r="C1452" s="14" t="d">
        <x:v>2026-04-01T00:00:00.000Z</x:v>
      </x:c>
      <x:c r="D1452" s="34" t="str">
        <x:v>0008</x:v>
      </x:c>
      <x:c r="E1452" s="7" t="str">
        <x:v>Central</x:v>
      </x:c>
      <x:c r="F1452" s="7" t="n">
        <x:v>5</x:v>
      </x:c>
      <x:c r="G1452" s="7" t="n">
        <x:v>300</x:v>
      </x:c>
      <x:c r="H1452" s="9" t="n">
        <x:v>0.02</x:v>
      </x:c>
      <x:c r="I1452" s="7" t="n">
        <x:v>1470</x:v>
      </x:c>
    </x:row>
    <x:row r="1453" ht="23" customHeight="1">
      <x:c r="A1453" s="7" t="str">
        <x:v>INV01448</x:v>
      </x:c>
      <x:c r="B1453" s="15" t="d">
        <x:v>2026-04-18T00:00:00.000Z</x:v>
      </x:c>
      <x:c r="C1453" s="14" t="d">
        <x:v>2026-04-01T00:00:00.000Z</x:v>
      </x:c>
      <x:c r="D1453" s="34" t="str">
        <x:v>0001</x:v>
      </x:c>
      <x:c r="E1453" s="7" t="str">
        <x:v>East</x:v>
      </x:c>
      <x:c r="F1453" s="7" t="n">
        <x:v>3</x:v>
      </x:c>
      <x:c r="G1453" s="7" t="n">
        <x:v>160</x:v>
      </x:c>
      <x:c r="H1453" s="9" t="n">
        <x:v>0.05</x:v>
      </x:c>
      <x:c r="I1453" s="7" t="n">
        <x:v>456</x:v>
      </x:c>
    </x:row>
    <x:row r="1454" ht="23" customHeight="1">
      <x:c r="A1454" s="7" t="str">
        <x:v>INV01449</x:v>
      </x:c>
      <x:c r="B1454" s="15" t="d">
        <x:v>2026-04-19T00:00:00.000Z</x:v>
      </x:c>
      <x:c r="C1454" s="14" t="d">
        <x:v>2026-04-01T00:00:00.000Z</x:v>
      </x:c>
      <x:c r="D1454" s="34" t="str">
        <x:v>0002</x:v>
      </x:c>
      <x:c r="E1454" s="7" t="str">
        <x:v>East</x:v>
      </x:c>
      <x:c r="F1454" s="7" t="n">
        <x:v>7</x:v>
      </x:c>
      <x:c r="G1454" s="7" t="n">
        <x:v>180</x:v>
      </x:c>
      <x:c r="H1454" s="9" t="n">
        <x:v>0</x:v>
      </x:c>
      <x:c r="I1454" s="7" t="n">
        <x:v>1260</x:v>
      </x:c>
    </x:row>
    <x:row r="1455" ht="23" customHeight="1">
      <x:c r="A1455" s="7" t="str">
        <x:v>INV01450</x:v>
      </x:c>
      <x:c r="B1455" s="15" t="d">
        <x:v>2026-04-20T00:00:00.000Z</x:v>
      </x:c>
      <x:c r="C1455" s="14" t="d">
        <x:v>2026-04-01T00:00:00.000Z</x:v>
      </x:c>
      <x:c r="D1455" s="34" t="str">
        <x:v>0003</x:v>
      </x:c>
      <x:c r="E1455" s="7" t="str">
        <x:v>East</x:v>
      </x:c>
      <x:c r="F1455" s="7" t="n">
        <x:v>4</x:v>
      </x:c>
      <x:c r="G1455" s="7" t="n">
        <x:v>200</x:v>
      </x:c>
      <x:c r="H1455" s="9" t="n">
        <x:v>0.02</x:v>
      </x:c>
      <x:c r="I1455" s="7" t="n">
        <x:v>784</x:v>
      </x:c>
    </x:row>
    <x:row r="1456" ht="23" customHeight="1">
      <x:c r="A1456" s="7" t="str">
        <x:v>INV01451</x:v>
      </x:c>
      <x:c r="B1456" s="15" t="d">
        <x:v>2026-04-21T00:00:00.000Z</x:v>
      </x:c>
      <x:c r="C1456" s="14" t="d">
        <x:v>2026-04-01T00:00:00.000Z</x:v>
      </x:c>
      <x:c r="D1456" s="34" t="str">
        <x:v>0004</x:v>
      </x:c>
      <x:c r="E1456" s="7" t="str">
        <x:v>East</x:v>
      </x:c>
      <x:c r="F1456" s="7" t="n">
        <x:v>1</x:v>
      </x:c>
      <x:c r="G1456" s="7" t="n">
        <x:v>220</x:v>
      </x:c>
      <x:c r="H1456" s="9" t="n">
        <x:v>0.05</x:v>
      </x:c>
      <x:c r="I1456" s="7" t="n">
        <x:v>209</x:v>
      </x:c>
    </x:row>
    <x:row r="1457" ht="23" customHeight="1">
      <x:c r="A1457" s="7" t="str">
        <x:v>INV01452</x:v>
      </x:c>
      <x:c r="B1457" s="15" t="d">
        <x:v>2026-04-22T00:00:00.000Z</x:v>
      </x:c>
      <x:c r="C1457" s="14" t="d">
        <x:v>2026-04-01T00:00:00.000Z</x:v>
      </x:c>
      <x:c r="D1457" s="34" t="str">
        <x:v>0005</x:v>
      </x:c>
      <x:c r="E1457" s="7" t="str">
        <x:v>East</x:v>
      </x:c>
      <x:c r="F1457" s="7" t="n">
        <x:v>7</x:v>
      </x:c>
      <x:c r="G1457" s="7" t="n">
        <x:v>240</x:v>
      </x:c>
      <x:c r="H1457" s="9" t="n">
        <x:v>0</x:v>
      </x:c>
      <x:c r="I1457" s="7" t="n">
        <x:v>1680</x:v>
      </x:c>
    </x:row>
    <x:row r="1458" ht="23" customHeight="1">
      <x:c r="A1458" s="7" t="str">
        <x:v>INV01453</x:v>
      </x:c>
      <x:c r="B1458" s="15" t="d">
        <x:v>2026-04-23T00:00:00.000Z</x:v>
      </x:c>
      <x:c r="C1458" s="14" t="d">
        <x:v>2026-04-01T00:00:00.000Z</x:v>
      </x:c>
      <x:c r="D1458" s="34" t="str">
        <x:v>0006</x:v>
      </x:c>
      <x:c r="E1458" s="7" t="str">
        <x:v>East</x:v>
      </x:c>
      <x:c r="F1458" s="7" t="n">
        <x:v>2</x:v>
      </x:c>
      <x:c r="G1458" s="7" t="n">
        <x:v>260</x:v>
      </x:c>
      <x:c r="H1458" s="9" t="n">
        <x:v>0.02</x:v>
      </x:c>
      <x:c r="I1458" s="7" t="n">
        <x:v>509.6</x:v>
      </x:c>
    </x:row>
    <x:row r="1459" ht="23" customHeight="1">
      <x:c r="A1459" s="7" t="str">
        <x:v>INV01454</x:v>
      </x:c>
      <x:c r="B1459" s="15" t="d">
        <x:v>2026-04-24T00:00:00.000Z</x:v>
      </x:c>
      <x:c r="C1459" s="14" t="d">
        <x:v>2026-04-01T00:00:00.000Z</x:v>
      </x:c>
      <x:c r="D1459" s="34" t="str">
        <x:v>0007</x:v>
      </x:c>
      <x:c r="E1459" s="7" t="str">
        <x:v>East</x:v>
      </x:c>
      <x:c r="F1459" s="7" t="n">
        <x:v>7</x:v>
      </x:c>
      <x:c r="G1459" s="7" t="n">
        <x:v>280</x:v>
      </x:c>
      <x:c r="H1459" s="9" t="n">
        <x:v>0.05</x:v>
      </x:c>
      <x:c r="I1459" s="7" t="n">
        <x:v>1862</x:v>
      </x:c>
    </x:row>
    <x:row r="1460" ht="23" customHeight="1">
      <x:c r="A1460" s="7" t="str">
        <x:v>INV01455</x:v>
      </x:c>
      <x:c r="B1460" s="15" t="d">
        <x:v>2026-04-25T00:00:00.000Z</x:v>
      </x:c>
      <x:c r="C1460" s="14" t="d">
        <x:v>2026-04-01T00:00:00.000Z</x:v>
      </x:c>
      <x:c r="D1460" s="34" t="str">
        <x:v>0008</x:v>
      </x:c>
      <x:c r="E1460" s="7" t="str">
        <x:v>East</x:v>
      </x:c>
      <x:c r="F1460" s="7" t="n">
        <x:v>7</x:v>
      </x:c>
      <x:c r="G1460" s="7" t="n">
        <x:v>300</x:v>
      </x:c>
      <x:c r="H1460" s="9" t="n">
        <x:v>0</x:v>
      </x:c>
      <x:c r="I1460" s="7" t="n">
        <x:v>2100</x:v>
      </x:c>
    </x:row>
    <x:row r="1461" ht="23" customHeight="1">
      <x:c r="A1461" s="7" t="str">
        <x:v>INV01456</x:v>
      </x:c>
      <x:c r="B1461" s="15" t="d">
        <x:v>2026-04-26T00:00:00.000Z</x:v>
      </x:c>
      <x:c r="C1461" s="14" t="d">
        <x:v>2026-04-01T00:00:00.000Z</x:v>
      </x:c>
      <x:c r="D1461" s="34" t="str">
        <x:v>0001</x:v>
      </x:c>
      <x:c r="E1461" s="7" t="str">
        <x:v>West</x:v>
      </x:c>
      <x:c r="F1461" s="7" t="n">
        <x:v>1</x:v>
      </x:c>
      <x:c r="G1461" s="7" t="n">
        <x:v>160</x:v>
      </x:c>
      <x:c r="H1461" s="9" t="n">
        <x:v>0.02</x:v>
      </x:c>
      <x:c r="I1461" s="7" t="n">
        <x:v>156.8</x:v>
      </x:c>
    </x:row>
    <x:row r="1462" ht="23" customHeight="1">
      <x:c r="A1462" s="7" t="str">
        <x:v>INV01457</x:v>
      </x:c>
      <x:c r="B1462" s="15" t="d">
        <x:v>2026-04-27T00:00:00.000Z</x:v>
      </x:c>
      <x:c r="C1462" s="14" t="d">
        <x:v>2026-04-01T00:00:00.000Z</x:v>
      </x:c>
      <x:c r="D1462" s="34" t="str">
        <x:v>0002</x:v>
      </x:c>
      <x:c r="E1462" s="7" t="str">
        <x:v>West</x:v>
      </x:c>
      <x:c r="F1462" s="7" t="n">
        <x:v>2</x:v>
      </x:c>
      <x:c r="G1462" s="7" t="n">
        <x:v>180</x:v>
      </x:c>
      <x:c r="H1462" s="9" t="n">
        <x:v>0.05</x:v>
      </x:c>
      <x:c r="I1462" s="7" t="n">
        <x:v>342</x:v>
      </x:c>
    </x:row>
    <x:row r="1463" ht="23" customHeight="1">
      <x:c r="A1463" s="7" t="str">
        <x:v>INV01458</x:v>
      </x:c>
      <x:c r="B1463" s="15" t="d">
        <x:v>2026-04-01T00:00:00.000Z</x:v>
      </x:c>
      <x:c r="C1463" s="14" t="d">
        <x:v>2026-04-01T00:00:00.000Z</x:v>
      </x:c>
      <x:c r="D1463" s="34" t="str">
        <x:v>0003</x:v>
      </x:c>
      <x:c r="E1463" s="7" t="str">
        <x:v>West</x:v>
      </x:c>
      <x:c r="F1463" s="7" t="n">
        <x:v>2</x:v>
      </x:c>
      <x:c r="G1463" s="7" t="n">
        <x:v>200</x:v>
      </x:c>
      <x:c r="H1463" s="9" t="n">
        <x:v>0</x:v>
      </x:c>
      <x:c r="I1463" s="7" t="n">
        <x:v>400</x:v>
      </x:c>
    </x:row>
    <x:row r="1464" ht="23" customHeight="1">
      <x:c r="A1464" s="7" t="str">
        <x:v>INV01459</x:v>
      </x:c>
      <x:c r="B1464" s="15" t="d">
        <x:v>2026-04-02T00:00:00.000Z</x:v>
      </x:c>
      <x:c r="C1464" s="14" t="d">
        <x:v>2026-04-01T00:00:00.000Z</x:v>
      </x:c>
      <x:c r="D1464" s="34" t="str">
        <x:v>0004</x:v>
      </x:c>
      <x:c r="E1464" s="7" t="str">
        <x:v>West</x:v>
      </x:c>
      <x:c r="F1464" s="7" t="n">
        <x:v>2</x:v>
      </x:c>
      <x:c r="G1464" s="7" t="n">
        <x:v>220</x:v>
      </x:c>
      <x:c r="H1464" s="9" t="n">
        <x:v>0.02</x:v>
      </x:c>
      <x:c r="I1464" s="7" t="n">
        <x:v>431.2</x:v>
      </x:c>
    </x:row>
    <x:row r="1465" ht="23" customHeight="1">
      <x:c r="A1465" s="7" t="str">
        <x:v>INV01460</x:v>
      </x:c>
      <x:c r="B1465" s="15" t="d">
        <x:v>2026-04-03T00:00:00.000Z</x:v>
      </x:c>
      <x:c r="C1465" s="14" t="d">
        <x:v>2026-04-01T00:00:00.000Z</x:v>
      </x:c>
      <x:c r="D1465" s="34" t="str">
        <x:v>0005</x:v>
      </x:c>
      <x:c r="E1465" s="7" t="str">
        <x:v>West</x:v>
      </x:c>
      <x:c r="F1465" s="7" t="n">
        <x:v>4</x:v>
      </x:c>
      <x:c r="G1465" s="7" t="n">
        <x:v>240</x:v>
      </x:c>
      <x:c r="H1465" s="9" t="n">
        <x:v>0.05</x:v>
      </x:c>
      <x:c r="I1465" s="7" t="n">
        <x:v>912</x:v>
      </x:c>
    </x:row>
    <x:row r="1466" ht="23" customHeight="1">
      <x:c r="A1466" s="7" t="str">
        <x:v>INV01461</x:v>
      </x:c>
      <x:c r="B1466" s="15" t="d">
        <x:v>2026-04-04T00:00:00.000Z</x:v>
      </x:c>
      <x:c r="C1466" s="14" t="d">
        <x:v>2026-04-01T00:00:00.000Z</x:v>
      </x:c>
      <x:c r="D1466" s="34" t="str">
        <x:v>0006</x:v>
      </x:c>
      <x:c r="E1466" s="7" t="str">
        <x:v>West</x:v>
      </x:c>
      <x:c r="F1466" s="7" t="n">
        <x:v>5</x:v>
      </x:c>
      <x:c r="G1466" s="7" t="n">
        <x:v>260</x:v>
      </x:c>
      <x:c r="H1466" s="9" t="n">
        <x:v>0</x:v>
      </x:c>
      <x:c r="I1466" s="7" t="n">
        <x:v>1300</x:v>
      </x:c>
    </x:row>
    <x:row r="1467" ht="23" customHeight="1">
      <x:c r="A1467" s="7" t="str">
        <x:v>INV01462</x:v>
      </x:c>
      <x:c r="B1467" s="15" t="d">
        <x:v>2026-04-05T00:00:00.000Z</x:v>
      </x:c>
      <x:c r="C1467" s="14" t="d">
        <x:v>2026-04-01T00:00:00.000Z</x:v>
      </x:c>
      <x:c r="D1467" s="34" t="str">
        <x:v>0007</x:v>
      </x:c>
      <x:c r="E1467" s="7" t="str">
        <x:v>West</x:v>
      </x:c>
      <x:c r="F1467" s="7" t="n">
        <x:v>4</x:v>
      </x:c>
      <x:c r="G1467" s="7" t="n">
        <x:v>280</x:v>
      </x:c>
      <x:c r="H1467" s="9" t="n">
        <x:v>0.02</x:v>
      </x:c>
      <x:c r="I1467" s="7" t="n">
        <x:v>1097.6</x:v>
      </x:c>
    </x:row>
    <x:row r="1468" ht="23" customHeight="1">
      <x:c r="A1468" s="7" t="str">
        <x:v>INV01463</x:v>
      </x:c>
      <x:c r="B1468" s="15" t="d">
        <x:v>2026-04-06T00:00:00.000Z</x:v>
      </x:c>
      <x:c r="C1468" s="14" t="d">
        <x:v>2026-04-01T00:00:00.000Z</x:v>
      </x:c>
      <x:c r="D1468" s="34" t="str">
        <x:v>0008</x:v>
      </x:c>
      <x:c r="E1468" s="7" t="str">
        <x:v>West</x:v>
      </x:c>
      <x:c r="F1468" s="7" t="n">
        <x:v>7</x:v>
      </x:c>
      <x:c r="G1468" s="7" t="n">
        <x:v>300</x:v>
      </x:c>
      <x:c r="H1468" s="9" t="n">
        <x:v>0.05</x:v>
      </x:c>
      <x:c r="I1468" s="7" t="n">
        <x:v>1995</x:v>
      </x:c>
    </x:row>
    <x:row r="1469" ht="23" customHeight="1">
      <x:c r="A1469" s="7" t="str">
        <x:v>INV01464</x:v>
      </x:c>
      <x:c r="B1469" s="15" t="d">
        <x:v>2026-04-07T00:00:00.000Z</x:v>
      </x:c>
      <x:c r="C1469" s="14" t="d">
        <x:v>2026-04-01T00:00:00.000Z</x:v>
      </x:c>
      <x:c r="D1469" s="34" t="str">
        <x:v>0001</x:v>
      </x:c>
      <x:c r="E1469" s="7" t="str">
        <x:v>North</x:v>
      </x:c>
      <x:c r="F1469" s="7" t="n">
        <x:v>6</x:v>
      </x:c>
      <x:c r="G1469" s="7" t="n">
        <x:v>160</x:v>
      </x:c>
      <x:c r="H1469" s="9" t="n">
        <x:v>0</x:v>
      </x:c>
      <x:c r="I1469" s="7" t="n">
        <x:v>960</x:v>
      </x:c>
    </x:row>
    <x:row r="1470" ht="23" customHeight="1">
      <x:c r="A1470" s="7" t="str">
        <x:v>INV01465</x:v>
      </x:c>
      <x:c r="B1470" s="15" t="d">
        <x:v>2026-04-08T00:00:00.000Z</x:v>
      </x:c>
      <x:c r="C1470" s="14" t="d">
        <x:v>2026-04-01T00:00:00.000Z</x:v>
      </x:c>
      <x:c r="D1470" s="34" t="str">
        <x:v>0002</x:v>
      </x:c>
      <x:c r="E1470" s="7" t="str">
        <x:v>North</x:v>
      </x:c>
      <x:c r="F1470" s="7" t="n">
        <x:v>1</x:v>
      </x:c>
      <x:c r="G1470" s="7" t="n">
        <x:v>180</x:v>
      </x:c>
      <x:c r="H1470" s="9" t="n">
        <x:v>0.02</x:v>
      </x:c>
      <x:c r="I1470" s="7" t="n">
        <x:v>176.4</x:v>
      </x:c>
    </x:row>
    <x:row r="1471" ht="23" customHeight="1">
      <x:c r="A1471" s="7" t="str">
        <x:v>INV01466</x:v>
      </x:c>
      <x:c r="B1471" s="15" t="d">
        <x:v>2026-04-09T00:00:00.000Z</x:v>
      </x:c>
      <x:c r="C1471" s="14" t="d">
        <x:v>2026-04-01T00:00:00.000Z</x:v>
      </x:c>
      <x:c r="D1471" s="34" t="str">
        <x:v>0003</x:v>
      </x:c>
      <x:c r="E1471" s="7" t="str">
        <x:v>North</x:v>
      </x:c>
      <x:c r="F1471" s="7" t="n">
        <x:v>5</x:v>
      </x:c>
      <x:c r="G1471" s="7" t="n">
        <x:v>200</x:v>
      </x:c>
      <x:c r="H1471" s="9" t="n">
        <x:v>0.05</x:v>
      </x:c>
      <x:c r="I1471" s="7" t="n">
        <x:v>950</x:v>
      </x:c>
    </x:row>
    <x:row r="1472" ht="23" customHeight="1">
      <x:c r="A1472" s="7" t="str">
        <x:v>INV01467</x:v>
      </x:c>
      <x:c r="B1472" s="15" t="d">
        <x:v>2026-04-10T00:00:00.000Z</x:v>
      </x:c>
      <x:c r="C1472" s="14" t="d">
        <x:v>2026-04-01T00:00:00.000Z</x:v>
      </x:c>
      <x:c r="D1472" s="34" t="str">
        <x:v>0004</x:v>
      </x:c>
      <x:c r="E1472" s="7" t="str">
        <x:v>North</x:v>
      </x:c>
      <x:c r="F1472" s="7" t="n">
        <x:v>4</x:v>
      </x:c>
      <x:c r="G1472" s="7" t="n">
        <x:v>220</x:v>
      </x:c>
      <x:c r="H1472" s="9" t="n">
        <x:v>0</x:v>
      </x:c>
      <x:c r="I1472" s="7" t="n">
        <x:v>880</x:v>
      </x:c>
    </x:row>
    <x:row r="1473" ht="23" customHeight="1">
      <x:c r="A1473" s="7" t="str">
        <x:v>INV01468</x:v>
      </x:c>
      <x:c r="B1473" s="15" t="d">
        <x:v>2026-04-11T00:00:00.000Z</x:v>
      </x:c>
      <x:c r="C1473" s="14" t="d">
        <x:v>2026-04-01T00:00:00.000Z</x:v>
      </x:c>
      <x:c r="D1473" s="34" t="str">
        <x:v>0005</x:v>
      </x:c>
      <x:c r="E1473" s="7" t="str">
        <x:v>North</x:v>
      </x:c>
      <x:c r="F1473" s="7" t="n">
        <x:v>3</x:v>
      </x:c>
      <x:c r="G1473" s="7" t="n">
        <x:v>240</x:v>
      </x:c>
      <x:c r="H1473" s="9" t="n">
        <x:v>0.02</x:v>
      </x:c>
      <x:c r="I1473" s="7" t="n">
        <x:v>705.6</x:v>
      </x:c>
    </x:row>
    <x:row r="1474" ht="23" customHeight="1">
      <x:c r="A1474" s="7" t="str">
        <x:v>INV01469</x:v>
      </x:c>
      <x:c r="B1474" s="15" t="d">
        <x:v>2026-04-12T00:00:00.000Z</x:v>
      </x:c>
      <x:c r="C1474" s="14" t="d">
        <x:v>2026-04-01T00:00:00.000Z</x:v>
      </x:c>
      <x:c r="D1474" s="34" t="str">
        <x:v>0006</x:v>
      </x:c>
      <x:c r="E1474" s="7" t="str">
        <x:v>North</x:v>
      </x:c>
      <x:c r="F1474" s="7" t="n">
        <x:v>2</x:v>
      </x:c>
      <x:c r="G1474" s="7" t="n">
        <x:v>260</x:v>
      </x:c>
      <x:c r="H1474" s="9" t="n">
        <x:v>0.05</x:v>
      </x:c>
      <x:c r="I1474" s="7" t="n">
        <x:v>494</x:v>
      </x:c>
    </x:row>
    <x:row r="1475" ht="23" customHeight="1">
      <x:c r="A1475" s="7" t="str">
        <x:v>INV01470</x:v>
      </x:c>
      <x:c r="B1475" s="15" t="d">
        <x:v>2026-04-13T00:00:00.000Z</x:v>
      </x:c>
      <x:c r="C1475" s="14" t="d">
        <x:v>2026-04-01T00:00:00.000Z</x:v>
      </x:c>
      <x:c r="D1475" s="34" t="str">
        <x:v>0007</x:v>
      </x:c>
      <x:c r="E1475" s="7" t="str">
        <x:v>North</x:v>
      </x:c>
      <x:c r="F1475" s="7" t="n">
        <x:v>3</x:v>
      </x:c>
      <x:c r="G1475" s="7" t="n">
        <x:v>280</x:v>
      </x:c>
      <x:c r="H1475" s="9" t="n">
        <x:v>0</x:v>
      </x:c>
      <x:c r="I1475" s="7" t="n">
        <x:v>840</x:v>
      </x:c>
    </x:row>
    <x:row r="1476" ht="23" customHeight="1">
      <x:c r="A1476" s="7" t="str">
        <x:v>INV01471</x:v>
      </x:c>
      <x:c r="B1476" s="15" t="d">
        <x:v>2026-04-14T00:00:00.000Z</x:v>
      </x:c>
      <x:c r="C1476" s="14" t="d">
        <x:v>2026-04-01T00:00:00.000Z</x:v>
      </x:c>
      <x:c r="D1476" s="34" t="str">
        <x:v>0008</x:v>
      </x:c>
      <x:c r="E1476" s="7" t="str">
        <x:v>North</x:v>
      </x:c>
      <x:c r="F1476" s="7" t="n">
        <x:v>4</x:v>
      </x:c>
      <x:c r="G1476" s="7" t="n">
        <x:v>300</x:v>
      </x:c>
      <x:c r="H1476" s="9" t="n">
        <x:v>0.02</x:v>
      </x:c>
      <x:c r="I1476" s="7" t="n">
        <x:v>1176</x:v>
      </x:c>
    </x:row>
    <x:row r="1477" ht="23" customHeight="1">
      <x:c r="A1477" s="7" t="str">
        <x:v>INV01472</x:v>
      </x:c>
      <x:c r="B1477" s="15" t="d">
        <x:v>2026-05-15T00:00:00.000Z</x:v>
      </x:c>
      <x:c r="C1477" s="14" t="d">
        <x:v>2026-05-01T00:00:00.000Z</x:v>
      </x:c>
      <x:c r="D1477" s="34" t="str">
        <x:v>0001</x:v>
      </x:c>
      <x:c r="E1477" s="7" t="str">
        <x:v>Central</x:v>
      </x:c>
      <x:c r="F1477" s="7" t="n">
        <x:v>2</x:v>
      </x:c>
      <x:c r="G1477" s="7" t="n">
        <x:v>160</x:v>
      </x:c>
      <x:c r="H1477" s="9" t="n">
        <x:v>0.05</x:v>
      </x:c>
      <x:c r="I1477" s="7" t="n">
        <x:v>304</x:v>
      </x:c>
    </x:row>
    <x:row r="1478" ht="23" customHeight="1">
      <x:c r="A1478" s="7" t="str">
        <x:v>INV01473</x:v>
      </x:c>
      <x:c r="B1478" s="15" t="d">
        <x:v>2026-05-16T00:00:00.000Z</x:v>
      </x:c>
      <x:c r="C1478" s="14" t="d">
        <x:v>2026-05-01T00:00:00.000Z</x:v>
      </x:c>
      <x:c r="D1478" s="34" t="str">
        <x:v>0002</x:v>
      </x:c>
      <x:c r="E1478" s="7" t="str">
        <x:v>Central</x:v>
      </x:c>
      <x:c r="F1478" s="7" t="n">
        <x:v>2</x:v>
      </x:c>
      <x:c r="G1478" s="7" t="n">
        <x:v>180</x:v>
      </x:c>
      <x:c r="H1478" s="9" t="n">
        <x:v>0</x:v>
      </x:c>
      <x:c r="I1478" s="7" t="n">
        <x:v>360</x:v>
      </x:c>
    </x:row>
    <x:row r="1479" ht="23" customHeight="1">
      <x:c r="A1479" s="7" t="str">
        <x:v>INV01474</x:v>
      </x:c>
      <x:c r="B1479" s="15" t="d">
        <x:v>2026-05-17T00:00:00.000Z</x:v>
      </x:c>
      <x:c r="C1479" s="14" t="d">
        <x:v>2026-05-01T00:00:00.000Z</x:v>
      </x:c>
      <x:c r="D1479" s="34" t="str">
        <x:v>0003</x:v>
      </x:c>
      <x:c r="E1479" s="7" t="str">
        <x:v>Central</x:v>
      </x:c>
      <x:c r="F1479" s="7" t="n">
        <x:v>5</x:v>
      </x:c>
      <x:c r="G1479" s="7" t="n">
        <x:v>200</x:v>
      </x:c>
      <x:c r="H1479" s="9" t="n">
        <x:v>0.02</x:v>
      </x:c>
      <x:c r="I1479" s="7" t="n">
        <x:v>980</x:v>
      </x:c>
    </x:row>
    <x:row r="1480" ht="23" customHeight="1">
      <x:c r="A1480" s="7" t="str">
        <x:v>INV01475</x:v>
      </x:c>
      <x:c r="B1480" s="15" t="d">
        <x:v>2026-05-18T00:00:00.000Z</x:v>
      </x:c>
      <x:c r="C1480" s="14" t="d">
        <x:v>2026-05-01T00:00:00.000Z</x:v>
      </x:c>
      <x:c r="D1480" s="34" t="str">
        <x:v>0004</x:v>
      </x:c>
      <x:c r="E1480" s="7" t="str">
        <x:v>Central</x:v>
      </x:c>
      <x:c r="F1480" s="7" t="n">
        <x:v>2</x:v>
      </x:c>
      <x:c r="G1480" s="7" t="n">
        <x:v>220</x:v>
      </x:c>
      <x:c r="H1480" s="9" t="n">
        <x:v>0.05</x:v>
      </x:c>
      <x:c r="I1480" s="7" t="n">
        <x:v>418</x:v>
      </x:c>
    </x:row>
    <x:row r="1481" ht="23" customHeight="1">
      <x:c r="A1481" s="7" t="str">
        <x:v>INV01476</x:v>
      </x:c>
      <x:c r="B1481" s="15" t="d">
        <x:v>2026-05-19T00:00:00.000Z</x:v>
      </x:c>
      <x:c r="C1481" s="14" t="d">
        <x:v>2026-05-01T00:00:00.000Z</x:v>
      </x:c>
      <x:c r="D1481" s="34" t="str">
        <x:v>0005</x:v>
      </x:c>
      <x:c r="E1481" s="7" t="str">
        <x:v>Central</x:v>
      </x:c>
      <x:c r="F1481" s="7" t="n">
        <x:v>-1</x:v>
      </x:c>
      <x:c r="G1481" s="7" t="n">
        <x:v>240</x:v>
      </x:c>
      <x:c r="H1481" s="9" t="n">
        <x:v>0</x:v>
      </x:c>
      <x:c r="I1481" s="7" t="n">
        <x:v>-240</x:v>
      </x:c>
    </x:row>
    <x:row r="1482" ht="23" customHeight="1">
      <x:c r="A1482" s="7" t="str">
        <x:v>INV01477</x:v>
      </x:c>
      <x:c r="B1482" s="15" t="d">
        <x:v>2026-05-20T00:00:00.000Z</x:v>
      </x:c>
      <x:c r="C1482" s="14" t="d">
        <x:v>2026-05-01T00:00:00.000Z</x:v>
      </x:c>
      <x:c r="D1482" s="34" t="str">
        <x:v>0006</x:v>
      </x:c>
      <x:c r="E1482" s="7" t="str">
        <x:v>Central</x:v>
      </x:c>
      <x:c r="F1482" s="7" t="n">
        <x:v>3</x:v>
      </x:c>
      <x:c r="G1482" s="7" t="n">
        <x:v>260</x:v>
      </x:c>
      <x:c r="H1482" s="9" t="n">
        <x:v>0.02</x:v>
      </x:c>
      <x:c r="I1482" s="7" t="n">
        <x:v>764.4</x:v>
      </x:c>
    </x:row>
    <x:row r="1483" ht="23" customHeight="1">
      <x:c r="A1483" s="7" t="str">
        <x:v>INV01478</x:v>
      </x:c>
      <x:c r="B1483" s="15" t="d">
        <x:v>2026-05-21T00:00:00.000Z</x:v>
      </x:c>
      <x:c r="C1483" s="14" t="d">
        <x:v>2026-05-01T00:00:00.000Z</x:v>
      </x:c>
      <x:c r="D1483" s="34" t="str">
        <x:v>0007</x:v>
      </x:c>
      <x:c r="E1483" s="7" t="str">
        <x:v>Central</x:v>
      </x:c>
      <x:c r="F1483" s="7" t="n">
        <x:v>1</x:v>
      </x:c>
      <x:c r="G1483" s="7" t="n">
        <x:v>280</x:v>
      </x:c>
      <x:c r="H1483" s="9" t="n">
        <x:v>0.05</x:v>
      </x:c>
      <x:c r="I1483" s="7" t="n">
        <x:v>266</x:v>
      </x:c>
    </x:row>
    <x:row r="1484" ht="23" customHeight="1">
      <x:c r="A1484" s="7" t="str">
        <x:v>INV01479</x:v>
      </x:c>
      <x:c r="B1484" s="15" t="d">
        <x:v>2026-05-22T00:00:00.000Z</x:v>
      </x:c>
      <x:c r="C1484" s="14" t="d">
        <x:v>2026-05-01T00:00:00.000Z</x:v>
      </x:c>
      <x:c r="D1484" s="34" t="str">
        <x:v>0008</x:v>
      </x:c>
      <x:c r="E1484" s="7" t="str">
        <x:v>Central</x:v>
      </x:c>
      <x:c r="F1484" s="7" t="n">
        <x:v>1</x:v>
      </x:c>
      <x:c r="G1484" s="7" t="n">
        <x:v>300</x:v>
      </x:c>
      <x:c r="H1484" s="9" t="n">
        <x:v>0</x:v>
      </x:c>
      <x:c r="I1484" s="7" t="n">
        <x:v>300</x:v>
      </x:c>
    </x:row>
    <x:row r="1485" ht="23" customHeight="1">
      <x:c r="A1485" s="7" t="str">
        <x:v>INV01480</x:v>
      </x:c>
      <x:c r="B1485" s="15" t="d">
        <x:v>2026-05-23T00:00:00.000Z</x:v>
      </x:c>
      <x:c r="C1485" s="14" t="d">
        <x:v>2026-05-01T00:00:00.000Z</x:v>
      </x:c>
      <x:c r="D1485" s="34" t="str">
        <x:v>0001</x:v>
      </x:c>
      <x:c r="E1485" s="7" t="str">
        <x:v>East</x:v>
      </x:c>
      <x:c r="F1485" s="7" t="n">
        <x:v>2</x:v>
      </x:c>
      <x:c r="G1485" s="7" t="n">
        <x:v>160</x:v>
      </x:c>
      <x:c r="H1485" s="9" t="n">
        <x:v>0.02</x:v>
      </x:c>
      <x:c r="I1485" s="7" t="n">
        <x:v>313.6</x:v>
      </x:c>
    </x:row>
    <x:row r="1486" ht="23" customHeight="1">
      <x:c r="A1486" s="7" t="str">
        <x:v>INV01481</x:v>
      </x:c>
      <x:c r="B1486" s="15" t="d">
        <x:v>2026-05-24T00:00:00.000Z</x:v>
      </x:c>
      <x:c r="C1486" s="14" t="d">
        <x:v>2026-05-01T00:00:00.000Z</x:v>
      </x:c>
      <x:c r="D1486" s="34" t="str">
        <x:v>0002</x:v>
      </x:c>
      <x:c r="E1486" s="7" t="str">
        <x:v>East</x:v>
      </x:c>
      <x:c r="F1486" s="7" t="n">
        <x:v>6</x:v>
      </x:c>
      <x:c r="G1486" s="7" t="n">
        <x:v>180</x:v>
      </x:c>
      <x:c r="H1486" s="9" t="n">
        <x:v>0.05</x:v>
      </x:c>
      <x:c r="I1486" s="7" t="n">
        <x:v>1026</x:v>
      </x:c>
    </x:row>
    <x:row r="1487" ht="23" customHeight="1">
      <x:c r="A1487" s="7" t="str">
        <x:v>INV01482</x:v>
      </x:c>
      <x:c r="B1487" s="15" t="d">
        <x:v>2026-05-25T00:00:00.000Z</x:v>
      </x:c>
      <x:c r="C1487" s="14" t="d">
        <x:v>2026-05-01T00:00:00.000Z</x:v>
      </x:c>
      <x:c r="D1487" s="34" t="str">
        <x:v>0003</x:v>
      </x:c>
      <x:c r="E1487" s="7" t="str">
        <x:v>East</x:v>
      </x:c>
      <x:c r="F1487" s="7" t="n">
        <x:v>3</x:v>
      </x:c>
      <x:c r="G1487" s="7" t="n">
        <x:v>200</x:v>
      </x:c>
      <x:c r="H1487" s="9" t="n">
        <x:v>0</x:v>
      </x:c>
      <x:c r="I1487" s="7" t="n">
        <x:v>600</x:v>
      </x:c>
    </x:row>
    <x:row r="1488" ht="23" customHeight="1">
      <x:c r="A1488" s="7" t="str">
        <x:v>INV01483</x:v>
      </x:c>
      <x:c r="B1488" s="15" t="d">
        <x:v>2026-05-26T00:00:00.000Z</x:v>
      </x:c>
      <x:c r="C1488" s="14" t="d">
        <x:v>2026-05-01T00:00:00.000Z</x:v>
      </x:c>
      <x:c r="D1488" s="34" t="str">
        <x:v>0004</x:v>
      </x:c>
      <x:c r="E1488" s="7" t="str">
        <x:v>East</x:v>
      </x:c>
      <x:c r="F1488" s="7" t="n">
        <x:v>6</x:v>
      </x:c>
      <x:c r="G1488" s="7" t="n">
        <x:v>220</x:v>
      </x:c>
      <x:c r="H1488" s="9" t="n">
        <x:v>0.02</x:v>
      </x:c>
      <x:c r="I1488" s="7" t="n">
        <x:v>1293.6</x:v>
      </x:c>
    </x:row>
    <x:row r="1489" ht="23" customHeight="1">
      <x:c r="A1489" s="7" t="str">
        <x:v>INV01484</x:v>
      </x:c>
      <x:c r="B1489" s="15" t="d">
        <x:v>2026-05-27T00:00:00.000Z</x:v>
      </x:c>
      <x:c r="C1489" s="14" t="d">
        <x:v>2026-05-01T00:00:00.000Z</x:v>
      </x:c>
      <x:c r="D1489" s="34" t="str">
        <x:v>0005</x:v>
      </x:c>
      <x:c r="E1489" s="7" t="str">
        <x:v>East</x:v>
      </x:c>
      <x:c r="F1489" s="7" t="n">
        <x:v>5</x:v>
      </x:c>
      <x:c r="G1489" s="7" t="n">
        <x:v>240</x:v>
      </x:c>
      <x:c r="H1489" s="9" t="n">
        <x:v>0.05</x:v>
      </x:c>
      <x:c r="I1489" s="7" t="n">
        <x:v>1140</x:v>
      </x:c>
    </x:row>
    <x:row r="1490" ht="23" customHeight="1">
      <x:c r="A1490" s="7" t="str">
        <x:v>INV01485</x:v>
      </x:c>
      <x:c r="B1490" s="15" t="d">
        <x:v>2026-05-01T00:00:00.000Z</x:v>
      </x:c>
      <x:c r="C1490" s="14" t="d">
        <x:v>2026-05-01T00:00:00.000Z</x:v>
      </x:c>
      <x:c r="D1490" s="34" t="str">
        <x:v>0006</x:v>
      </x:c>
      <x:c r="E1490" s="7" t="str">
        <x:v>East</x:v>
      </x:c>
      <x:c r="F1490" s="7" t="n">
        <x:v>3</x:v>
      </x:c>
      <x:c r="G1490" s="7" t="n">
        <x:v>260</x:v>
      </x:c>
      <x:c r="H1490" s="9" t="n">
        <x:v>0</x:v>
      </x:c>
      <x:c r="I1490" s="7" t="n">
        <x:v>780</x:v>
      </x:c>
    </x:row>
    <x:row r="1491" ht="23" customHeight="1">
      <x:c r="A1491" s="7" t="str">
        <x:v>INV01486</x:v>
      </x:c>
      <x:c r="B1491" s="15" t="d">
        <x:v>2026-05-02T00:00:00.000Z</x:v>
      </x:c>
      <x:c r="C1491" s="14" t="d">
        <x:v>2026-05-01T00:00:00.000Z</x:v>
      </x:c>
      <x:c r="D1491" s="34" t="str">
        <x:v>0007</x:v>
      </x:c>
      <x:c r="E1491" s="7" t="str">
        <x:v>East</x:v>
      </x:c>
      <x:c r="F1491" s="7" t="n">
        <x:v>3</x:v>
      </x:c>
      <x:c r="G1491" s="7" t="n">
        <x:v>280</x:v>
      </x:c>
      <x:c r="H1491" s="9" t="n">
        <x:v>0.02</x:v>
      </x:c>
      <x:c r="I1491" s="7" t="n">
        <x:v>823.2</x:v>
      </x:c>
    </x:row>
    <x:row r="1492" ht="23" customHeight="1">
      <x:c r="A1492" s="7" t="str">
        <x:v>INV01487</x:v>
      </x:c>
      <x:c r="B1492" s="15" t="d">
        <x:v>2026-05-03T00:00:00.000Z</x:v>
      </x:c>
      <x:c r="C1492" s="14" t="d">
        <x:v>2026-05-01T00:00:00.000Z</x:v>
      </x:c>
      <x:c r="D1492" s="34" t="str">
        <x:v>0008</x:v>
      </x:c>
      <x:c r="E1492" s="7" t="str">
        <x:v>East</x:v>
      </x:c>
      <x:c r="F1492" s="7" t="n">
        <x:v>1</x:v>
      </x:c>
      <x:c r="G1492" s="7" t="n">
        <x:v>300</x:v>
      </x:c>
      <x:c r="H1492" s="9" t="n">
        <x:v>0.05</x:v>
      </x:c>
      <x:c r="I1492" s="7" t="n">
        <x:v>285</x:v>
      </x:c>
    </x:row>
    <x:row r="1493" ht="23" customHeight="1">
      <x:c r="A1493" s="7" t="str">
        <x:v>INV01488</x:v>
      </x:c>
      <x:c r="B1493" s="15" t="d">
        <x:v>2026-05-04T00:00:00.000Z</x:v>
      </x:c>
      <x:c r="C1493" s="14" t="d">
        <x:v>2026-05-01T00:00:00.000Z</x:v>
      </x:c>
      <x:c r="D1493" s="34" t="str">
        <x:v>0001</x:v>
      </x:c>
      <x:c r="E1493" s="7" t="str">
        <x:v>West</x:v>
      </x:c>
      <x:c r="F1493" s="7" t="n">
        <x:v>7</x:v>
      </x:c>
      <x:c r="G1493" s="7" t="n">
        <x:v>160</x:v>
      </x:c>
      <x:c r="H1493" s="9" t="n">
        <x:v>0</x:v>
      </x:c>
      <x:c r="I1493" s="7" t="n">
        <x:v>1120</x:v>
      </x:c>
    </x:row>
    <x:row r="1494" ht="23" customHeight="1">
      <x:c r="A1494" s="7" t="str">
        <x:v>INV01489</x:v>
      </x:c>
      <x:c r="B1494" s="15" t="d">
        <x:v>2026-05-05T00:00:00.000Z</x:v>
      </x:c>
      <x:c r="C1494" s="14" t="d">
        <x:v>2026-05-01T00:00:00.000Z</x:v>
      </x:c>
      <x:c r="D1494" s="34" t="str">
        <x:v>0002</x:v>
      </x:c>
      <x:c r="E1494" s="7" t="str">
        <x:v>West</x:v>
      </x:c>
      <x:c r="F1494" s="7" t="n">
        <x:v>1</x:v>
      </x:c>
      <x:c r="G1494" s="7" t="n">
        <x:v>180</x:v>
      </x:c>
      <x:c r="H1494" s="9" t="n">
        <x:v>0.02</x:v>
      </x:c>
      <x:c r="I1494" s="7" t="n">
        <x:v>176.4</x:v>
      </x:c>
    </x:row>
    <x:row r="1495" ht="23" customHeight="1">
      <x:c r="A1495" s="7" t="str">
        <x:v>INV01490</x:v>
      </x:c>
      <x:c r="B1495" s="15" t="d">
        <x:v>2026-05-06T00:00:00.000Z</x:v>
      </x:c>
      <x:c r="C1495" s="14" t="d">
        <x:v>2026-05-01T00:00:00.000Z</x:v>
      </x:c>
      <x:c r="D1495" s="34" t="str">
        <x:v>0003</x:v>
      </x:c>
      <x:c r="E1495" s="7" t="str">
        <x:v>West</x:v>
      </x:c>
      <x:c r="F1495" s="7" t="n">
        <x:v>3</x:v>
      </x:c>
      <x:c r="G1495" s="7" t="n">
        <x:v>200</x:v>
      </x:c>
      <x:c r="H1495" s="9" t="n">
        <x:v>0.05</x:v>
      </x:c>
      <x:c r="I1495" s="7" t="n">
        <x:v>570</x:v>
      </x:c>
    </x:row>
    <x:row r="1496" ht="23" customHeight="1">
      <x:c r="A1496" s="7" t="str">
        <x:v>INV01491</x:v>
      </x:c>
      <x:c r="B1496" s="15" t="d">
        <x:v>2026-05-07T00:00:00.000Z</x:v>
      </x:c>
      <x:c r="C1496" s="14" t="d">
        <x:v>2026-05-01T00:00:00.000Z</x:v>
      </x:c>
      <x:c r="D1496" s="34" t="str">
        <x:v>0004</x:v>
      </x:c>
      <x:c r="E1496" s="7" t="str">
        <x:v>West</x:v>
      </x:c>
      <x:c r="F1496" s="7" t="n">
        <x:v>2</x:v>
      </x:c>
      <x:c r="G1496" s="7" t="n">
        <x:v>220</x:v>
      </x:c>
      <x:c r="H1496" s="9" t="n">
        <x:v>0</x:v>
      </x:c>
      <x:c r="I1496" s="7" t="n">
        <x:v>440</x:v>
      </x:c>
    </x:row>
    <x:row r="1497" ht="23" customHeight="1">
      <x:c r="A1497" s="7" t="str">
        <x:v>INV01492</x:v>
      </x:c>
      <x:c r="B1497" s="15" t="d">
        <x:v>2026-05-08T00:00:00.000Z</x:v>
      </x:c>
      <x:c r="C1497" s="14" t="d">
        <x:v>2026-05-01T00:00:00.000Z</x:v>
      </x:c>
      <x:c r="D1497" s="34" t="str">
        <x:v>0005</x:v>
      </x:c>
      <x:c r="E1497" s="7" t="str">
        <x:v>West</x:v>
      </x:c>
      <x:c r="F1497" s="7" t="n">
        <x:v>1</x:v>
      </x:c>
      <x:c r="G1497" s="7" t="n">
        <x:v>240</x:v>
      </x:c>
      <x:c r="H1497" s="9" t="n">
        <x:v>0.02</x:v>
      </x:c>
      <x:c r="I1497" s="7" t="n">
        <x:v>235.2</x:v>
      </x:c>
    </x:row>
    <x:row r="1498" ht="23" customHeight="1">
      <x:c r="A1498" s="7" t="str">
        <x:v>INV01493</x:v>
      </x:c>
      <x:c r="B1498" s="15" t="d">
        <x:v>2026-05-09T00:00:00.000Z</x:v>
      </x:c>
      <x:c r="C1498" s="14" t="d">
        <x:v>2026-05-01T00:00:00.000Z</x:v>
      </x:c>
      <x:c r="D1498" s="34" t="str">
        <x:v>0006</x:v>
      </x:c>
      <x:c r="E1498" s="7" t="str">
        <x:v>West</x:v>
      </x:c>
      <x:c r="F1498" s="7" t="n">
        <x:v>6</x:v>
      </x:c>
      <x:c r="G1498" s="7" t="n">
        <x:v>260</x:v>
      </x:c>
      <x:c r="H1498" s="9" t="n">
        <x:v>0.05</x:v>
      </x:c>
      <x:c r="I1498" s="7" t="n">
        <x:v>1482</x:v>
      </x:c>
    </x:row>
    <x:row r="1499" ht="23" customHeight="1">
      <x:c r="A1499" s="7" t="str">
        <x:v>INV01494</x:v>
      </x:c>
      <x:c r="B1499" s="15" t="d">
        <x:v>2026-05-10T00:00:00.000Z</x:v>
      </x:c>
      <x:c r="C1499" s="14" t="d">
        <x:v>2026-05-01T00:00:00.000Z</x:v>
      </x:c>
      <x:c r="D1499" s="34" t="str">
        <x:v>0007</x:v>
      </x:c>
      <x:c r="E1499" s="7" t="str">
        <x:v>West</x:v>
      </x:c>
      <x:c r="F1499" s="7" t="n">
        <x:v>5</x:v>
      </x:c>
      <x:c r="G1499" s="7" t="n">
        <x:v>280</x:v>
      </x:c>
      <x:c r="H1499" s="9" t="n">
        <x:v>0</x:v>
      </x:c>
      <x:c r="I1499" s="7" t="n">
        <x:v>1400</x:v>
      </x:c>
    </x:row>
    <x:row r="1500" ht="23" customHeight="1">
      <x:c r="A1500" s="7" t="str">
        <x:v>INV01495</x:v>
      </x:c>
      <x:c r="B1500" s="15" t="d">
        <x:v>2026-05-11T00:00:00.000Z</x:v>
      </x:c>
      <x:c r="C1500" s="14" t="d">
        <x:v>2026-05-01T00:00:00.000Z</x:v>
      </x:c>
      <x:c r="D1500" s="34" t="str">
        <x:v>0008</x:v>
      </x:c>
      <x:c r="E1500" s="7" t="str">
        <x:v>West</x:v>
      </x:c>
      <x:c r="F1500" s="7" t="n">
        <x:v>5</x:v>
      </x:c>
      <x:c r="G1500" s="7" t="n">
        <x:v>300</x:v>
      </x:c>
      <x:c r="H1500" s="9" t="n">
        <x:v>0.02</x:v>
      </x:c>
      <x:c r="I1500" s="7" t="n">
        <x:v>1470</x:v>
      </x:c>
    </x:row>
    <x:row r="1501" ht="23" customHeight="1">
      <x:c r="A1501" s="7" t="str">
        <x:v>INV01496</x:v>
      </x:c>
      <x:c r="B1501" s="15" t="d">
        <x:v>2026-05-12T00:00:00.000Z</x:v>
      </x:c>
      <x:c r="C1501" s="14" t="d">
        <x:v>2026-05-01T00:00:00.000Z</x:v>
      </x:c>
      <x:c r="D1501" s="34" t="str">
        <x:v>0001</x:v>
      </x:c>
      <x:c r="E1501" s="7" t="str">
        <x:v>North</x:v>
      </x:c>
      <x:c r="F1501" s="7" t="n">
        <x:v>6</x:v>
      </x:c>
      <x:c r="G1501" s="7" t="n">
        <x:v>160</x:v>
      </x:c>
      <x:c r="H1501" s="9" t="n">
        <x:v>0.05</x:v>
      </x:c>
      <x:c r="I1501" s="7" t="n">
        <x:v>912</x:v>
      </x:c>
    </x:row>
    <x:row r="1502" ht="23" customHeight="1">
      <x:c r="A1502" s="7" t="str">
        <x:v>INV01497</x:v>
      </x:c>
      <x:c r="B1502" s="15" t="d">
        <x:v>2026-05-13T00:00:00.000Z</x:v>
      </x:c>
      <x:c r="C1502" s="14" t="d">
        <x:v>2026-05-01T00:00:00.000Z</x:v>
      </x:c>
      <x:c r="D1502" s="34" t="str">
        <x:v>0002</x:v>
      </x:c>
      <x:c r="E1502" s="7" t="str">
        <x:v>North</x:v>
      </x:c>
      <x:c r="F1502" s="7" t="n">
        <x:v>4</x:v>
      </x:c>
      <x:c r="G1502" s="7" t="n">
        <x:v>180</x:v>
      </x:c>
      <x:c r="H1502" s="9" t="n">
        <x:v>0</x:v>
      </x:c>
      <x:c r="I1502" s="7" t="n">
        <x:v>720</x:v>
      </x:c>
    </x:row>
    <x:row r="1503" ht="23" customHeight="1">
      <x:c r="A1503" s="7" t="str">
        <x:v>INV01498</x:v>
      </x:c>
      <x:c r="B1503" s="15" t="d">
        <x:v>2026-05-14T00:00:00.000Z</x:v>
      </x:c>
      <x:c r="C1503" s="14" t="d">
        <x:v>2026-05-01T00:00:00.000Z</x:v>
      </x:c>
      <x:c r="D1503" s="34" t="str">
        <x:v>0003</x:v>
      </x:c>
      <x:c r="E1503" s="7" t="str">
        <x:v>North</x:v>
      </x:c>
      <x:c r="F1503" s="7" t="n">
        <x:v>3</x:v>
      </x:c>
      <x:c r="G1503" s="7" t="n">
        <x:v>200</x:v>
      </x:c>
      <x:c r="H1503" s="9" t="n">
        <x:v>0.02</x:v>
      </x:c>
      <x:c r="I1503" s="7" t="n">
        <x:v>588</x:v>
      </x:c>
    </x:row>
    <x:row r="1504" ht="23" customHeight="1">
      <x:c r="A1504" s="7" t="str">
        <x:v>INV01499</x:v>
      </x:c>
      <x:c r="B1504" s="15" t="d">
        <x:v>2026-05-15T00:00:00.000Z</x:v>
      </x:c>
      <x:c r="C1504" s="14" t="d">
        <x:v>2026-05-01T00:00:00.000Z</x:v>
      </x:c>
      <x:c r="D1504" s="34" t="str">
        <x:v>0004</x:v>
      </x:c>
      <x:c r="E1504" s="7" t="str">
        <x:v>North</x:v>
      </x:c>
      <x:c r="F1504" s="7" t="n">
        <x:v>6</x:v>
      </x:c>
      <x:c r="G1504" s="7" t="n">
        <x:v>220</x:v>
      </x:c>
      <x:c r="H1504" s="9" t="n">
        <x:v>0.05</x:v>
      </x:c>
      <x:c r="I1504" s="7" t="n">
        <x:v>1254</x:v>
      </x:c>
    </x:row>
    <x:row r="1505" ht="23" customHeight="1">
      <x:c r="A1505" s="7" t="str">
        <x:v>INV01500</x:v>
      </x:c>
      <x:c r="B1505" s="15" t="d">
        <x:v>2026-05-16T00:00:00.000Z</x:v>
      </x:c>
      <x:c r="C1505" s="14" t="d">
        <x:v>2026-05-01T00:00:00.000Z</x:v>
      </x:c>
      <x:c r="D1505" s="34" t="str">
        <x:v>0005</x:v>
      </x:c>
      <x:c r="E1505" s="7" t="str">
        <x:v>North</x:v>
      </x:c>
      <x:c r="F1505" s="7" t="n">
        <x:v>5</x:v>
      </x:c>
      <x:c r="G1505" s="7" t="n">
        <x:v>240</x:v>
      </x:c>
      <x:c r="H1505" s="9" t="n">
        <x:v>0</x:v>
      </x:c>
      <x:c r="I1505" s="7" t="n">
        <x:v>1200</x:v>
      </x:c>
    </x:row>
    <x:row r="1506" ht="23" customHeight="1">
      <x:c r="A1506" s="7" t="str">
        <x:v>INV01501</x:v>
      </x:c>
      <x:c r="B1506" s="15" t="d">
        <x:v>2026-05-17T00:00:00.000Z</x:v>
      </x:c>
      <x:c r="C1506" s="14" t="d">
        <x:v>2026-05-01T00:00:00.000Z</x:v>
      </x:c>
      <x:c r="D1506" s="34" t="str">
        <x:v>0006</x:v>
      </x:c>
      <x:c r="E1506" s="7" t="str">
        <x:v>North</x:v>
      </x:c>
      <x:c r="F1506" s="7" t="n">
        <x:v>7</x:v>
      </x:c>
      <x:c r="G1506" s="7" t="n">
        <x:v>260</x:v>
      </x:c>
      <x:c r="H1506" s="9" t="n">
        <x:v>0.02</x:v>
      </x:c>
      <x:c r="I1506" s="7" t="n">
        <x:v>1783.6</x:v>
      </x:c>
    </x:row>
    <x:row r="1507" ht="23" customHeight="1">
      <x:c r="A1507" s="7" t="str">
        <x:v>INV01502</x:v>
      </x:c>
      <x:c r="B1507" s="15" t="d">
        <x:v>2026-05-18T00:00:00.000Z</x:v>
      </x:c>
      <x:c r="C1507" s="14" t="d">
        <x:v>2026-05-01T00:00:00.000Z</x:v>
      </x:c>
      <x:c r="D1507" s="34" t="str">
        <x:v>0007</x:v>
      </x:c>
      <x:c r="E1507" s="7" t="str">
        <x:v>North</x:v>
      </x:c>
      <x:c r="F1507" s="7" t="n">
        <x:v>7</x:v>
      </x:c>
      <x:c r="G1507" s="7" t="n">
        <x:v>280</x:v>
      </x:c>
      <x:c r="H1507" s="9" t="n">
        <x:v>0.05</x:v>
      </x:c>
      <x:c r="I1507" s="7" t="n">
        <x:v>1862</x:v>
      </x:c>
    </x:row>
    <x:row r="1508" ht="23" customHeight="1">
      <x:c r="A1508" s="7" t="str">
        <x:v>INV01503</x:v>
      </x:c>
      <x:c r="B1508" s="15" t="d">
        <x:v>2026-05-19T00:00:00.000Z</x:v>
      </x:c>
      <x:c r="C1508" s="14" t="d">
        <x:v>2026-05-01T00:00:00.000Z</x:v>
      </x:c>
      <x:c r="D1508" s="34" t="str">
        <x:v>0008</x:v>
      </x:c>
      <x:c r="E1508" s="7" t="str">
        <x:v>North</x:v>
      </x:c>
      <x:c r="F1508" s="7" t="n">
        <x:v>1</x:v>
      </x:c>
      <x:c r="G1508" s="7" t="n">
        <x:v>300</x:v>
      </x:c>
      <x:c r="H1508" s="9" t="n">
        <x:v>0</x:v>
      </x:c>
      <x:c r="I1508" s="7" t="n">
        <x:v>300</x:v>
      </x:c>
    </x:row>
    <x:row r="1509" ht="23" customHeight="1">
      <x:c r="A1509" s="7" t="str">
        <x:v>INV01504</x:v>
      </x:c>
      <x:c r="B1509" s="15" t="d">
        <x:v>2026-06-20T00:00:00.000Z</x:v>
      </x:c>
      <x:c r="C1509" s="14" t="d">
        <x:v>2026-06-01T00:00:00.000Z</x:v>
      </x:c>
      <x:c r="D1509" s="34" t="str">
        <x:v>0001</x:v>
      </x:c>
      <x:c r="E1509" s="7" t="str">
        <x:v>Central</x:v>
      </x:c>
      <x:c r="F1509" s="7" t="n">
        <x:v>5</x:v>
      </x:c>
      <x:c r="G1509" s="7" t="n">
        <x:v>160</x:v>
      </x:c>
      <x:c r="H1509" s="9" t="n">
        <x:v>0.02</x:v>
      </x:c>
      <x:c r="I1509" s="7" t="n">
        <x:v>784</x:v>
      </x:c>
    </x:row>
    <x:row r="1510" ht="23" customHeight="1">
      <x:c r="A1510" s="7" t="str">
        <x:v>INV01505</x:v>
      </x:c>
      <x:c r="B1510" s="15" t="d">
        <x:v>2026-06-21T00:00:00.000Z</x:v>
      </x:c>
      <x:c r="C1510" s="14" t="d">
        <x:v>2026-06-01T00:00:00.000Z</x:v>
      </x:c>
      <x:c r="D1510" s="34" t="str">
        <x:v>0002</x:v>
      </x:c>
      <x:c r="E1510" s="7" t="str">
        <x:v>Central</x:v>
      </x:c>
      <x:c r="F1510" s="7" t="n">
        <x:v>2</x:v>
      </x:c>
      <x:c r="G1510" s="7" t="n">
        <x:v>180</x:v>
      </x:c>
      <x:c r="H1510" s="9" t="n">
        <x:v>0.05</x:v>
      </x:c>
      <x:c r="I1510" s="7" t="n">
        <x:v>342</x:v>
      </x:c>
    </x:row>
    <x:row r="1511" ht="23" customHeight="1">
      <x:c r="A1511" s="7" t="str">
        <x:v>INV01506</x:v>
      </x:c>
      <x:c r="B1511" s="15" t="d">
        <x:v>2026-06-22T00:00:00.000Z</x:v>
      </x:c>
      <x:c r="C1511" s="14" t="d">
        <x:v>2026-06-01T00:00:00.000Z</x:v>
      </x:c>
      <x:c r="D1511" s="34" t="str">
        <x:v>0003</x:v>
      </x:c>
      <x:c r="E1511" s="7" t="str">
        <x:v>Central</x:v>
      </x:c>
      <x:c r="F1511" s="7" t="n">
        <x:v>3</x:v>
      </x:c>
      <x:c r="G1511" s="7" t="n">
        <x:v>200</x:v>
      </x:c>
      <x:c r="H1511" s="9" t="n">
        <x:v>0</x:v>
      </x:c>
      <x:c r="I1511" s="7" t="n">
        <x:v>600</x:v>
      </x:c>
    </x:row>
    <x:row r="1512" ht="23" customHeight="1">
      <x:c r="A1512" s="7" t="str">
        <x:v>INV01507</x:v>
      </x:c>
      <x:c r="B1512" s="15" t="d">
        <x:v>2026-06-23T00:00:00.000Z</x:v>
      </x:c>
      <x:c r="C1512" s="14" t="d">
        <x:v>2026-06-01T00:00:00.000Z</x:v>
      </x:c>
      <x:c r="D1512" s="34" t="str">
        <x:v>0004</x:v>
      </x:c>
      <x:c r="E1512" s="7" t="str">
        <x:v>Central</x:v>
      </x:c>
      <x:c r="F1512" s="7" t="n">
        <x:v>6</x:v>
      </x:c>
      <x:c r="G1512" s="7" t="n">
        <x:v>220</x:v>
      </x:c>
      <x:c r="H1512" s="9" t="n">
        <x:v>0.02</x:v>
      </x:c>
      <x:c r="I1512" s="7" t="n">
        <x:v>1293.6</x:v>
      </x:c>
    </x:row>
    <x:row r="1513" ht="23" customHeight="1">
      <x:c r="A1513" s="7" t="str">
        <x:v>INV01508</x:v>
      </x:c>
      <x:c r="B1513" s="15" t="d">
        <x:v>2026-06-24T00:00:00.000Z</x:v>
      </x:c>
      <x:c r="C1513" s="14" t="d">
        <x:v>2026-06-01T00:00:00.000Z</x:v>
      </x:c>
      <x:c r="D1513" s="34" t="str">
        <x:v>0005</x:v>
      </x:c>
      <x:c r="E1513" s="7" t="str">
        <x:v>Central</x:v>
      </x:c>
      <x:c r="F1513" s="7" t="n">
        <x:v>7</x:v>
      </x:c>
      <x:c r="G1513" s="7" t="n">
        <x:v>240</x:v>
      </x:c>
      <x:c r="H1513" s="9" t="n">
        <x:v>0.05</x:v>
      </x:c>
      <x:c r="I1513" s="7" t="n">
        <x:v>1596</x:v>
      </x:c>
    </x:row>
    <x:row r="1514" ht="23" customHeight="1">
      <x:c r="A1514" s="7" t="str">
        <x:v>INV01509</x:v>
      </x:c>
      <x:c r="B1514" s="15" t="d">
        <x:v>2026-06-25T00:00:00.000Z</x:v>
      </x:c>
      <x:c r="C1514" s="14" t="d">
        <x:v>2026-06-01T00:00:00.000Z</x:v>
      </x:c>
      <x:c r="D1514" s="34" t="str">
        <x:v>0006</x:v>
      </x:c>
      <x:c r="E1514" s="7" t="str">
        <x:v>Central</x:v>
      </x:c>
      <x:c r="F1514" s="7" t="n">
        <x:v>7</x:v>
      </x:c>
      <x:c r="G1514" s="7" t="n">
        <x:v>260</x:v>
      </x:c>
      <x:c r="H1514" s="9" t="n">
        <x:v>0</x:v>
      </x:c>
      <x:c r="I1514" s="7" t="n">
        <x:v>1820</x:v>
      </x:c>
    </x:row>
    <x:row r="1515" ht="23" customHeight="1">
      <x:c r="A1515" s="7" t="str">
        <x:v>INV01510</x:v>
      </x:c>
      <x:c r="B1515" s="15" t="d">
        <x:v>2026-06-26T00:00:00.000Z</x:v>
      </x:c>
      <x:c r="C1515" s="14" t="d">
        <x:v>2026-06-01T00:00:00.000Z</x:v>
      </x:c>
      <x:c r="D1515" s="34" t="str">
        <x:v>0007</x:v>
      </x:c>
      <x:c r="E1515" s="7" t="str">
        <x:v>Central</x:v>
      </x:c>
      <x:c r="F1515" s="7" t="n">
        <x:v>6</x:v>
      </x:c>
      <x:c r="G1515" s="7" t="n">
        <x:v>280</x:v>
      </x:c>
      <x:c r="H1515" s="9" t="n">
        <x:v>0.02</x:v>
      </x:c>
      <x:c r="I1515" s="7" t="n">
        <x:v>1646.4</x:v>
      </x:c>
    </x:row>
    <x:row r="1516" ht="23" customHeight="1">
      <x:c r="A1516" s="7" t="str">
        <x:v>INV01511</x:v>
      </x:c>
      <x:c r="B1516" s="15" t="d">
        <x:v>2026-06-27T00:00:00.000Z</x:v>
      </x:c>
      <x:c r="C1516" s="14" t="d">
        <x:v>2026-06-01T00:00:00.000Z</x:v>
      </x:c>
      <x:c r="D1516" s="34" t="str">
        <x:v>0008</x:v>
      </x:c>
      <x:c r="E1516" s="7" t="str">
        <x:v>Central</x:v>
      </x:c>
      <x:c r="F1516" s="7" t="n">
        <x:v>5</x:v>
      </x:c>
      <x:c r="G1516" s="7" t="n">
        <x:v>300</x:v>
      </x:c>
      <x:c r="H1516" s="9" t="n">
        <x:v>0.05</x:v>
      </x:c>
      <x:c r="I1516" s="7" t="n">
        <x:v>1425</x:v>
      </x:c>
    </x:row>
    <x:row r="1517" ht="23" customHeight="1">
      <x:c r="A1517" s="7" t="str">
        <x:v>INV01512</x:v>
      </x:c>
      <x:c r="B1517" s="15" t="d">
        <x:v>2026-06-01T00:00:00.000Z</x:v>
      </x:c>
      <x:c r="C1517" s="14" t="d">
        <x:v>2026-06-01T00:00:00.000Z</x:v>
      </x:c>
      <x:c r="D1517" s="34" t="str">
        <x:v>0001</x:v>
      </x:c>
      <x:c r="E1517" s="7" t="str">
        <x:v>East</x:v>
      </x:c>
      <x:c r="F1517" s="7" t="n">
        <x:v>4</x:v>
      </x:c>
      <x:c r="G1517" s="7" t="n">
        <x:v>160</x:v>
      </x:c>
      <x:c r="H1517" s="9" t="n">
        <x:v>0</x:v>
      </x:c>
      <x:c r="I1517" s="7" t="n">
        <x:v>640</x:v>
      </x:c>
    </x:row>
    <x:row r="1518" ht="23" customHeight="1">
      <x:c r="A1518" s="7" t="str">
        <x:v>INV01513</x:v>
      </x:c>
      <x:c r="B1518" s="15" t="d">
        <x:v>2026-06-02T00:00:00.000Z</x:v>
      </x:c>
      <x:c r="C1518" s="14" t="d">
        <x:v>2026-06-01T00:00:00.000Z</x:v>
      </x:c>
      <x:c r="D1518" s="34" t="str">
        <x:v>0002</x:v>
      </x:c>
      <x:c r="E1518" s="7" t="str">
        <x:v>East</x:v>
      </x:c>
      <x:c r="F1518" s="7" t="n">
        <x:v>7</x:v>
      </x:c>
      <x:c r="G1518" s="7" t="n">
        <x:v>180</x:v>
      </x:c>
      <x:c r="H1518" s="9" t="n">
        <x:v>0.02</x:v>
      </x:c>
      <x:c r="I1518" s="7" t="n">
        <x:v>1234.8</x:v>
      </x:c>
    </x:row>
    <x:row r="1519" ht="23" customHeight="1">
      <x:c r="A1519" s="7" t="str">
        <x:v>INV01514</x:v>
      </x:c>
      <x:c r="B1519" s="15" t="d">
        <x:v>2026-06-03T00:00:00.000Z</x:v>
      </x:c>
      <x:c r="C1519" s="14" t="d">
        <x:v>2026-06-01T00:00:00.000Z</x:v>
      </x:c>
      <x:c r="D1519" s="34" t="str">
        <x:v>0003</x:v>
      </x:c>
      <x:c r="E1519" s="7" t="str">
        <x:v>East</x:v>
      </x:c>
      <x:c r="F1519" s="7" t="n">
        <x:v>4</x:v>
      </x:c>
      <x:c r="G1519" s="7" t="n">
        <x:v>200</x:v>
      </x:c>
      <x:c r="H1519" s="9" t="n">
        <x:v>0.05</x:v>
      </x:c>
      <x:c r="I1519" s="7" t="n">
        <x:v>760</x:v>
      </x:c>
    </x:row>
    <x:row r="1520" ht="23" customHeight="1">
      <x:c r="A1520" s="7" t="str">
        <x:v>INV01515</x:v>
      </x:c>
      <x:c r="B1520" s="15" t="d">
        <x:v>2026-06-04T00:00:00.000Z</x:v>
      </x:c>
      <x:c r="C1520" s="14" t="d">
        <x:v>2026-06-01T00:00:00.000Z</x:v>
      </x:c>
      <x:c r="D1520" s="34" t="str">
        <x:v>0004</x:v>
      </x:c>
      <x:c r="E1520" s="7" t="str">
        <x:v>East</x:v>
      </x:c>
      <x:c r="F1520" s="7" t="n">
        <x:v>6</x:v>
      </x:c>
      <x:c r="G1520" s="7" t="n">
        <x:v>220</x:v>
      </x:c>
      <x:c r="H1520" s="9" t="n">
        <x:v>0</x:v>
      </x:c>
      <x:c r="I1520" s="7" t="n">
        <x:v>1320</x:v>
      </x:c>
    </x:row>
    <x:row r="1521" ht="23" customHeight="1">
      <x:c r="A1521" s="7" t="str">
        <x:v>INV01516</x:v>
      </x:c>
      <x:c r="B1521" s="15" t="d">
        <x:v>2026-06-05T00:00:00.000Z</x:v>
      </x:c>
      <x:c r="C1521" s="14" t="d">
        <x:v>2026-06-01T00:00:00.000Z</x:v>
      </x:c>
      <x:c r="D1521" s="34" t="str">
        <x:v>0005</x:v>
      </x:c>
      <x:c r="E1521" s="7" t="str">
        <x:v>East</x:v>
      </x:c>
      <x:c r="F1521" s="7" t="n">
        <x:v>4</x:v>
      </x:c>
      <x:c r="G1521" s="7" t="n">
        <x:v>240</x:v>
      </x:c>
      <x:c r="H1521" s="9" t="n">
        <x:v>0.02</x:v>
      </x:c>
      <x:c r="I1521" s="7" t="n">
        <x:v>940.8</x:v>
      </x:c>
    </x:row>
    <x:row r="1522" ht="23" customHeight="1">
      <x:c r="A1522" s="7" t="str">
        <x:v>INV01517</x:v>
      </x:c>
      <x:c r="B1522" s="15" t="d">
        <x:v>2026-06-06T00:00:00.000Z</x:v>
      </x:c>
      <x:c r="C1522" s="14" t="d">
        <x:v>2026-06-01T00:00:00.000Z</x:v>
      </x:c>
      <x:c r="D1522" s="34" t="str">
        <x:v>0006</x:v>
      </x:c>
      <x:c r="E1522" s="7" t="str">
        <x:v>East</x:v>
      </x:c>
      <x:c r="F1522" s="7" t="n">
        <x:v>-1</x:v>
      </x:c>
      <x:c r="G1522" s="7" t="n">
        <x:v>260</x:v>
      </x:c>
      <x:c r="H1522" s="9" t="n">
        <x:v>0.05</x:v>
      </x:c>
      <x:c r="I1522" s="7" t="n">
        <x:v>-247</x:v>
      </x:c>
    </x:row>
    <x:row r="1523" ht="23" customHeight="1">
      <x:c r="A1523" s="7" t="str">
        <x:v>INV01518</x:v>
      </x:c>
      <x:c r="B1523" s="15" t="d">
        <x:v>2026-06-07T00:00:00.000Z</x:v>
      </x:c>
      <x:c r="C1523" s="14" t="d">
        <x:v>2026-06-01T00:00:00.000Z</x:v>
      </x:c>
      <x:c r="D1523" s="34" t="str">
        <x:v>0007</x:v>
      </x:c>
      <x:c r="E1523" s="7" t="str">
        <x:v>East</x:v>
      </x:c>
      <x:c r="F1523" s="7" t="n">
        <x:v>5</x:v>
      </x:c>
      <x:c r="G1523" s="7" t="n">
        <x:v>280</x:v>
      </x:c>
      <x:c r="H1523" s="9" t="n">
        <x:v>0</x:v>
      </x:c>
      <x:c r="I1523" s="7" t="n">
        <x:v>1400</x:v>
      </x:c>
    </x:row>
    <x:row r="1524" ht="23" customHeight="1">
      <x:c r="A1524" s="7" t="str">
        <x:v>INV01519</x:v>
      </x:c>
      <x:c r="B1524" s="15" t="d">
        <x:v>2026-06-08T00:00:00.000Z</x:v>
      </x:c>
      <x:c r="C1524" s="14" t="d">
        <x:v>2026-06-01T00:00:00.000Z</x:v>
      </x:c>
      <x:c r="D1524" s="34" t="str">
        <x:v>0008</x:v>
      </x:c>
      <x:c r="E1524" s="7" t="str">
        <x:v>East</x:v>
      </x:c>
      <x:c r="F1524" s="7" t="n">
        <x:v>2</x:v>
      </x:c>
      <x:c r="G1524" s="7" t="n">
        <x:v>300</x:v>
      </x:c>
      <x:c r="H1524" s="9" t="n">
        <x:v>0.02</x:v>
      </x:c>
      <x:c r="I1524" s="7" t="n">
        <x:v>588</x:v>
      </x:c>
    </x:row>
    <x:row r="1525" ht="23" customHeight="1">
      <x:c r="A1525" s="7" t="str">
        <x:v>INV01520</x:v>
      </x:c>
      <x:c r="B1525" s="15" t="d">
        <x:v>2026-06-09T00:00:00.000Z</x:v>
      </x:c>
      <x:c r="C1525" s="14" t="d">
        <x:v>2026-06-01T00:00:00.000Z</x:v>
      </x:c>
      <x:c r="D1525" s="34" t="str">
        <x:v>0001</x:v>
      </x:c>
      <x:c r="E1525" s="7" t="str">
        <x:v>West</x:v>
      </x:c>
      <x:c r="F1525" s="7" t="n">
        <x:v>3</x:v>
      </x:c>
      <x:c r="G1525" s="7" t="n">
        <x:v>160</x:v>
      </x:c>
      <x:c r="H1525" s="9" t="n">
        <x:v>0.05</x:v>
      </x:c>
      <x:c r="I1525" s="7" t="n">
        <x:v>456</x:v>
      </x:c>
    </x:row>
    <x:row r="1526" ht="23" customHeight="1">
      <x:c r="A1526" s="7" t="str">
        <x:v>INV01521</x:v>
      </x:c>
      <x:c r="B1526" s="15" t="d">
        <x:v>2026-06-10T00:00:00.000Z</x:v>
      </x:c>
      <x:c r="C1526" s="14" t="d">
        <x:v>2026-06-01T00:00:00.000Z</x:v>
      </x:c>
      <x:c r="D1526" s="34" t="str">
        <x:v>0002</x:v>
      </x:c>
      <x:c r="E1526" s="7" t="str">
        <x:v>West</x:v>
      </x:c>
      <x:c r="F1526" s="7" t="n">
        <x:v>3</x:v>
      </x:c>
      <x:c r="G1526" s="7" t="n">
        <x:v>180</x:v>
      </x:c>
      <x:c r="H1526" s="9" t="n">
        <x:v>0</x:v>
      </x:c>
      <x:c r="I1526" s="7" t="n">
        <x:v>540</x:v>
      </x:c>
    </x:row>
    <x:row r="1527" ht="23" customHeight="1">
      <x:c r="A1527" s="7" t="str">
        <x:v>INV01522</x:v>
      </x:c>
      <x:c r="B1527" s="15" t="d">
        <x:v>2026-06-11T00:00:00.000Z</x:v>
      </x:c>
      <x:c r="C1527" s="14" t="d">
        <x:v>2026-06-01T00:00:00.000Z</x:v>
      </x:c>
      <x:c r="D1527" s="34" t="str">
        <x:v>0003</x:v>
      </x:c>
      <x:c r="E1527" s="7" t="str">
        <x:v>West</x:v>
      </x:c>
      <x:c r="F1527" s="7" t="n">
        <x:v>5</x:v>
      </x:c>
      <x:c r="G1527" s="7" t="n">
        <x:v>200</x:v>
      </x:c>
      <x:c r="H1527" s="9" t="n">
        <x:v>0.02</x:v>
      </x:c>
      <x:c r="I1527" s="7" t="n">
        <x:v>980</x:v>
      </x:c>
    </x:row>
    <x:row r="1528" ht="23" customHeight="1">
      <x:c r="A1528" s="7" t="str">
        <x:v>INV01523</x:v>
      </x:c>
      <x:c r="B1528" s="15" t="d">
        <x:v>2026-06-12T00:00:00.000Z</x:v>
      </x:c>
      <x:c r="C1528" s="14" t="d">
        <x:v>2026-06-01T00:00:00.000Z</x:v>
      </x:c>
      <x:c r="D1528" s="34" t="str">
        <x:v>0004</x:v>
      </x:c>
      <x:c r="E1528" s="7" t="str">
        <x:v>West</x:v>
      </x:c>
      <x:c r="F1528" s="7" t="n">
        <x:v>7</x:v>
      </x:c>
      <x:c r="G1528" s="7" t="n">
        <x:v>220</x:v>
      </x:c>
      <x:c r="H1528" s="9" t="n">
        <x:v>0.05</x:v>
      </x:c>
      <x:c r="I1528" s="7" t="n">
        <x:v>1463</x:v>
      </x:c>
    </x:row>
    <x:row r="1529" ht="23" customHeight="1">
      <x:c r="A1529" s="7" t="str">
        <x:v>INV01524</x:v>
      </x:c>
      <x:c r="B1529" s="15" t="d">
        <x:v>2026-06-13T00:00:00.000Z</x:v>
      </x:c>
      <x:c r="C1529" s="14" t="d">
        <x:v>2026-06-01T00:00:00.000Z</x:v>
      </x:c>
      <x:c r="D1529" s="34" t="str">
        <x:v>0005</x:v>
      </x:c>
      <x:c r="E1529" s="7" t="str">
        <x:v>West</x:v>
      </x:c>
      <x:c r="F1529" s="7" t="n">
        <x:v>2</x:v>
      </x:c>
      <x:c r="G1529" s="7" t="n">
        <x:v>240</x:v>
      </x:c>
      <x:c r="H1529" s="9" t="n">
        <x:v>0</x:v>
      </x:c>
      <x:c r="I1529" s="7" t="n">
        <x:v>480</x:v>
      </x:c>
    </x:row>
    <x:row r="1530" ht="23" customHeight="1">
      <x:c r="A1530" s="7" t="str">
        <x:v>INV01525</x:v>
      </x:c>
      <x:c r="B1530" s="15" t="d">
        <x:v>2026-06-14T00:00:00.000Z</x:v>
      </x:c>
      <x:c r="C1530" s="14" t="d">
        <x:v>2026-06-01T00:00:00.000Z</x:v>
      </x:c>
      <x:c r="D1530" s="34" t="str">
        <x:v>0006</x:v>
      </x:c>
      <x:c r="E1530" s="7" t="str">
        <x:v>West</x:v>
      </x:c>
      <x:c r="F1530" s="7" t="n">
        <x:v>2</x:v>
      </x:c>
      <x:c r="G1530" s="7" t="n">
        <x:v>260</x:v>
      </x:c>
      <x:c r="H1530" s="9" t="n">
        <x:v>0.02</x:v>
      </x:c>
      <x:c r="I1530" s="7" t="n">
        <x:v>509.6</x:v>
      </x:c>
    </x:row>
    <x:row r="1531" ht="23" customHeight="1">
      <x:c r="A1531" s="7" t="str">
        <x:v>INV01526</x:v>
      </x:c>
      <x:c r="B1531" s="15" t="d">
        <x:v>2026-06-15T00:00:00.000Z</x:v>
      </x:c>
      <x:c r="C1531" s="14" t="d">
        <x:v>2026-06-01T00:00:00.000Z</x:v>
      </x:c>
      <x:c r="D1531" s="34" t="str">
        <x:v>0007</x:v>
      </x:c>
      <x:c r="E1531" s="7" t="str">
        <x:v>West</x:v>
      </x:c>
      <x:c r="F1531" s="7" t="n">
        <x:v>4</x:v>
      </x:c>
      <x:c r="G1531" s="7" t="n">
        <x:v>280</x:v>
      </x:c>
      <x:c r="H1531" s="9" t="n">
        <x:v>0.05</x:v>
      </x:c>
      <x:c r="I1531" s="7" t="n">
        <x:v>1064</x:v>
      </x:c>
    </x:row>
    <x:row r="1532" ht="23" customHeight="1">
      <x:c r="A1532" s="7" t="str">
        <x:v>INV01527</x:v>
      </x:c>
      <x:c r="B1532" s="15" t="d">
        <x:v>2026-06-16T00:00:00.000Z</x:v>
      </x:c>
      <x:c r="C1532" s="14" t="d">
        <x:v>2026-06-01T00:00:00.000Z</x:v>
      </x:c>
      <x:c r="D1532" s="34" t="str">
        <x:v>0008</x:v>
      </x:c>
      <x:c r="E1532" s="7" t="str">
        <x:v>West</x:v>
      </x:c>
      <x:c r="F1532" s="7" t="n">
        <x:v>3</x:v>
      </x:c>
      <x:c r="G1532" s="7" t="n">
        <x:v>300</x:v>
      </x:c>
      <x:c r="H1532" s="9" t="n">
        <x:v>0</x:v>
      </x:c>
      <x:c r="I1532" s="7" t="n">
        <x:v>900</x:v>
      </x:c>
    </x:row>
    <x:row r="1533" ht="23" customHeight="1">
      <x:c r="A1533" s="7" t="str">
        <x:v>INV01528</x:v>
      </x:c>
      <x:c r="B1533" s="15" t="d">
        <x:v>2026-06-17T00:00:00.000Z</x:v>
      </x:c>
      <x:c r="C1533" s="14" t="d">
        <x:v>2026-06-01T00:00:00.000Z</x:v>
      </x:c>
      <x:c r="D1533" s="34" t="str">
        <x:v>0001</x:v>
      </x:c>
      <x:c r="E1533" s="7" t="str">
        <x:v>North</x:v>
      </x:c>
      <x:c r="F1533" s="7" t="n">
        <x:v>6</x:v>
      </x:c>
      <x:c r="G1533" s="7" t="n">
        <x:v>160</x:v>
      </x:c>
      <x:c r="H1533" s="9" t="n">
        <x:v>0.02</x:v>
      </x:c>
      <x:c r="I1533" s="7" t="n">
        <x:v>940.8</x:v>
      </x:c>
    </x:row>
    <x:row r="1534" ht="23" customHeight="1">
      <x:c r="A1534" s="7" t="str">
        <x:v>INV01529</x:v>
      </x:c>
      <x:c r="B1534" s="15" t="d">
        <x:v>2026-06-18T00:00:00.000Z</x:v>
      </x:c>
      <x:c r="C1534" s="14" t="d">
        <x:v>2026-06-01T00:00:00.000Z</x:v>
      </x:c>
      <x:c r="D1534" s="34" t="str">
        <x:v>0002</x:v>
      </x:c>
      <x:c r="E1534" s="7" t="str">
        <x:v>North</x:v>
      </x:c>
      <x:c r="F1534" s="7" t="n">
        <x:v>2</x:v>
      </x:c>
      <x:c r="G1534" s="7" t="n">
        <x:v>180</x:v>
      </x:c>
      <x:c r="H1534" s="9" t="n">
        <x:v>0.05</x:v>
      </x:c>
      <x:c r="I1534" s="7" t="n">
        <x:v>342</x:v>
      </x:c>
    </x:row>
    <x:row r="1535" ht="23" customHeight="1">
      <x:c r="A1535" s="7" t="str">
        <x:v>INV01530</x:v>
      </x:c>
      <x:c r="B1535" s="15" t="d">
        <x:v>2026-06-19T00:00:00.000Z</x:v>
      </x:c>
      <x:c r="C1535" s="14" t="d">
        <x:v>2026-06-01T00:00:00.000Z</x:v>
      </x:c>
      <x:c r="D1535" s="34" t="str">
        <x:v>0003</x:v>
      </x:c>
      <x:c r="E1535" s="7" t="str">
        <x:v>North</x:v>
      </x:c>
      <x:c r="F1535" s="7" t="n">
        <x:v>4</x:v>
      </x:c>
      <x:c r="G1535" s="7" t="n">
        <x:v>200</x:v>
      </x:c>
      <x:c r="H1535" s="9" t="n">
        <x:v>0</x:v>
      </x:c>
      <x:c r="I1535" s="7" t="n">
        <x:v>800</x:v>
      </x:c>
    </x:row>
    <x:row r="1536" ht="23" customHeight="1">
      <x:c r="A1536" s="7" t="str">
        <x:v>INV01531</x:v>
      </x:c>
      <x:c r="B1536" s="15" t="d">
        <x:v>2026-06-20T00:00:00.000Z</x:v>
      </x:c>
      <x:c r="C1536" s="14" t="d">
        <x:v>2026-06-01T00:00:00.000Z</x:v>
      </x:c>
      <x:c r="D1536" s="34" t="str">
        <x:v>0004</x:v>
      </x:c>
      <x:c r="E1536" s="7" t="str">
        <x:v>North</x:v>
      </x:c>
      <x:c r="F1536" s="7" t="n">
        <x:v>3</x:v>
      </x:c>
      <x:c r="G1536" s="7" t="n">
        <x:v>220</x:v>
      </x:c>
      <x:c r="H1536" s="9" t="n">
        <x:v>0.02</x:v>
      </x:c>
      <x:c r="I1536" s="7" t="n">
        <x:v>646.8</x:v>
      </x:c>
    </x:row>
    <x:row r="1537" ht="23" customHeight="1">
      <x:c r="A1537" s="7" t="str">
        <x:v>INV01532</x:v>
      </x:c>
      <x:c r="B1537" s="15" t="d">
        <x:v>2026-06-21T00:00:00.000Z</x:v>
      </x:c>
      <x:c r="C1537" s="14" t="d">
        <x:v>2026-06-01T00:00:00.000Z</x:v>
      </x:c>
      <x:c r="D1537" s="34" t="str">
        <x:v>0005</x:v>
      </x:c>
      <x:c r="E1537" s="7" t="str">
        <x:v>North</x:v>
      </x:c>
      <x:c r="F1537" s="7" t="n">
        <x:v>7</x:v>
      </x:c>
      <x:c r="G1537" s="7" t="n">
        <x:v>240</x:v>
      </x:c>
      <x:c r="H1537" s="9" t="n">
        <x:v>0.05</x:v>
      </x:c>
      <x:c r="I1537" s="7" t="n">
        <x:v>1596</x:v>
      </x:c>
    </x:row>
    <x:row r="1538" ht="23" customHeight="1">
      <x:c r="A1538" s="7" t="str">
        <x:v>INV01533</x:v>
      </x:c>
      <x:c r="B1538" s="15" t="d">
        <x:v>2026-06-22T00:00:00.000Z</x:v>
      </x:c>
      <x:c r="C1538" s="14" t="d">
        <x:v>2026-06-01T00:00:00.000Z</x:v>
      </x:c>
      <x:c r="D1538" s="34" t="str">
        <x:v>0006</x:v>
      </x:c>
      <x:c r="E1538" s="7" t="str">
        <x:v>North</x:v>
      </x:c>
      <x:c r="F1538" s="7" t="n">
        <x:v>3</x:v>
      </x:c>
      <x:c r="G1538" s="7" t="n">
        <x:v>260</x:v>
      </x:c>
      <x:c r="H1538" s="9" t="n">
        <x:v>0</x:v>
      </x:c>
      <x:c r="I1538" s="7" t="n">
        <x:v>780</x:v>
      </x:c>
    </x:row>
    <x:row r="1539" ht="23" customHeight="1">
      <x:c r="A1539" s="7" t="str">
        <x:v>INV01534</x:v>
      </x:c>
      <x:c r="B1539" s="15" t="d">
        <x:v>2026-06-23T00:00:00.000Z</x:v>
      </x:c>
      <x:c r="C1539" s="14" t="d">
        <x:v>2026-06-01T00:00:00.000Z</x:v>
      </x:c>
      <x:c r="D1539" s="34" t="str">
        <x:v>0007</x:v>
      </x:c>
      <x:c r="E1539" s="7" t="str">
        <x:v>North</x:v>
      </x:c>
      <x:c r="F1539" s="7" t="n">
        <x:v>5</x:v>
      </x:c>
      <x:c r="G1539" s="7" t="n">
        <x:v>280</x:v>
      </x:c>
      <x:c r="H1539" s="9" t="n">
        <x:v>0.02</x:v>
      </x:c>
      <x:c r="I1539" s="7" t="n">
        <x:v>1372</x:v>
      </x:c>
    </x:row>
    <x:row r="1540" ht="23" customHeight="1">
      <x:c r="A1540" s="7" t="str">
        <x:v>INV01535</x:v>
      </x:c>
      <x:c r="B1540" s="15" t="d">
        <x:v>2026-06-24T00:00:00.000Z</x:v>
      </x:c>
      <x:c r="C1540" s="14" t="d">
        <x:v>2026-06-01T00:00:00.000Z</x:v>
      </x:c>
      <x:c r="D1540" s="34" t="str">
        <x:v>0008</x:v>
      </x:c>
      <x:c r="E1540" s="7" t="str">
        <x:v>North</x:v>
      </x:c>
      <x:c r="F1540" s="7" t="n">
        <x:v>1</x:v>
      </x:c>
      <x:c r="G1540" s="7" t="n">
        <x:v>300</x:v>
      </x:c>
      <x:c r="H1540" s="9" t="n">
        <x:v>0.05</x:v>
      </x:c>
      <x:c r="I1540" s="7" t="n">
        <x:v>285</x:v>
      </x:c>
    </x:row>
    <x:row r="1541" ht="23" customHeight="1">
      <x:c r="A1541" s="7" t="str">
        <x:v>INV01536</x:v>
      </x:c>
      <x:c r="B1541" s="15" t="d">
        <x:v>2026-01-25T00:00:00.000Z</x:v>
      </x:c>
      <x:c r="C1541" s="14" t="d">
        <x:v>2026-01-01T00:00:00.000Z</x:v>
      </x:c>
      <x:c r="D1541" s="34" t="str">
        <x:v>0001</x:v>
      </x:c>
      <x:c r="E1541" s="7" t="str">
        <x:v>Central</x:v>
      </x:c>
      <x:c r="F1541" s="7" t="n">
        <x:v>2</x:v>
      </x:c>
      <x:c r="G1541" s="7" t="n">
        <x:v>160</x:v>
      </x:c>
      <x:c r="H1541" s="9" t="n">
        <x:v>0</x:v>
      </x:c>
      <x:c r="I1541" s="7" t="n">
        <x:v>320</x:v>
      </x:c>
    </x:row>
    <x:row r="1542" ht="23" customHeight="1">
      <x:c r="A1542" s="7" t="str">
        <x:v>INV01537</x:v>
      </x:c>
      <x:c r="B1542" s="15" t="d">
        <x:v>2026-01-26T00:00:00.000Z</x:v>
      </x:c>
      <x:c r="C1542" s="14" t="d">
        <x:v>2026-01-01T00:00:00.000Z</x:v>
      </x:c>
      <x:c r="D1542" s="34" t="str">
        <x:v>0002</x:v>
      </x:c>
      <x:c r="E1542" s="7" t="str">
        <x:v>Central</x:v>
      </x:c>
      <x:c r="F1542" s="7" t="n">
        <x:v>3</x:v>
      </x:c>
      <x:c r="G1542" s="7" t="n">
        <x:v>180</x:v>
      </x:c>
      <x:c r="H1542" s="9" t="n">
        <x:v>0.02</x:v>
      </x:c>
      <x:c r="I1542" s="7" t="n">
        <x:v>529.2</x:v>
      </x:c>
    </x:row>
    <x:row r="1543" ht="23" customHeight="1">
      <x:c r="A1543" s="7" t="str">
        <x:v>INV01538</x:v>
      </x:c>
      <x:c r="B1543" s="15" t="d">
        <x:v>2026-01-27T00:00:00.000Z</x:v>
      </x:c>
      <x:c r="C1543" s="14" t="d">
        <x:v>2026-01-01T00:00:00.000Z</x:v>
      </x:c>
      <x:c r="D1543" s="34" t="str">
        <x:v>0003</x:v>
      </x:c>
      <x:c r="E1543" s="7" t="str">
        <x:v>Central</x:v>
      </x:c>
      <x:c r="F1543" s="7" t="n">
        <x:v>4</x:v>
      </x:c>
      <x:c r="G1543" s="7" t="n">
        <x:v>200</x:v>
      </x:c>
      <x:c r="H1543" s="9" t="n">
        <x:v>0.05</x:v>
      </x:c>
      <x:c r="I1543" s="7" t="n">
        <x:v>760</x:v>
      </x:c>
    </x:row>
    <x:row r="1544" ht="23" customHeight="1">
      <x:c r="A1544" s="7" t="str">
        <x:v>INV01539</x:v>
      </x:c>
      <x:c r="B1544" s="15" t="d">
        <x:v>2026-01-01T00:00:00.000Z</x:v>
      </x:c>
      <x:c r="C1544" s="14" t="d">
        <x:v>2026-01-01T00:00:00.000Z</x:v>
      </x:c>
      <x:c r="D1544" s="34" t="str">
        <x:v>0004</x:v>
      </x:c>
      <x:c r="E1544" s="7" t="str">
        <x:v>Central</x:v>
      </x:c>
      <x:c r="F1544" s="7" t="n">
        <x:v>3</x:v>
      </x:c>
      <x:c r="G1544" s="7" t="n">
        <x:v>220</x:v>
      </x:c>
      <x:c r="H1544" s="9" t="n">
        <x:v>0</x:v>
      </x:c>
      <x:c r="I1544" s="7" t="n">
        <x:v>660</x:v>
      </x:c>
    </x:row>
    <x:row r="1545" ht="23" customHeight="1">
      <x:c r="A1545" s="7" t="str">
        <x:v>INV01540</x:v>
      </x:c>
      <x:c r="B1545" s="15" t="d">
        <x:v>2026-01-02T00:00:00.000Z</x:v>
      </x:c>
      <x:c r="C1545" s="14" t="d">
        <x:v>2026-01-01T00:00:00.000Z</x:v>
      </x:c>
      <x:c r="D1545" s="34" t="str">
        <x:v>0005</x:v>
      </x:c>
      <x:c r="E1545" s="7" t="str">
        <x:v>Central</x:v>
      </x:c>
      <x:c r="F1545" s="7" t="n">
        <x:v>6</x:v>
      </x:c>
      <x:c r="G1545" s="7" t="n">
        <x:v>240</x:v>
      </x:c>
      <x:c r="H1545" s="9" t="n">
        <x:v>0.02</x:v>
      </x:c>
      <x:c r="I1545" s="7" t="n">
        <x:v>1411.2</x:v>
      </x:c>
    </x:row>
    <x:row r="1546" ht="23" customHeight="1">
      <x:c r="A1546" s="7" t="str">
        <x:v>INV01541</x:v>
      </x:c>
      <x:c r="B1546" s="15" t="d">
        <x:v>2026-01-03T00:00:00.000Z</x:v>
      </x:c>
      <x:c r="C1546" s="14" t="d">
        <x:v>2026-01-01T00:00:00.000Z</x:v>
      </x:c>
      <x:c r="D1546" s="34" t="str">
        <x:v>0006</x:v>
      </x:c>
      <x:c r="E1546" s="7" t="str">
        <x:v>Central</x:v>
      </x:c>
      <x:c r="F1546" s="7" t="n">
        <x:v>2</x:v>
      </x:c>
      <x:c r="G1546" s="7" t="n">
        <x:v>260</x:v>
      </x:c>
      <x:c r="H1546" s="9" t="n">
        <x:v>0.05</x:v>
      </x:c>
      <x:c r="I1546" s="7" t="n">
        <x:v>494</x:v>
      </x:c>
    </x:row>
    <x:row r="1547" ht="23" customHeight="1">
      <x:c r="A1547" s="7" t="str">
        <x:v>INV01542</x:v>
      </x:c>
      <x:c r="B1547" s="15" t="d">
        <x:v>2026-01-04T00:00:00.000Z</x:v>
      </x:c>
      <x:c r="C1547" s="14" t="d">
        <x:v>2026-01-01T00:00:00.000Z</x:v>
      </x:c>
      <x:c r="D1547" s="34" t="str">
        <x:v>0007</x:v>
      </x:c>
      <x:c r="E1547" s="7" t="str">
        <x:v>Central</x:v>
      </x:c>
      <x:c r="F1547" s="7" t="n">
        <x:v>4</x:v>
      </x:c>
      <x:c r="G1547" s="7" t="n">
        <x:v>280</x:v>
      </x:c>
      <x:c r="H1547" s="9" t="n">
        <x:v>0</x:v>
      </x:c>
      <x:c r="I1547" s="7" t="n">
        <x:v>1120</x:v>
      </x:c>
    </x:row>
    <x:row r="1548" ht="23" customHeight="1">
      <x:c r="A1548" s="7" t="str">
        <x:v>INV01543</x:v>
      </x:c>
      <x:c r="B1548" s="15" t="d">
        <x:v>2026-01-05T00:00:00.000Z</x:v>
      </x:c>
      <x:c r="C1548" s="14" t="d">
        <x:v>2026-01-01T00:00:00.000Z</x:v>
      </x:c>
      <x:c r="D1548" s="34" t="str">
        <x:v>0008</x:v>
      </x:c>
      <x:c r="E1548" s="7" t="str">
        <x:v>Central</x:v>
      </x:c>
      <x:c r="F1548" s="7" t="n">
        <x:v>4</x:v>
      </x:c>
      <x:c r="G1548" s="7" t="n">
        <x:v>300</x:v>
      </x:c>
      <x:c r="H1548" s="9" t="n">
        <x:v>0.02</x:v>
      </x:c>
      <x:c r="I1548" s="7" t="n">
        <x:v>1176</x:v>
      </x:c>
    </x:row>
    <x:row r="1549" ht="23" customHeight="1">
      <x:c r="A1549" s="7" t="str">
        <x:v>INV01544</x:v>
      </x:c>
      <x:c r="B1549" s="15" t="d">
        <x:v>2026-01-06T00:00:00.000Z</x:v>
      </x:c>
      <x:c r="C1549" s="14" t="d">
        <x:v>2026-01-01T00:00:00.000Z</x:v>
      </x:c>
      <x:c r="D1549" s="34" t="str">
        <x:v>0001</x:v>
      </x:c>
      <x:c r="E1549" s="7" t="str">
        <x:v>East</x:v>
      </x:c>
      <x:c r="F1549" s="7" t="n">
        <x:v>4</x:v>
      </x:c>
      <x:c r="G1549" s="7" t="n">
        <x:v>160</x:v>
      </x:c>
      <x:c r="H1549" s="9" t="n">
        <x:v>0.05</x:v>
      </x:c>
      <x:c r="I1549" s="7" t="n">
        <x:v>608</x:v>
      </x:c>
    </x:row>
    <x:row r="1550" ht="23" customHeight="1">
      <x:c r="A1550" s="7" t="str">
        <x:v>INV01545</x:v>
      </x:c>
      <x:c r="B1550" s="15" t="d">
        <x:v>2026-01-07T00:00:00.000Z</x:v>
      </x:c>
      <x:c r="C1550" s="14" t="d">
        <x:v>2026-01-01T00:00:00.000Z</x:v>
      </x:c>
      <x:c r="D1550" s="34" t="str">
        <x:v>0002</x:v>
      </x:c>
      <x:c r="E1550" s="7" t="str">
        <x:v>East</x:v>
      </x:c>
      <x:c r="F1550" s="7" t="n">
        <x:v>7</x:v>
      </x:c>
      <x:c r="G1550" s="7" t="n">
        <x:v>180</x:v>
      </x:c>
      <x:c r="H1550" s="9" t="n">
        <x:v>0</x:v>
      </x:c>
      <x:c r="I1550" s="7" t="n">
        <x:v>1260</x:v>
      </x:c>
    </x:row>
    <x:row r="1551" ht="23" customHeight="1">
      <x:c r="A1551" s="7" t="str">
        <x:v>INV01546</x:v>
      </x:c>
      <x:c r="B1551" s="15" t="d">
        <x:v>2026-01-08T00:00:00.000Z</x:v>
      </x:c>
      <x:c r="C1551" s="14" t="d">
        <x:v>2026-01-01T00:00:00.000Z</x:v>
      </x:c>
      <x:c r="D1551" s="34" t="str">
        <x:v>0003</x:v>
      </x:c>
      <x:c r="E1551" s="7" t="str">
        <x:v>East</x:v>
      </x:c>
      <x:c r="F1551" s="7" t="n">
        <x:v>3</x:v>
      </x:c>
      <x:c r="G1551" s="7" t="n">
        <x:v>200</x:v>
      </x:c>
      <x:c r="H1551" s="9" t="n">
        <x:v>0.02</x:v>
      </x:c>
      <x:c r="I1551" s="7" t="n">
        <x:v>588</x:v>
      </x:c>
    </x:row>
    <x:row r="1552" ht="23" customHeight="1">
      <x:c r="A1552" s="7" t="str">
        <x:v>INV01547</x:v>
      </x:c>
      <x:c r="B1552" s="15" t="d">
        <x:v>2026-01-09T00:00:00.000Z</x:v>
      </x:c>
      <x:c r="C1552" s="14" t="d">
        <x:v>2026-01-01T00:00:00.000Z</x:v>
      </x:c>
      <x:c r="D1552" s="34" t="str">
        <x:v>0004</x:v>
      </x:c>
      <x:c r="E1552" s="7" t="str">
        <x:v>East</x:v>
      </x:c>
      <x:c r="F1552" s="7" t="n">
        <x:v>7</x:v>
      </x:c>
      <x:c r="G1552" s="7" t="n">
        <x:v>220</x:v>
      </x:c>
      <x:c r="H1552" s="9" t="n">
        <x:v>0.05</x:v>
      </x:c>
      <x:c r="I1552" s="7" t="n">
        <x:v>1463</x:v>
      </x:c>
    </x:row>
    <x:row r="1553" ht="23" customHeight="1">
      <x:c r="A1553" s="7" t="str">
        <x:v>INV01548</x:v>
      </x:c>
      <x:c r="B1553" s="15" t="d">
        <x:v>2026-01-10T00:00:00.000Z</x:v>
      </x:c>
      <x:c r="C1553" s="14" t="d">
        <x:v>2026-01-01T00:00:00.000Z</x:v>
      </x:c>
      <x:c r="D1553" s="34" t="str">
        <x:v>0005</x:v>
      </x:c>
      <x:c r="E1553" s="7" t="str">
        <x:v>East</x:v>
      </x:c>
      <x:c r="F1553" s="7" t="n">
        <x:v>5</x:v>
      </x:c>
      <x:c r="G1553" s="7" t="n">
        <x:v>240</x:v>
      </x:c>
      <x:c r="H1553" s="9" t="n">
        <x:v>0</x:v>
      </x:c>
      <x:c r="I1553" s="7" t="n">
        <x:v>1200</x:v>
      </x:c>
    </x:row>
    <x:row r="1554" ht="23" customHeight="1">
      <x:c r="A1554" s="7" t="str">
        <x:v>INV01549</x:v>
      </x:c>
      <x:c r="B1554" s="15" t="d">
        <x:v>2026-01-11T00:00:00.000Z</x:v>
      </x:c>
      <x:c r="C1554" s="14" t="d">
        <x:v>2026-01-01T00:00:00.000Z</x:v>
      </x:c>
      <x:c r="D1554" s="34" t="str">
        <x:v>0006</x:v>
      </x:c>
      <x:c r="E1554" s="7" t="str">
        <x:v>East</x:v>
      </x:c>
      <x:c r="F1554" s="7" t="n">
        <x:v>2</x:v>
      </x:c>
      <x:c r="G1554" s="7" t="n">
        <x:v>260</x:v>
      </x:c>
      <x:c r="H1554" s="9" t="n">
        <x:v>0.02</x:v>
      </x:c>
      <x:c r="I1554" s="7" t="n">
        <x:v>509.6</x:v>
      </x:c>
    </x:row>
    <x:row r="1555" ht="23" customHeight="1">
      <x:c r="A1555" s="7" t="str">
        <x:v>INV01550</x:v>
      </x:c>
      <x:c r="B1555" s="15" t="d">
        <x:v>2026-01-12T00:00:00.000Z</x:v>
      </x:c>
      <x:c r="C1555" s="14" t="d">
        <x:v>2026-01-01T00:00:00.000Z</x:v>
      </x:c>
      <x:c r="D1555" s="34" t="str">
        <x:v>0007</x:v>
      </x:c>
      <x:c r="E1555" s="7" t="str">
        <x:v>East</x:v>
      </x:c>
      <x:c r="F1555" s="7" t="n">
        <x:v>6</x:v>
      </x:c>
      <x:c r="G1555" s="7" t="n">
        <x:v>280</x:v>
      </x:c>
      <x:c r="H1555" s="9" t="n">
        <x:v>0.05</x:v>
      </x:c>
      <x:c r="I1555" s="7" t="n">
        <x:v>1596</x:v>
      </x:c>
    </x:row>
    <x:row r="1556" ht="23" customHeight="1">
      <x:c r="A1556" s="7" t="str">
        <x:v>INV01551</x:v>
      </x:c>
      <x:c r="B1556" s="15" t="d">
        <x:v>2026-01-13T00:00:00.000Z</x:v>
      </x:c>
      <x:c r="C1556" s="14" t="d">
        <x:v>2026-01-01T00:00:00.000Z</x:v>
      </x:c>
      <x:c r="D1556" s="34" t="str">
        <x:v>0008</x:v>
      </x:c>
      <x:c r="E1556" s="7" t="str">
        <x:v>East</x:v>
      </x:c>
      <x:c r="F1556" s="7" t="n">
        <x:v>6</x:v>
      </x:c>
      <x:c r="G1556" s="7" t="n">
        <x:v>300</x:v>
      </x:c>
      <x:c r="H1556" s="9" t="n">
        <x:v>0</x:v>
      </x:c>
      <x:c r="I1556" s="7" t="n">
        <x:v>1800</x:v>
      </x:c>
    </x:row>
    <x:row r="1557" ht="23" customHeight="1">
      <x:c r="A1557" s="7" t="str">
        <x:v>INV01552</x:v>
      </x:c>
      <x:c r="B1557" s="15" t="d">
        <x:v>2026-01-14T00:00:00.000Z</x:v>
      </x:c>
      <x:c r="C1557" s="14" t="d">
        <x:v>2026-01-01T00:00:00.000Z</x:v>
      </x:c>
      <x:c r="D1557" s="34" t="str">
        <x:v>0001</x:v>
      </x:c>
      <x:c r="E1557" s="7" t="str">
        <x:v>West</x:v>
      </x:c>
      <x:c r="F1557" s="7" t="n">
        <x:v>6</x:v>
      </x:c>
      <x:c r="G1557" s="7" t="n">
        <x:v>160</x:v>
      </x:c>
      <x:c r="H1557" s="9" t="n">
        <x:v>0.02</x:v>
      </x:c>
      <x:c r="I1557" s="7" t="n">
        <x:v>940.8</x:v>
      </x:c>
    </x:row>
    <x:row r="1558" ht="23" customHeight="1">
      <x:c r="A1558" s="7" t="str">
        <x:v>INV01553</x:v>
      </x:c>
      <x:c r="B1558" s="15" t="d">
        <x:v>2026-01-15T00:00:00.000Z</x:v>
      </x:c>
      <x:c r="C1558" s="14" t="d">
        <x:v>2026-01-01T00:00:00.000Z</x:v>
      </x:c>
      <x:c r="D1558" s="34" t="str">
        <x:v>0002</x:v>
      </x:c>
      <x:c r="E1558" s="7" t="str">
        <x:v>West</x:v>
      </x:c>
      <x:c r="F1558" s="7" t="n">
        <x:v>3</x:v>
      </x:c>
      <x:c r="G1558" s="7" t="n">
        <x:v>180</x:v>
      </x:c>
      <x:c r="H1558" s="9" t="n">
        <x:v>0.05</x:v>
      </x:c>
      <x:c r="I1558" s="7" t="n">
        <x:v>513</x:v>
      </x:c>
    </x:row>
    <x:row r="1559" ht="23" customHeight="1">
      <x:c r="A1559" s="7" t="str">
        <x:v>INV01554</x:v>
      </x:c>
      <x:c r="B1559" s="15" t="d">
        <x:v>2026-01-16T00:00:00.000Z</x:v>
      </x:c>
      <x:c r="C1559" s="14" t="d">
        <x:v>2026-01-01T00:00:00.000Z</x:v>
      </x:c>
      <x:c r="D1559" s="34" t="str">
        <x:v>0003</x:v>
      </x:c>
      <x:c r="E1559" s="7" t="str">
        <x:v>West</x:v>
      </x:c>
      <x:c r="F1559" s="7" t="n">
        <x:v>3</x:v>
      </x:c>
      <x:c r="G1559" s="7" t="n">
        <x:v>200</x:v>
      </x:c>
      <x:c r="H1559" s="9" t="n">
        <x:v>0</x:v>
      </x:c>
      <x:c r="I1559" s="7" t="n">
        <x:v>600</x:v>
      </x:c>
    </x:row>
    <x:row r="1560" ht="23" customHeight="1">
      <x:c r="A1560" s="7" t="str">
        <x:v>INV01555</x:v>
      </x:c>
      <x:c r="B1560" s="15" t="d">
        <x:v>2026-01-17T00:00:00.000Z</x:v>
      </x:c>
      <x:c r="C1560" s="14" t="d">
        <x:v>2026-01-01T00:00:00.000Z</x:v>
      </x:c>
      <x:c r="D1560" s="34" t="str">
        <x:v>0004</x:v>
      </x:c>
      <x:c r="E1560" s="7" t="str">
        <x:v>West</x:v>
      </x:c>
      <x:c r="F1560" s="7" t="n">
        <x:v>7</x:v>
      </x:c>
      <x:c r="G1560" s="7" t="n">
        <x:v>220</x:v>
      </x:c>
      <x:c r="H1560" s="9" t="n">
        <x:v>0.02</x:v>
      </x:c>
      <x:c r="I1560" s="7" t="n">
        <x:v>1509.2</x:v>
      </x:c>
    </x:row>
    <x:row r="1561" ht="23" customHeight="1">
      <x:c r="A1561" s="7" t="str">
        <x:v>INV01556</x:v>
      </x:c>
      <x:c r="B1561" s="15" t="d">
        <x:v>2026-01-18T00:00:00.000Z</x:v>
      </x:c>
      <x:c r="C1561" s="14" t="d">
        <x:v>2026-01-01T00:00:00.000Z</x:v>
      </x:c>
      <x:c r="D1561" s="34" t="str">
        <x:v>0005</x:v>
      </x:c>
      <x:c r="E1561" s="7" t="str">
        <x:v>West</x:v>
      </x:c>
      <x:c r="F1561" s="7" t="n">
        <x:v>4</x:v>
      </x:c>
      <x:c r="G1561" s="7" t="n">
        <x:v>240</x:v>
      </x:c>
      <x:c r="H1561" s="9" t="n">
        <x:v>0.05</x:v>
      </x:c>
      <x:c r="I1561" s="7" t="n">
        <x:v>912</x:v>
      </x:c>
    </x:row>
    <x:row r="1562" ht="23" customHeight="1">
      <x:c r="A1562" s="7" t="str">
        <x:v>INV01557</x:v>
      </x:c>
      <x:c r="B1562" s="15" t="d">
        <x:v>2026-01-19T00:00:00.000Z</x:v>
      </x:c>
      <x:c r="C1562" s="14" t="d">
        <x:v>2026-01-01T00:00:00.000Z</x:v>
      </x:c>
      <x:c r="D1562" s="34" t="str">
        <x:v>0006</x:v>
      </x:c>
      <x:c r="E1562" s="7" t="str">
        <x:v>West</x:v>
      </x:c>
      <x:c r="F1562" s="7" t="n">
        <x:v>3</x:v>
      </x:c>
      <x:c r="G1562" s="7" t="n">
        <x:v>260</x:v>
      </x:c>
      <x:c r="H1562" s="9" t="n">
        <x:v>0</x:v>
      </x:c>
      <x:c r="I1562" s="7" t="n">
        <x:v>780</x:v>
      </x:c>
    </x:row>
    <x:row r="1563" ht="23" customHeight="1">
      <x:c r="A1563" s="7" t="str">
        <x:v>INV01558</x:v>
      </x:c>
      <x:c r="B1563" s="15" t="d">
        <x:v>2026-01-20T00:00:00.000Z</x:v>
      </x:c>
      <x:c r="C1563" s="14" t="d">
        <x:v>2026-01-01T00:00:00.000Z</x:v>
      </x:c>
      <x:c r="D1563" s="34" t="str">
        <x:v>0007</x:v>
      </x:c>
      <x:c r="E1563" s="7" t="str">
        <x:v>West</x:v>
      </x:c>
      <x:c r="F1563" s="7" t="n">
        <x:v>-2</x:v>
      </x:c>
      <x:c r="G1563" s="7" t="n">
        <x:v>280</x:v>
      </x:c>
      <x:c r="H1563" s="9" t="n">
        <x:v>0.02</x:v>
      </x:c>
      <x:c r="I1563" s="7" t="n">
        <x:v>-548.8</x:v>
      </x:c>
    </x:row>
    <x:row r="1564" ht="23" customHeight="1">
      <x:c r="A1564" s="7" t="str">
        <x:v>INV01559</x:v>
      </x:c>
      <x:c r="B1564" s="15" t="d">
        <x:v>2026-01-21T00:00:00.000Z</x:v>
      </x:c>
      <x:c r="C1564" s="14" t="d">
        <x:v>2026-01-01T00:00:00.000Z</x:v>
      </x:c>
      <x:c r="D1564" s="34" t="str">
        <x:v>0008</x:v>
      </x:c>
      <x:c r="E1564" s="7" t="str">
        <x:v>West</x:v>
      </x:c>
      <x:c r="F1564" s="7" t="n">
        <x:v>1</x:v>
      </x:c>
      <x:c r="G1564" s="7" t="n">
        <x:v>300</x:v>
      </x:c>
      <x:c r="H1564" s="9" t="n">
        <x:v>0.05</x:v>
      </x:c>
      <x:c r="I1564" s="7" t="n">
        <x:v>285</x:v>
      </x:c>
    </x:row>
    <x:row r="1565" ht="23" customHeight="1">
      <x:c r="A1565" s="7" t="str">
        <x:v>INV01560</x:v>
      </x:c>
      <x:c r="B1565" s="15" t="d">
        <x:v>2026-01-22T00:00:00.000Z</x:v>
      </x:c>
      <x:c r="C1565" s="14" t="d">
        <x:v>2026-01-01T00:00:00.000Z</x:v>
      </x:c>
      <x:c r="D1565" s="34" t="str">
        <x:v>0001</x:v>
      </x:c>
      <x:c r="E1565" s="7" t="str">
        <x:v>North</x:v>
      </x:c>
      <x:c r="F1565" s="7" t="n">
        <x:v>5</x:v>
      </x:c>
      <x:c r="G1565" s="7" t="n">
        <x:v>160</x:v>
      </x:c>
      <x:c r="H1565" s="9" t="n">
        <x:v>0</x:v>
      </x:c>
      <x:c r="I1565" s="7" t="n">
        <x:v>800</x:v>
      </x:c>
    </x:row>
    <x:row r="1566" ht="23" customHeight="1">
      <x:c r="A1566" s="7" t="str">
        <x:v>INV01561</x:v>
      </x:c>
      <x:c r="B1566" s="15" t="d">
        <x:v>2026-01-23T00:00:00.000Z</x:v>
      </x:c>
      <x:c r="C1566" s="14" t="d">
        <x:v>2026-01-01T00:00:00.000Z</x:v>
      </x:c>
      <x:c r="D1566" s="34" t="str">
        <x:v>0002</x:v>
      </x:c>
      <x:c r="E1566" s="7" t="str">
        <x:v>North</x:v>
      </x:c>
      <x:c r="F1566" s="7" t="n">
        <x:v>2</x:v>
      </x:c>
      <x:c r="G1566" s="7" t="n">
        <x:v>180</x:v>
      </x:c>
      <x:c r="H1566" s="9" t="n">
        <x:v>0.02</x:v>
      </x:c>
      <x:c r="I1566" s="7" t="n">
        <x:v>352.8</x:v>
      </x:c>
    </x:row>
    <x:row r="1567" ht="23" customHeight="1">
      <x:c r="A1567" s="7" t="str">
        <x:v>INV01562</x:v>
      </x:c>
      <x:c r="B1567" s="15" t="d">
        <x:v>2026-01-24T00:00:00.000Z</x:v>
      </x:c>
      <x:c r="C1567" s="14" t="d">
        <x:v>2026-01-01T00:00:00.000Z</x:v>
      </x:c>
      <x:c r="D1567" s="34" t="str">
        <x:v>0003</x:v>
      </x:c>
      <x:c r="E1567" s="7" t="str">
        <x:v>North</x:v>
      </x:c>
      <x:c r="F1567" s="7" t="n">
        <x:v>3</x:v>
      </x:c>
      <x:c r="G1567" s="7" t="n">
        <x:v>200</x:v>
      </x:c>
      <x:c r="H1567" s="9" t="n">
        <x:v>0.05</x:v>
      </x:c>
      <x:c r="I1567" s="7" t="n">
        <x:v>570</x:v>
      </x:c>
    </x:row>
    <x:row r="1568" ht="23" customHeight="1">
      <x:c r="A1568" s="7" t="str">
        <x:v>INV01563</x:v>
      </x:c>
      <x:c r="B1568" s="15" t="d">
        <x:v>2026-01-25T00:00:00.000Z</x:v>
      </x:c>
      <x:c r="C1568" s="14" t="d">
        <x:v>2026-01-01T00:00:00.000Z</x:v>
      </x:c>
      <x:c r="D1568" s="34" t="str">
        <x:v>0004</x:v>
      </x:c>
      <x:c r="E1568" s="7" t="str">
        <x:v>North</x:v>
      </x:c>
      <x:c r="F1568" s="7" t="n">
        <x:v>2</x:v>
      </x:c>
      <x:c r="G1568" s="7" t="n">
        <x:v>220</x:v>
      </x:c>
      <x:c r="H1568" s="9" t="n">
        <x:v>0</x:v>
      </x:c>
      <x:c r="I1568" s="7" t="n">
        <x:v>440</x:v>
      </x:c>
    </x:row>
    <x:row r="1569" ht="23" customHeight="1">
      <x:c r="A1569" s="7" t="str">
        <x:v>INV01564</x:v>
      </x:c>
      <x:c r="B1569" s="15" t="d">
        <x:v>2026-01-26T00:00:00.000Z</x:v>
      </x:c>
      <x:c r="C1569" s="14" t="d">
        <x:v>2026-01-01T00:00:00.000Z</x:v>
      </x:c>
      <x:c r="D1569" s="34" t="str">
        <x:v>0005</x:v>
      </x:c>
      <x:c r="E1569" s="7" t="str">
        <x:v>North</x:v>
      </x:c>
      <x:c r="F1569" s="7" t="n">
        <x:v>3</x:v>
      </x:c>
      <x:c r="G1569" s="7" t="n">
        <x:v>240</x:v>
      </x:c>
      <x:c r="H1569" s="9" t="n">
        <x:v>0.02</x:v>
      </x:c>
      <x:c r="I1569" s="7" t="n">
        <x:v>705.6</x:v>
      </x:c>
    </x:row>
    <x:row r="1570" ht="23" customHeight="1">
      <x:c r="A1570" s="7" t="str">
        <x:v>INV01565</x:v>
      </x:c>
      <x:c r="B1570" s="15" t="d">
        <x:v>2026-01-27T00:00:00.000Z</x:v>
      </x:c>
      <x:c r="C1570" s="14" t="d">
        <x:v>2026-01-01T00:00:00.000Z</x:v>
      </x:c>
      <x:c r="D1570" s="34" t="str">
        <x:v>0006</x:v>
      </x:c>
      <x:c r="E1570" s="7" t="str">
        <x:v>North</x:v>
      </x:c>
      <x:c r="F1570" s="7" t="n">
        <x:v>7</x:v>
      </x:c>
      <x:c r="G1570" s="7" t="n">
        <x:v>260</x:v>
      </x:c>
      <x:c r="H1570" s="9" t="n">
        <x:v>0.05</x:v>
      </x:c>
      <x:c r="I1570" s="7" t="n">
        <x:v>1729</x:v>
      </x:c>
    </x:row>
    <x:row r="1571" ht="23" customHeight="1">
      <x:c r="A1571" s="7" t="str">
        <x:v>INV01566</x:v>
      </x:c>
      <x:c r="B1571" s="15" t="d">
        <x:v>2026-01-01T00:00:00.000Z</x:v>
      </x:c>
      <x:c r="C1571" s="14" t="d">
        <x:v>2026-01-01T00:00:00.000Z</x:v>
      </x:c>
      <x:c r="D1571" s="34" t="str">
        <x:v>0007</x:v>
      </x:c>
      <x:c r="E1571" s="7" t="str">
        <x:v>North</x:v>
      </x:c>
      <x:c r="F1571" s="7" t="n">
        <x:v>4</x:v>
      </x:c>
      <x:c r="G1571" s="7" t="n">
        <x:v>280</x:v>
      </x:c>
      <x:c r="H1571" s="9" t="n">
        <x:v>0</x:v>
      </x:c>
      <x:c r="I1571" s="7" t="n">
        <x:v>1120</x:v>
      </x:c>
    </x:row>
    <x:row r="1572" ht="23" customHeight="1">
      <x:c r="A1572" s="7" t="str">
        <x:v>INV01567</x:v>
      </x:c>
      <x:c r="B1572" s="15" t="d">
        <x:v>2026-01-02T00:00:00.000Z</x:v>
      </x:c>
      <x:c r="C1572" s="14" t="d">
        <x:v>2026-01-01T00:00:00.000Z</x:v>
      </x:c>
      <x:c r="D1572" s="34" t="str">
        <x:v>0008</x:v>
      </x:c>
      <x:c r="E1572" s="7" t="str">
        <x:v>North</x:v>
      </x:c>
      <x:c r="F1572" s="7" t="n">
        <x:v>5</x:v>
      </x:c>
      <x:c r="G1572" s="7" t="n">
        <x:v>300</x:v>
      </x:c>
      <x:c r="H1572" s="9" t="n">
        <x:v>0.02</x:v>
      </x:c>
      <x:c r="I1572" s="7" t="n">
        <x:v>1470</x:v>
      </x:c>
    </x:row>
    <x:row r="1573" ht="23" customHeight="1">
      <x:c r="A1573" s="7" t="str">
        <x:v>INV01568</x:v>
      </x:c>
      <x:c r="B1573" s="15" t="d">
        <x:v>2026-02-03T00:00:00.000Z</x:v>
      </x:c>
      <x:c r="C1573" s="14" t="d">
        <x:v>2026-02-01T00:00:00.000Z</x:v>
      </x:c>
      <x:c r="D1573" s="34" t="str">
        <x:v>0001</x:v>
      </x:c>
      <x:c r="E1573" s="7" t="str">
        <x:v>Central</x:v>
      </x:c>
      <x:c r="F1573" s="7" t="n">
        <x:v>4</x:v>
      </x:c>
      <x:c r="G1573" s="7" t="n">
        <x:v>160</x:v>
      </x:c>
      <x:c r="H1573" s="9" t="n">
        <x:v>0.05</x:v>
      </x:c>
      <x:c r="I1573" s="7" t="n">
        <x:v>608</x:v>
      </x:c>
    </x:row>
    <x:row r="1574" ht="23" customHeight="1">
      <x:c r="A1574" s="7" t="str">
        <x:v>INV01569</x:v>
      </x:c>
      <x:c r="B1574" s="15" t="d">
        <x:v>2026-02-04T00:00:00.000Z</x:v>
      </x:c>
      <x:c r="C1574" s="14" t="d">
        <x:v>2026-02-01T00:00:00.000Z</x:v>
      </x:c>
      <x:c r="D1574" s="34" t="str">
        <x:v>0002</x:v>
      </x:c>
      <x:c r="E1574" s="7" t="str">
        <x:v>Central</x:v>
      </x:c>
      <x:c r="F1574" s="7" t="n">
        <x:v>4</x:v>
      </x:c>
      <x:c r="G1574" s="7" t="n">
        <x:v>180</x:v>
      </x:c>
      <x:c r="H1574" s="9" t="n">
        <x:v>0</x:v>
      </x:c>
      <x:c r="I1574" s="7" t="n">
        <x:v>720</x:v>
      </x:c>
    </x:row>
    <x:row r="1575" ht="23" customHeight="1">
      <x:c r="A1575" s="7" t="str">
        <x:v>INV01570</x:v>
      </x:c>
      <x:c r="B1575" s="15" t="d">
        <x:v>2026-02-05T00:00:00.000Z</x:v>
      </x:c>
      <x:c r="C1575" s="14" t="d">
        <x:v>2026-02-01T00:00:00.000Z</x:v>
      </x:c>
      <x:c r="D1575" s="34" t="str">
        <x:v>0003</x:v>
      </x:c>
      <x:c r="E1575" s="7" t="str">
        <x:v>Central</x:v>
      </x:c>
      <x:c r="F1575" s="7" t="n">
        <x:v>7</x:v>
      </x:c>
      <x:c r="G1575" s="7" t="n">
        <x:v>200</x:v>
      </x:c>
      <x:c r="H1575" s="9" t="n">
        <x:v>0.02</x:v>
      </x:c>
      <x:c r="I1575" s="7" t="n">
        <x:v>1372</x:v>
      </x:c>
    </x:row>
    <x:row r="1576" ht="23" customHeight="1">
      <x:c r="A1576" s="7" t="str">
        <x:v>INV01571</x:v>
      </x:c>
      <x:c r="B1576" s="15" t="d">
        <x:v>2026-02-06T00:00:00.000Z</x:v>
      </x:c>
      <x:c r="C1576" s="14" t="d">
        <x:v>2026-02-01T00:00:00.000Z</x:v>
      </x:c>
      <x:c r="D1576" s="34" t="str">
        <x:v>0004</x:v>
      </x:c>
      <x:c r="E1576" s="7" t="str">
        <x:v>Central</x:v>
      </x:c>
      <x:c r="F1576" s="7" t="n">
        <x:v>4</x:v>
      </x:c>
      <x:c r="G1576" s="7" t="n">
        <x:v>220</x:v>
      </x:c>
      <x:c r="H1576" s="9" t="n">
        <x:v>0.05</x:v>
      </x:c>
      <x:c r="I1576" s="7" t="n">
        <x:v>836</x:v>
      </x:c>
    </x:row>
    <x:row r="1577" ht="23" customHeight="1">
      <x:c r="A1577" s="7" t="str">
        <x:v>INV01572</x:v>
      </x:c>
      <x:c r="B1577" s="15" t="d">
        <x:v>2026-02-07T00:00:00.000Z</x:v>
      </x:c>
      <x:c r="C1577" s="14" t="d">
        <x:v>2026-02-01T00:00:00.000Z</x:v>
      </x:c>
      <x:c r="D1577" s="34" t="str">
        <x:v>0005</x:v>
      </x:c>
      <x:c r="E1577" s="7" t="str">
        <x:v>Central</x:v>
      </x:c>
      <x:c r="F1577" s="7" t="n">
        <x:v>6</x:v>
      </x:c>
      <x:c r="G1577" s="7" t="n">
        <x:v>240</x:v>
      </x:c>
      <x:c r="H1577" s="9" t="n">
        <x:v>0</x:v>
      </x:c>
      <x:c r="I1577" s="7" t="n">
        <x:v>1440</x:v>
      </x:c>
    </x:row>
    <x:row r="1578" ht="23" customHeight="1">
      <x:c r="A1578" s="7" t="str">
        <x:v>INV01573</x:v>
      </x:c>
      <x:c r="B1578" s="15" t="d">
        <x:v>2026-02-08T00:00:00.000Z</x:v>
      </x:c>
      <x:c r="C1578" s="14" t="d">
        <x:v>2026-02-01T00:00:00.000Z</x:v>
      </x:c>
      <x:c r="D1578" s="34" t="str">
        <x:v>0006</x:v>
      </x:c>
      <x:c r="E1578" s="7" t="str">
        <x:v>Central</x:v>
      </x:c>
      <x:c r="F1578" s="7" t="n">
        <x:v>6</x:v>
      </x:c>
      <x:c r="G1578" s="7" t="n">
        <x:v>260</x:v>
      </x:c>
      <x:c r="H1578" s="9" t="n">
        <x:v>0.02</x:v>
      </x:c>
      <x:c r="I1578" s="7" t="n">
        <x:v>1528.8</x:v>
      </x:c>
    </x:row>
    <x:row r="1579" ht="23" customHeight="1">
      <x:c r="A1579" s="7" t="str">
        <x:v>INV01574</x:v>
      </x:c>
      <x:c r="B1579" s="15" t="d">
        <x:v>2026-02-09T00:00:00.000Z</x:v>
      </x:c>
      <x:c r="C1579" s="14" t="d">
        <x:v>2026-02-01T00:00:00.000Z</x:v>
      </x:c>
      <x:c r="D1579" s="34" t="str">
        <x:v>0007</x:v>
      </x:c>
      <x:c r="E1579" s="7" t="str">
        <x:v>Central</x:v>
      </x:c>
      <x:c r="F1579" s="7" t="n">
        <x:v>4</x:v>
      </x:c>
      <x:c r="G1579" s="7" t="n">
        <x:v>280</x:v>
      </x:c>
      <x:c r="H1579" s="9" t="n">
        <x:v>0.05</x:v>
      </x:c>
      <x:c r="I1579" s="7" t="n">
        <x:v>1064</x:v>
      </x:c>
    </x:row>
    <x:row r="1580" ht="23" customHeight="1">
      <x:c r="A1580" s="7" t="str">
        <x:v>INV01575</x:v>
      </x:c>
      <x:c r="B1580" s="15" t="d">
        <x:v>2026-02-10T00:00:00.000Z</x:v>
      </x:c>
      <x:c r="C1580" s="14" t="d">
        <x:v>2026-02-01T00:00:00.000Z</x:v>
      </x:c>
      <x:c r="D1580" s="34" t="str">
        <x:v>0008</x:v>
      </x:c>
      <x:c r="E1580" s="7" t="str">
        <x:v>Central</x:v>
      </x:c>
      <x:c r="F1580" s="7" t="n">
        <x:v>2</x:v>
      </x:c>
      <x:c r="G1580" s="7" t="n">
        <x:v>300</x:v>
      </x:c>
      <x:c r="H1580" s="9" t="n">
        <x:v>0</x:v>
      </x:c>
      <x:c r="I1580" s="7" t="n">
        <x:v>600</x:v>
      </x:c>
    </x:row>
    <x:row r="1581" ht="23" customHeight="1">
      <x:c r="A1581" s="7" t="str">
        <x:v>INV01576</x:v>
      </x:c>
      <x:c r="B1581" s="15" t="d">
        <x:v>2026-02-11T00:00:00.000Z</x:v>
      </x:c>
      <x:c r="C1581" s="14" t="d">
        <x:v>2026-02-01T00:00:00.000Z</x:v>
      </x:c>
      <x:c r="D1581" s="34" t="str">
        <x:v>0001</x:v>
      </x:c>
      <x:c r="E1581" s="7" t="str">
        <x:v>East</x:v>
      </x:c>
      <x:c r="F1581" s="7" t="n">
        <x:v>1</x:v>
      </x:c>
      <x:c r="G1581" s="7" t="n">
        <x:v>160</x:v>
      </x:c>
      <x:c r="H1581" s="9" t="n">
        <x:v>0.02</x:v>
      </x:c>
      <x:c r="I1581" s="7" t="n">
        <x:v>156.8</x:v>
      </x:c>
    </x:row>
    <x:row r="1582" ht="23" customHeight="1">
      <x:c r="A1582" s="7" t="str">
        <x:v>INV01577</x:v>
      </x:c>
      <x:c r="B1582" s="15" t="d">
        <x:v>2026-02-12T00:00:00.000Z</x:v>
      </x:c>
      <x:c r="C1582" s="14" t="d">
        <x:v>2026-02-01T00:00:00.000Z</x:v>
      </x:c>
      <x:c r="D1582" s="34" t="str">
        <x:v>0002</x:v>
      </x:c>
      <x:c r="E1582" s="7" t="str">
        <x:v>East</x:v>
      </x:c>
      <x:c r="F1582" s="7" t="n">
        <x:v>2</x:v>
      </x:c>
      <x:c r="G1582" s="7" t="n">
        <x:v>180</x:v>
      </x:c>
      <x:c r="H1582" s="9" t="n">
        <x:v>0.05</x:v>
      </x:c>
      <x:c r="I1582" s="7" t="n">
        <x:v>342</x:v>
      </x:c>
    </x:row>
    <x:row r="1583" ht="23" customHeight="1">
      <x:c r="A1583" s="7" t="str">
        <x:v>INV01578</x:v>
      </x:c>
      <x:c r="B1583" s="15" t="d">
        <x:v>2026-02-13T00:00:00.000Z</x:v>
      </x:c>
      <x:c r="C1583" s="14" t="d">
        <x:v>2026-02-01T00:00:00.000Z</x:v>
      </x:c>
      <x:c r="D1583" s="34" t="str">
        <x:v>0003</x:v>
      </x:c>
      <x:c r="E1583" s="7" t="str">
        <x:v>East</x:v>
      </x:c>
      <x:c r="F1583" s="7" t="n">
        <x:v>1</x:v>
      </x:c>
      <x:c r="G1583" s="7" t="n">
        <x:v>200</x:v>
      </x:c>
      <x:c r="H1583" s="9" t="n">
        <x:v>0</x:v>
      </x:c>
      <x:c r="I1583" s="7" t="n">
        <x:v>200</x:v>
      </x:c>
    </x:row>
    <x:row r="1584" ht="23" customHeight="1">
      <x:c r="A1584" s="7" t="str">
        <x:v>INV01579</x:v>
      </x:c>
      <x:c r="B1584" s="15" t="d">
        <x:v>2026-02-14T00:00:00.000Z</x:v>
      </x:c>
      <x:c r="C1584" s="14" t="d">
        <x:v>2026-02-01T00:00:00.000Z</x:v>
      </x:c>
      <x:c r="D1584" s="34" t="str">
        <x:v>0004</x:v>
      </x:c>
      <x:c r="E1584" s="7" t="str">
        <x:v>East</x:v>
      </x:c>
      <x:c r="F1584" s="7" t="n">
        <x:v>5</x:v>
      </x:c>
      <x:c r="G1584" s="7" t="n">
        <x:v>220</x:v>
      </x:c>
      <x:c r="H1584" s="9" t="n">
        <x:v>0.02</x:v>
      </x:c>
      <x:c r="I1584" s="7" t="n">
        <x:v>1078</x:v>
      </x:c>
    </x:row>
    <x:row r="1585" ht="23" customHeight="1">
      <x:c r="A1585" s="7" t="str">
        <x:v>INV01580</x:v>
      </x:c>
      <x:c r="B1585" s="15" t="d">
        <x:v>2026-02-15T00:00:00.000Z</x:v>
      </x:c>
      <x:c r="C1585" s="14" t="d">
        <x:v>2026-02-01T00:00:00.000Z</x:v>
      </x:c>
      <x:c r="D1585" s="34" t="str">
        <x:v>0005</x:v>
      </x:c>
      <x:c r="E1585" s="7" t="str">
        <x:v>East</x:v>
      </x:c>
      <x:c r="F1585" s="7" t="n">
        <x:v>5</x:v>
      </x:c>
      <x:c r="G1585" s="7" t="n">
        <x:v>240</x:v>
      </x:c>
      <x:c r="H1585" s="9" t="n">
        <x:v>0.05</x:v>
      </x:c>
      <x:c r="I1585" s="7" t="n">
        <x:v>1140</x:v>
      </x:c>
    </x:row>
    <x:row r="1586" ht="23" customHeight="1">
      <x:c r="A1586" s="7" t="str">
        <x:v>INV01581</x:v>
      </x:c>
      <x:c r="B1586" s="15" t="d">
        <x:v>2026-02-16T00:00:00.000Z</x:v>
      </x:c>
      <x:c r="C1586" s="14" t="d">
        <x:v>2026-02-01T00:00:00.000Z</x:v>
      </x:c>
      <x:c r="D1586" s="34" t="str">
        <x:v>0006</x:v>
      </x:c>
      <x:c r="E1586" s="7" t="str">
        <x:v>East</x:v>
      </x:c>
      <x:c r="F1586" s="7" t="n">
        <x:v>3</x:v>
      </x:c>
      <x:c r="G1586" s="7" t="n">
        <x:v>260</x:v>
      </x:c>
      <x:c r="H1586" s="9" t="n">
        <x:v>0</x:v>
      </x:c>
      <x:c r="I1586" s="7" t="n">
        <x:v>780</x:v>
      </x:c>
    </x:row>
    <x:row r="1587" ht="23" customHeight="1">
      <x:c r="A1587" s="7" t="str">
        <x:v>INV01582</x:v>
      </x:c>
      <x:c r="B1587" s="15" t="d">
        <x:v>2026-02-17T00:00:00.000Z</x:v>
      </x:c>
      <x:c r="C1587" s="14" t="d">
        <x:v>2026-02-01T00:00:00.000Z</x:v>
      </x:c>
      <x:c r="D1587" s="34" t="str">
        <x:v>0007</x:v>
      </x:c>
      <x:c r="E1587" s="7" t="str">
        <x:v>East</x:v>
      </x:c>
      <x:c r="F1587" s="7" t="n">
        <x:v>5</x:v>
      </x:c>
      <x:c r="G1587" s="7" t="n">
        <x:v>280</x:v>
      </x:c>
      <x:c r="H1587" s="9" t="n">
        <x:v>0.02</x:v>
      </x:c>
      <x:c r="I1587" s="7" t="n">
        <x:v>1372</x:v>
      </x:c>
    </x:row>
    <x:row r="1588" ht="23" customHeight="1">
      <x:c r="A1588" s="7" t="str">
        <x:v>INV01583</x:v>
      </x:c>
      <x:c r="B1588" s="15" t="d">
        <x:v>2026-02-18T00:00:00.000Z</x:v>
      </x:c>
      <x:c r="C1588" s="14" t="d">
        <x:v>2026-02-01T00:00:00.000Z</x:v>
      </x:c>
      <x:c r="D1588" s="34" t="str">
        <x:v>0008</x:v>
      </x:c>
      <x:c r="E1588" s="7" t="str">
        <x:v>East</x:v>
      </x:c>
      <x:c r="F1588" s="7" t="n">
        <x:v>1</x:v>
      </x:c>
      <x:c r="G1588" s="7" t="n">
        <x:v>300</x:v>
      </x:c>
      <x:c r="H1588" s="9" t="n">
        <x:v>0.05</x:v>
      </x:c>
      <x:c r="I1588" s="7" t="n">
        <x:v>285</x:v>
      </x:c>
    </x:row>
    <x:row r="1589" ht="23" customHeight="1">
      <x:c r="A1589" s="7" t="str">
        <x:v>INV01584</x:v>
      </x:c>
      <x:c r="B1589" s="15" t="d">
        <x:v>2026-02-19T00:00:00.000Z</x:v>
      </x:c>
      <x:c r="C1589" s="14" t="d">
        <x:v>2026-02-01T00:00:00.000Z</x:v>
      </x:c>
      <x:c r="D1589" s="34" t="str">
        <x:v>0001</x:v>
      </x:c>
      <x:c r="E1589" s="7" t="str">
        <x:v>West</x:v>
      </x:c>
      <x:c r="F1589" s="7" t="n">
        <x:v>6</x:v>
      </x:c>
      <x:c r="G1589" s="7" t="n">
        <x:v>160</x:v>
      </x:c>
      <x:c r="H1589" s="9" t="n">
        <x:v>0</x:v>
      </x:c>
      <x:c r="I1589" s="7" t="n">
        <x:v>960</x:v>
      </x:c>
    </x:row>
    <x:row r="1590" ht="23" customHeight="1">
      <x:c r="A1590" s="7" t="str">
        <x:v>INV01585</x:v>
      </x:c>
      <x:c r="B1590" s="15" t="d">
        <x:v>2026-02-20T00:00:00.000Z</x:v>
      </x:c>
      <x:c r="C1590" s="14" t="d">
        <x:v>2026-02-01T00:00:00.000Z</x:v>
      </x:c>
      <x:c r="D1590" s="34" t="str">
        <x:v>0002</x:v>
      </x:c>
      <x:c r="E1590" s="7" t="str">
        <x:v>West</x:v>
      </x:c>
      <x:c r="F1590" s="7" t="n">
        <x:v>3</x:v>
      </x:c>
      <x:c r="G1590" s="7" t="n">
        <x:v>180</x:v>
      </x:c>
      <x:c r="H1590" s="9" t="n">
        <x:v>0.02</x:v>
      </x:c>
      <x:c r="I1590" s="7" t="n">
        <x:v>529.2</x:v>
      </x:c>
    </x:row>
    <x:row r="1591" ht="23" customHeight="1">
      <x:c r="A1591" s="7" t="str">
        <x:v>INV01586</x:v>
      </x:c>
      <x:c r="B1591" s="15" t="d">
        <x:v>2026-02-21T00:00:00.000Z</x:v>
      </x:c>
      <x:c r="C1591" s="14" t="d">
        <x:v>2026-02-01T00:00:00.000Z</x:v>
      </x:c>
      <x:c r="D1591" s="34" t="str">
        <x:v>0003</x:v>
      </x:c>
      <x:c r="E1591" s="7" t="str">
        <x:v>West</x:v>
      </x:c>
      <x:c r="F1591" s="7" t="n">
        <x:v>7</x:v>
      </x:c>
      <x:c r="G1591" s="7" t="n">
        <x:v>200</x:v>
      </x:c>
      <x:c r="H1591" s="9" t="n">
        <x:v>0.05</x:v>
      </x:c>
      <x:c r="I1591" s="7" t="n">
        <x:v>1330</x:v>
      </x:c>
    </x:row>
    <x:row r="1592" ht="23" customHeight="1">
      <x:c r="A1592" s="7" t="str">
        <x:v>INV01587</x:v>
      </x:c>
      <x:c r="B1592" s="15" t="d">
        <x:v>2026-02-22T00:00:00.000Z</x:v>
      </x:c>
      <x:c r="C1592" s="14" t="d">
        <x:v>2026-02-01T00:00:00.000Z</x:v>
      </x:c>
      <x:c r="D1592" s="34" t="str">
        <x:v>0004</x:v>
      </x:c>
      <x:c r="E1592" s="7" t="str">
        <x:v>West</x:v>
      </x:c>
      <x:c r="F1592" s="7" t="n">
        <x:v>3</x:v>
      </x:c>
      <x:c r="G1592" s="7" t="n">
        <x:v>220</x:v>
      </x:c>
      <x:c r="H1592" s="9" t="n">
        <x:v>0</x:v>
      </x:c>
      <x:c r="I1592" s="7" t="n">
        <x:v>660</x:v>
      </x:c>
    </x:row>
    <x:row r="1593" ht="23" customHeight="1">
      <x:c r="A1593" s="7" t="str">
        <x:v>INV01588</x:v>
      </x:c>
      <x:c r="B1593" s="15" t="d">
        <x:v>2026-02-23T00:00:00.000Z</x:v>
      </x:c>
      <x:c r="C1593" s="14" t="d">
        <x:v>2026-02-01T00:00:00.000Z</x:v>
      </x:c>
      <x:c r="D1593" s="34" t="str">
        <x:v>0005</x:v>
      </x:c>
      <x:c r="E1593" s="7" t="str">
        <x:v>West</x:v>
      </x:c>
      <x:c r="F1593" s="7" t="n">
        <x:v>3</x:v>
      </x:c>
      <x:c r="G1593" s="7" t="n">
        <x:v>240</x:v>
      </x:c>
      <x:c r="H1593" s="9" t="n">
        <x:v>0.02</x:v>
      </x:c>
      <x:c r="I1593" s="7" t="n">
        <x:v>705.6</x:v>
      </x:c>
    </x:row>
    <x:row r="1594" ht="23" customHeight="1">
      <x:c r="A1594" s="7" t="str">
        <x:v>INV01589</x:v>
      </x:c>
      <x:c r="B1594" s="15" t="d">
        <x:v>2026-02-24T00:00:00.000Z</x:v>
      </x:c>
      <x:c r="C1594" s="14" t="d">
        <x:v>2026-02-01T00:00:00.000Z</x:v>
      </x:c>
      <x:c r="D1594" s="34" t="str">
        <x:v>0006</x:v>
      </x:c>
      <x:c r="E1594" s="7" t="str">
        <x:v>West</x:v>
      </x:c>
      <x:c r="F1594" s="7" t="n">
        <x:v>6</x:v>
      </x:c>
      <x:c r="G1594" s="7" t="n">
        <x:v>260</x:v>
      </x:c>
      <x:c r="H1594" s="9" t="n">
        <x:v>0.05</x:v>
      </x:c>
      <x:c r="I1594" s="7" t="n">
        <x:v>1482</x:v>
      </x:c>
    </x:row>
    <x:row r="1595" ht="23" customHeight="1">
      <x:c r="A1595" s="7" t="str">
        <x:v>INV01590</x:v>
      </x:c>
      <x:c r="B1595" s="15" t="d">
        <x:v>2026-02-25T00:00:00.000Z</x:v>
      </x:c>
      <x:c r="C1595" s="14" t="d">
        <x:v>2026-02-01T00:00:00.000Z</x:v>
      </x:c>
      <x:c r="D1595" s="34" t="str">
        <x:v>0007</x:v>
      </x:c>
      <x:c r="E1595" s="7" t="str">
        <x:v>West</x:v>
      </x:c>
      <x:c r="F1595" s="7" t="n">
        <x:v>2</x:v>
      </x:c>
      <x:c r="G1595" s="7" t="n">
        <x:v>280</x:v>
      </x:c>
      <x:c r="H1595" s="9" t="n">
        <x:v>0</x:v>
      </x:c>
      <x:c r="I1595" s="7" t="n">
        <x:v>560</x:v>
      </x:c>
    </x:row>
    <x:row r="1596" ht="23" customHeight="1">
      <x:c r="A1596" s="7" t="str">
        <x:v>INV01591</x:v>
      </x:c>
      <x:c r="B1596" s="15" t="d">
        <x:v>2026-02-26T00:00:00.000Z</x:v>
      </x:c>
      <x:c r="C1596" s="14" t="d">
        <x:v>2026-02-01T00:00:00.000Z</x:v>
      </x:c>
      <x:c r="D1596" s="34" t="str">
        <x:v>0008</x:v>
      </x:c>
      <x:c r="E1596" s="7" t="str">
        <x:v>West</x:v>
      </x:c>
      <x:c r="F1596" s="7" t="n">
        <x:v>1</x:v>
      </x:c>
      <x:c r="G1596" s="7" t="n">
        <x:v>300</x:v>
      </x:c>
      <x:c r="H1596" s="9" t="n">
        <x:v>0.02</x:v>
      </x:c>
      <x:c r="I1596" s="7" t="n">
        <x:v>294</x:v>
      </x:c>
    </x:row>
    <x:row r="1597" ht="23" customHeight="1">
      <x:c r="A1597" s="7" t="str">
        <x:v>INV01592</x:v>
      </x:c>
      <x:c r="B1597" s="15" t="d">
        <x:v>2026-02-27T00:00:00.000Z</x:v>
      </x:c>
      <x:c r="C1597" s="14" t="d">
        <x:v>2026-02-01T00:00:00.000Z</x:v>
      </x:c>
      <x:c r="D1597" s="34" t="str">
        <x:v>0001</x:v>
      </x:c>
      <x:c r="E1597" s="7" t="str">
        <x:v>North</x:v>
      </x:c>
      <x:c r="F1597" s="7" t="n">
        <x:v>6</x:v>
      </x:c>
      <x:c r="G1597" s="7" t="n">
        <x:v>160</x:v>
      </x:c>
      <x:c r="H1597" s="9" t="n">
        <x:v>0.05</x:v>
      </x:c>
      <x:c r="I1597" s="7" t="n">
        <x:v>912</x:v>
      </x:c>
    </x:row>
    <x:row r="1598" ht="23" customHeight="1">
      <x:c r="A1598" s="7" t="str">
        <x:v>INV01593</x:v>
      </x:c>
      <x:c r="B1598" s="15" t="d">
        <x:v>2026-02-01T00:00:00.000Z</x:v>
      </x:c>
      <x:c r="C1598" s="14" t="d">
        <x:v>2026-02-01T00:00:00.000Z</x:v>
      </x:c>
      <x:c r="D1598" s="34" t="str">
        <x:v>0002</x:v>
      </x:c>
      <x:c r="E1598" s="7" t="str">
        <x:v>North</x:v>
      </x:c>
      <x:c r="F1598" s="7" t="n">
        <x:v>3</x:v>
      </x:c>
      <x:c r="G1598" s="7" t="n">
        <x:v>180</x:v>
      </x:c>
      <x:c r="H1598" s="9" t="n">
        <x:v>0</x:v>
      </x:c>
      <x:c r="I1598" s="7" t="n">
        <x:v>540</x:v>
      </x:c>
    </x:row>
    <x:row r="1599" ht="23" customHeight="1">
      <x:c r="A1599" s="7" t="str">
        <x:v>INV01594</x:v>
      </x:c>
      <x:c r="B1599" s="15" t="d">
        <x:v>2026-02-02T00:00:00.000Z</x:v>
      </x:c>
      <x:c r="C1599" s="14" t="d">
        <x:v>2026-02-01T00:00:00.000Z</x:v>
      </x:c>
      <x:c r="D1599" s="34" t="str">
        <x:v>0003</x:v>
      </x:c>
      <x:c r="E1599" s="7" t="str">
        <x:v>North</x:v>
      </x:c>
      <x:c r="F1599" s="7" t="n">
        <x:v>5</x:v>
      </x:c>
      <x:c r="G1599" s="7" t="n">
        <x:v>200</x:v>
      </x:c>
      <x:c r="H1599" s="9" t="n">
        <x:v>0.02</x:v>
      </x:c>
      <x:c r="I1599" s="7" t="n">
        <x:v>980</x:v>
      </x:c>
    </x:row>
    <x:row r="1600" ht="23" customHeight="1">
      <x:c r="A1600" s="7" t="str">
        <x:v>INV01595</x:v>
      </x:c>
      <x:c r="B1600" s="15" t="d">
        <x:v>2026-02-03T00:00:00.000Z</x:v>
      </x:c>
      <x:c r="C1600" s="14" t="d">
        <x:v>2026-02-01T00:00:00.000Z</x:v>
      </x:c>
      <x:c r="D1600" s="34" t="str">
        <x:v>0004</x:v>
      </x:c>
      <x:c r="E1600" s="7" t="str">
        <x:v>North</x:v>
      </x:c>
      <x:c r="F1600" s="7" t="n">
        <x:v>6</x:v>
      </x:c>
      <x:c r="G1600" s="7" t="n">
        <x:v>220</x:v>
      </x:c>
      <x:c r="H1600" s="9" t="n">
        <x:v>0.05</x:v>
      </x:c>
      <x:c r="I1600" s="7" t="n">
        <x:v>1254</x:v>
      </x:c>
    </x:row>
    <x:row r="1601" ht="23" customHeight="1">
      <x:c r="A1601" s="7" t="str">
        <x:v>INV01596</x:v>
      </x:c>
      <x:c r="B1601" s="15" t="d">
        <x:v>2026-02-04T00:00:00.000Z</x:v>
      </x:c>
      <x:c r="C1601" s="14" t="d">
        <x:v>2026-02-01T00:00:00.000Z</x:v>
      </x:c>
      <x:c r="D1601" s="34" t="str">
        <x:v>0005</x:v>
      </x:c>
      <x:c r="E1601" s="7" t="str">
        <x:v>North</x:v>
      </x:c>
      <x:c r="F1601" s="7" t="n">
        <x:v>1</x:v>
      </x:c>
      <x:c r="G1601" s="7" t="n">
        <x:v>240</x:v>
      </x:c>
      <x:c r="H1601" s="9" t="n">
        <x:v>0</x:v>
      </x:c>
      <x:c r="I1601" s="7" t="n">
        <x:v>240</x:v>
      </x:c>
    </x:row>
    <x:row r="1602" ht="23" customHeight="1">
      <x:c r="A1602" s="7" t="str">
        <x:v>INV01597</x:v>
      </x:c>
      <x:c r="B1602" s="15" t="d">
        <x:v>2026-02-05T00:00:00.000Z</x:v>
      </x:c>
      <x:c r="C1602" s="14" t="d">
        <x:v>2026-02-01T00:00:00.000Z</x:v>
      </x:c>
      <x:c r="D1602" s="34" t="str">
        <x:v>0006</x:v>
      </x:c>
      <x:c r="E1602" s="7" t="str">
        <x:v>North</x:v>
      </x:c>
      <x:c r="F1602" s="7" t="n">
        <x:v>2</x:v>
      </x:c>
      <x:c r="G1602" s="7" t="n">
        <x:v>260</x:v>
      </x:c>
      <x:c r="H1602" s="9" t="n">
        <x:v>0.02</x:v>
      </x:c>
      <x:c r="I1602" s="7" t="n">
        <x:v>509.6</x:v>
      </x:c>
    </x:row>
    <x:row r="1603" ht="23" customHeight="1">
      <x:c r="A1603" s="7" t="str">
        <x:v>INV01598</x:v>
      </x:c>
      <x:c r="B1603" s="15" t="d">
        <x:v>2026-02-06T00:00:00.000Z</x:v>
      </x:c>
      <x:c r="C1603" s="14" t="d">
        <x:v>2026-02-01T00:00:00.000Z</x:v>
      </x:c>
      <x:c r="D1603" s="34" t="str">
        <x:v>0007</x:v>
      </x:c>
      <x:c r="E1603" s="7" t="str">
        <x:v>North</x:v>
      </x:c>
      <x:c r="F1603" s="7" t="n">
        <x:v>2</x:v>
      </x:c>
      <x:c r="G1603" s="7" t="n">
        <x:v>280</x:v>
      </x:c>
      <x:c r="H1603" s="9" t="n">
        <x:v>0.05</x:v>
      </x:c>
      <x:c r="I1603" s="7" t="n">
        <x:v>532</x:v>
      </x:c>
    </x:row>
    <x:row r="1604" ht="23" customHeight="1">
      <x:c r="A1604" s="7" t="str">
        <x:v>INV01599</x:v>
      </x:c>
      <x:c r="B1604" s="15" t="d">
        <x:v>2026-02-07T00:00:00.000Z</x:v>
      </x:c>
      <x:c r="C1604" s="14" t="d">
        <x:v>2026-02-01T00:00:00.000Z</x:v>
      </x:c>
      <x:c r="D1604" s="34" t="str">
        <x:v>0008</x:v>
      </x:c>
      <x:c r="E1604" s="7" t="str">
        <x:v>North</x:v>
      </x:c>
      <x:c r="F1604" s="7" t="n">
        <x:v>-7</x:v>
      </x:c>
      <x:c r="G1604" s="7" t="n">
        <x:v>300</x:v>
      </x:c>
      <x:c r="H1604" s="9" t="n">
        <x:v>0</x:v>
      </x:c>
      <x:c r="I1604" s="7" t="n">
        <x:v>-2100</x:v>
      </x:c>
    </x:row>
    <x:row r="1605" ht="23" customHeight="1">
      <x:c r="A1605" s="7" t="str">
        <x:v>INV01600</x:v>
      </x:c>
      <x:c r="B1605" s="15" t="d">
        <x:v>2026-03-08T00:00:00.000Z</x:v>
      </x:c>
      <x:c r="C1605" s="14" t="d">
        <x:v>2026-03-01T00:00:00.000Z</x:v>
      </x:c>
      <x:c r="D1605" s="34" t="str">
        <x:v>0001</x:v>
      </x:c>
      <x:c r="E1605" s="7" t="str">
        <x:v>Central</x:v>
      </x:c>
      <x:c r="F1605" s="7" t="n">
        <x:v>6</x:v>
      </x:c>
      <x:c r="G1605" s="7" t="n">
        <x:v>160</x:v>
      </x:c>
      <x:c r="H1605" s="9" t="n">
        <x:v>0.02</x:v>
      </x:c>
      <x:c r="I1605" s="7" t="n">
        <x:v>940.8</x:v>
      </x:c>
    </x:row>
    <x:row r="1606" ht="23" customHeight="1">
      <x:c r="A1606" s="7" t="str">
        <x:v>INV01601</x:v>
      </x:c>
      <x:c r="B1606" s="15" t="d">
        <x:v>2026-03-09T00:00:00.000Z</x:v>
      </x:c>
      <x:c r="C1606" s="14" t="d">
        <x:v>2026-03-01T00:00:00.000Z</x:v>
      </x:c>
      <x:c r="D1606" s="34" t="str">
        <x:v>0002</x:v>
      </x:c>
      <x:c r="E1606" s="7" t="str">
        <x:v>Central</x:v>
      </x:c>
      <x:c r="F1606" s="7" t="n">
        <x:v>1</x:v>
      </x:c>
      <x:c r="G1606" s="7" t="n">
        <x:v>180</x:v>
      </x:c>
      <x:c r="H1606" s="9" t="n">
        <x:v>0.05</x:v>
      </x:c>
      <x:c r="I1606" s="7" t="n">
        <x:v>171</x:v>
      </x:c>
    </x:row>
    <x:row r="1607" ht="23" customHeight="1">
      <x:c r="A1607" s="7" t="str">
        <x:v>INV01602</x:v>
      </x:c>
      <x:c r="B1607" s="15" t="d">
        <x:v>2026-03-10T00:00:00.000Z</x:v>
      </x:c>
      <x:c r="C1607" s="14" t="d">
        <x:v>2026-03-01T00:00:00.000Z</x:v>
      </x:c>
      <x:c r="D1607" s="34" t="str">
        <x:v>0003</x:v>
      </x:c>
      <x:c r="E1607" s="7" t="str">
        <x:v>Central</x:v>
      </x:c>
      <x:c r="F1607" s="7" t="n">
        <x:v>6</x:v>
      </x:c>
      <x:c r="G1607" s="7" t="n">
        <x:v>200</x:v>
      </x:c>
      <x:c r="H1607" s="9" t="n">
        <x:v>0</x:v>
      </x:c>
      <x:c r="I1607" s="7" t="n">
        <x:v>1200</x:v>
      </x:c>
    </x:row>
    <x:row r="1608" ht="23" customHeight="1">
      <x:c r="A1608" s="7" t="str">
        <x:v>INV01603</x:v>
      </x:c>
      <x:c r="B1608" s="15" t="d">
        <x:v>2026-03-11T00:00:00.000Z</x:v>
      </x:c>
      <x:c r="C1608" s="14" t="d">
        <x:v>2026-03-01T00:00:00.000Z</x:v>
      </x:c>
      <x:c r="D1608" s="34" t="str">
        <x:v>0004</x:v>
      </x:c>
      <x:c r="E1608" s="7" t="str">
        <x:v>Central</x:v>
      </x:c>
      <x:c r="F1608" s="7" t="n">
        <x:v>3</x:v>
      </x:c>
      <x:c r="G1608" s="7" t="n">
        <x:v>220</x:v>
      </x:c>
      <x:c r="H1608" s="9" t="n">
        <x:v>0.02</x:v>
      </x:c>
      <x:c r="I1608" s="7" t="n">
        <x:v>646.8</x:v>
      </x:c>
    </x:row>
    <x:row r="1609" ht="23" customHeight="1">
      <x:c r="A1609" s="7" t="str">
        <x:v>INV01604</x:v>
      </x:c>
      <x:c r="B1609" s="15" t="d">
        <x:v>2026-03-12T00:00:00.000Z</x:v>
      </x:c>
      <x:c r="C1609" s="14" t="d">
        <x:v>2026-03-01T00:00:00.000Z</x:v>
      </x:c>
      <x:c r="D1609" s="34" t="str">
        <x:v>0005</x:v>
      </x:c>
      <x:c r="E1609" s="7" t="str">
        <x:v>Central</x:v>
      </x:c>
      <x:c r="F1609" s="7" t="n">
        <x:v>6</x:v>
      </x:c>
      <x:c r="G1609" s="7" t="n">
        <x:v>240</x:v>
      </x:c>
      <x:c r="H1609" s="9" t="n">
        <x:v>0.05</x:v>
      </x:c>
      <x:c r="I1609" s="7" t="n">
        <x:v>1368</x:v>
      </x:c>
    </x:row>
    <x:row r="1610" ht="23" customHeight="1">
      <x:c r="A1610" s="7" t="str">
        <x:v>INV01605</x:v>
      </x:c>
      <x:c r="B1610" s="15" t="d">
        <x:v>2026-03-13T00:00:00.000Z</x:v>
      </x:c>
      <x:c r="C1610" s="14" t="d">
        <x:v>2026-03-01T00:00:00.000Z</x:v>
      </x:c>
      <x:c r="D1610" s="34" t="str">
        <x:v>0006</x:v>
      </x:c>
      <x:c r="E1610" s="7" t="str">
        <x:v>Central</x:v>
      </x:c>
      <x:c r="F1610" s="7" t="n">
        <x:v>2</x:v>
      </x:c>
      <x:c r="G1610" s="7" t="n">
        <x:v>260</x:v>
      </x:c>
      <x:c r="H1610" s="9" t="n">
        <x:v>0</x:v>
      </x:c>
      <x:c r="I1610" s="7" t="n">
        <x:v>520</x:v>
      </x:c>
    </x:row>
    <x:row r="1611" ht="23" customHeight="1">
      <x:c r="A1611" s="7" t="str">
        <x:v>INV01606</x:v>
      </x:c>
      <x:c r="B1611" s="15" t="d">
        <x:v>2026-03-14T00:00:00.000Z</x:v>
      </x:c>
      <x:c r="C1611" s="14" t="d">
        <x:v>2026-03-01T00:00:00.000Z</x:v>
      </x:c>
      <x:c r="D1611" s="34" t="str">
        <x:v>0007</x:v>
      </x:c>
      <x:c r="E1611" s="7" t="str">
        <x:v>Central</x:v>
      </x:c>
      <x:c r="F1611" s="7" t="n">
        <x:v>7</x:v>
      </x:c>
      <x:c r="G1611" s="7" t="n">
        <x:v>280</x:v>
      </x:c>
      <x:c r="H1611" s="9" t="n">
        <x:v>0.02</x:v>
      </x:c>
      <x:c r="I1611" s="7" t="n">
        <x:v>1920.8</x:v>
      </x:c>
    </x:row>
    <x:row r="1612" ht="23" customHeight="1">
      <x:c r="A1612" s="7" t="str">
        <x:v>INV01607</x:v>
      </x:c>
      <x:c r="B1612" s="15" t="d">
        <x:v>2026-03-15T00:00:00.000Z</x:v>
      </x:c>
      <x:c r="C1612" s="14" t="d">
        <x:v>2026-03-01T00:00:00.000Z</x:v>
      </x:c>
      <x:c r="D1612" s="34" t="str">
        <x:v>0008</x:v>
      </x:c>
      <x:c r="E1612" s="7" t="str">
        <x:v>Central</x:v>
      </x:c>
      <x:c r="F1612" s="7" t="n">
        <x:v>6</x:v>
      </x:c>
      <x:c r="G1612" s="7" t="n">
        <x:v>300</x:v>
      </x:c>
      <x:c r="H1612" s="9" t="n">
        <x:v>0.05</x:v>
      </x:c>
      <x:c r="I1612" s="7" t="n">
        <x:v>1710</x:v>
      </x:c>
    </x:row>
    <x:row r="1613" ht="23" customHeight="1">
      <x:c r="A1613" s="7" t="str">
        <x:v>INV01608</x:v>
      </x:c>
      <x:c r="B1613" s="15" t="d">
        <x:v>2026-03-16T00:00:00.000Z</x:v>
      </x:c>
      <x:c r="C1613" s="14" t="d">
        <x:v>2026-03-01T00:00:00.000Z</x:v>
      </x:c>
      <x:c r="D1613" s="34" t="str">
        <x:v>0001</x:v>
      </x:c>
      <x:c r="E1613" s="7" t="str">
        <x:v>East</x:v>
      </x:c>
      <x:c r="F1613" s="7" t="n">
        <x:v>5</x:v>
      </x:c>
      <x:c r="G1613" s="7" t="n">
        <x:v>160</x:v>
      </x:c>
      <x:c r="H1613" s="9" t="n">
        <x:v>0</x:v>
      </x:c>
      <x:c r="I1613" s="7" t="n">
        <x:v>800</x:v>
      </x:c>
    </x:row>
    <x:row r="1614" ht="23" customHeight="1">
      <x:c r="A1614" s="7" t="str">
        <x:v>INV01609</x:v>
      </x:c>
      <x:c r="B1614" s="15" t="d">
        <x:v>2026-03-17T00:00:00.000Z</x:v>
      </x:c>
      <x:c r="C1614" s="14" t="d">
        <x:v>2026-03-01T00:00:00.000Z</x:v>
      </x:c>
      <x:c r="D1614" s="34" t="str">
        <x:v>0002</x:v>
      </x:c>
      <x:c r="E1614" s="7" t="str">
        <x:v>East</x:v>
      </x:c>
      <x:c r="F1614" s="7" t="n">
        <x:v>5</x:v>
      </x:c>
      <x:c r="G1614" s="7" t="n">
        <x:v>180</x:v>
      </x:c>
      <x:c r="H1614" s="9" t="n">
        <x:v>0.02</x:v>
      </x:c>
      <x:c r="I1614" s="7" t="n">
        <x:v>882</x:v>
      </x:c>
    </x:row>
    <x:row r="1615" ht="23" customHeight="1">
      <x:c r="A1615" s="7" t="str">
        <x:v>INV01610</x:v>
      </x:c>
      <x:c r="B1615" s="15" t="d">
        <x:v>2026-03-18T00:00:00.000Z</x:v>
      </x:c>
      <x:c r="C1615" s="14" t="d">
        <x:v>2026-03-01T00:00:00.000Z</x:v>
      </x:c>
      <x:c r="D1615" s="34" t="str">
        <x:v>0003</x:v>
      </x:c>
      <x:c r="E1615" s="7" t="str">
        <x:v>East</x:v>
      </x:c>
      <x:c r="F1615" s="7" t="n">
        <x:v>3</x:v>
      </x:c>
      <x:c r="G1615" s="7" t="n">
        <x:v>200</x:v>
      </x:c>
      <x:c r="H1615" s="9" t="n">
        <x:v>0.05</x:v>
      </x:c>
      <x:c r="I1615" s="7" t="n">
        <x:v>570</x:v>
      </x:c>
    </x:row>
    <x:row r="1616" ht="23" customHeight="1">
      <x:c r="A1616" s="7" t="str">
        <x:v>INV01611</x:v>
      </x:c>
      <x:c r="B1616" s="15" t="d">
        <x:v>2026-03-19T00:00:00.000Z</x:v>
      </x:c>
      <x:c r="C1616" s="14" t="d">
        <x:v>2026-03-01T00:00:00.000Z</x:v>
      </x:c>
      <x:c r="D1616" s="34" t="str">
        <x:v>0004</x:v>
      </x:c>
      <x:c r="E1616" s="7" t="str">
        <x:v>East</x:v>
      </x:c>
      <x:c r="F1616" s="7" t="n">
        <x:v>3</x:v>
      </x:c>
      <x:c r="G1616" s="7" t="n">
        <x:v>220</x:v>
      </x:c>
      <x:c r="H1616" s="9" t="n">
        <x:v>0</x:v>
      </x:c>
      <x:c r="I1616" s="7" t="n">
        <x:v>660</x:v>
      </x:c>
    </x:row>
    <x:row r="1617" ht="23" customHeight="1">
      <x:c r="A1617" s="7" t="str">
        <x:v>INV01612</x:v>
      </x:c>
      <x:c r="B1617" s="15" t="d">
        <x:v>2026-03-20T00:00:00.000Z</x:v>
      </x:c>
      <x:c r="C1617" s="14" t="d">
        <x:v>2026-03-01T00:00:00.000Z</x:v>
      </x:c>
      <x:c r="D1617" s="34" t="str">
        <x:v>0005</x:v>
      </x:c>
      <x:c r="E1617" s="7" t="str">
        <x:v>East</x:v>
      </x:c>
      <x:c r="F1617" s="7" t="n">
        <x:v>4</x:v>
      </x:c>
      <x:c r="G1617" s="7" t="n">
        <x:v>240</x:v>
      </x:c>
      <x:c r="H1617" s="9" t="n">
        <x:v>0.02</x:v>
      </x:c>
      <x:c r="I1617" s="7" t="n">
        <x:v>940.8</x:v>
      </x:c>
    </x:row>
    <x:row r="1618" ht="23" customHeight="1">
      <x:c r="A1618" s="7" t="str">
        <x:v>INV01613</x:v>
      </x:c>
      <x:c r="B1618" s="15" t="d">
        <x:v>2026-03-21T00:00:00.000Z</x:v>
      </x:c>
      <x:c r="C1618" s="14" t="d">
        <x:v>2026-03-01T00:00:00.000Z</x:v>
      </x:c>
      <x:c r="D1618" s="34" t="str">
        <x:v>0006</x:v>
      </x:c>
      <x:c r="E1618" s="7" t="str">
        <x:v>East</x:v>
      </x:c>
      <x:c r="F1618" s="7" t="n">
        <x:v>5</x:v>
      </x:c>
      <x:c r="G1618" s="7" t="n">
        <x:v>260</x:v>
      </x:c>
      <x:c r="H1618" s="9" t="n">
        <x:v>0.05</x:v>
      </x:c>
      <x:c r="I1618" s="7" t="n">
        <x:v>1235</x:v>
      </x:c>
    </x:row>
    <x:row r="1619" ht="23" customHeight="1">
      <x:c r="A1619" s="7" t="str">
        <x:v>INV01614</x:v>
      </x:c>
      <x:c r="B1619" s="15" t="d">
        <x:v>2026-03-22T00:00:00.000Z</x:v>
      </x:c>
      <x:c r="C1619" s="14" t="d">
        <x:v>2026-03-01T00:00:00.000Z</x:v>
      </x:c>
      <x:c r="D1619" s="34" t="str">
        <x:v>0007</x:v>
      </x:c>
      <x:c r="E1619" s="7" t="str">
        <x:v>East</x:v>
      </x:c>
      <x:c r="F1619" s="7" t="n">
        <x:v>3</x:v>
      </x:c>
      <x:c r="G1619" s="7" t="n">
        <x:v>280</x:v>
      </x:c>
      <x:c r="H1619" s="9" t="n">
        <x:v>0</x:v>
      </x:c>
      <x:c r="I1619" s="7" t="n">
        <x:v>840</x:v>
      </x:c>
    </x:row>
    <x:row r="1620" ht="23" customHeight="1">
      <x:c r="A1620" s="7" t="str">
        <x:v>INV01615</x:v>
      </x:c>
      <x:c r="B1620" s="15" t="d">
        <x:v>2026-03-23T00:00:00.000Z</x:v>
      </x:c>
      <x:c r="C1620" s="14" t="d">
        <x:v>2026-03-01T00:00:00.000Z</x:v>
      </x:c>
      <x:c r="D1620" s="34" t="str">
        <x:v>0008</x:v>
      </x:c>
      <x:c r="E1620" s="7" t="str">
        <x:v>East</x:v>
      </x:c>
      <x:c r="F1620" s="7" t="n">
        <x:v>2</x:v>
      </x:c>
      <x:c r="G1620" s="7" t="n">
        <x:v>300</x:v>
      </x:c>
      <x:c r="H1620" s="9" t="n">
        <x:v>0.02</x:v>
      </x:c>
      <x:c r="I1620" s="7" t="n">
        <x:v>588</x:v>
      </x:c>
    </x:row>
    <x:row r="1621" ht="23" customHeight="1">
      <x:c r="A1621" s="7" t="str">
        <x:v>INV01616</x:v>
      </x:c>
      <x:c r="B1621" s="15" t="d">
        <x:v>2026-03-24T00:00:00.000Z</x:v>
      </x:c>
      <x:c r="C1621" s="14" t="d">
        <x:v>2026-03-01T00:00:00.000Z</x:v>
      </x:c>
      <x:c r="D1621" s="34" t="str">
        <x:v>0001</x:v>
      </x:c>
      <x:c r="E1621" s="7" t="str">
        <x:v>West</x:v>
      </x:c>
      <x:c r="F1621" s="7" t="n">
        <x:v>4</x:v>
      </x:c>
      <x:c r="G1621" s="7" t="n">
        <x:v>160</x:v>
      </x:c>
      <x:c r="H1621" s="9" t="n">
        <x:v>0.05</x:v>
      </x:c>
      <x:c r="I1621" s="7" t="n">
        <x:v>608</x:v>
      </x:c>
    </x:row>
    <x:row r="1622" ht="23" customHeight="1">
      <x:c r="A1622" s="7" t="str">
        <x:v>INV01617</x:v>
      </x:c>
      <x:c r="B1622" s="15" t="d">
        <x:v>2026-03-25T00:00:00.000Z</x:v>
      </x:c>
      <x:c r="C1622" s="14" t="d">
        <x:v>2026-03-01T00:00:00.000Z</x:v>
      </x:c>
      <x:c r="D1622" s="34" t="str">
        <x:v>0002</x:v>
      </x:c>
      <x:c r="E1622" s="7" t="str">
        <x:v>West</x:v>
      </x:c>
      <x:c r="F1622" s="7" t="n">
        <x:v>1</x:v>
      </x:c>
      <x:c r="G1622" s="7" t="n">
        <x:v>180</x:v>
      </x:c>
      <x:c r="H1622" s="9" t="n">
        <x:v>0</x:v>
      </x:c>
      <x:c r="I1622" s="7" t="n">
        <x:v>180</x:v>
      </x:c>
    </x:row>
    <x:row r="1623" ht="23" customHeight="1">
      <x:c r="A1623" s="7" t="str">
        <x:v>INV01618</x:v>
      </x:c>
      <x:c r="B1623" s="15" t="d">
        <x:v>2026-03-26T00:00:00.000Z</x:v>
      </x:c>
      <x:c r="C1623" s="14" t="d">
        <x:v>2026-03-01T00:00:00.000Z</x:v>
      </x:c>
      <x:c r="D1623" s="34" t="str">
        <x:v>0003</x:v>
      </x:c>
      <x:c r="E1623" s="7" t="str">
        <x:v>West</x:v>
      </x:c>
      <x:c r="F1623" s="7" t="n">
        <x:v>1</x:v>
      </x:c>
      <x:c r="G1623" s="7" t="n">
        <x:v>200</x:v>
      </x:c>
      <x:c r="H1623" s="9" t="n">
        <x:v>0.02</x:v>
      </x:c>
      <x:c r="I1623" s="7" t="n">
        <x:v>196</x:v>
      </x:c>
    </x:row>
    <x:row r="1624" ht="23" customHeight="1">
      <x:c r="A1624" s="7" t="str">
        <x:v>INV01619</x:v>
      </x:c>
      <x:c r="B1624" s="15" t="d">
        <x:v>2026-03-27T00:00:00.000Z</x:v>
      </x:c>
      <x:c r="C1624" s="14" t="d">
        <x:v>2026-03-01T00:00:00.000Z</x:v>
      </x:c>
      <x:c r="D1624" s="34" t="str">
        <x:v>0004</x:v>
      </x:c>
      <x:c r="E1624" s="7" t="str">
        <x:v>West</x:v>
      </x:c>
      <x:c r="F1624" s="7" t="n">
        <x:v>4</x:v>
      </x:c>
      <x:c r="G1624" s="7" t="n">
        <x:v>220</x:v>
      </x:c>
      <x:c r="H1624" s="9" t="n">
        <x:v>0.05</x:v>
      </x:c>
      <x:c r="I1624" s="7" t="n">
        <x:v>836</x:v>
      </x:c>
    </x:row>
    <x:row r="1625" ht="23" customHeight="1">
      <x:c r="A1625" s="7" t="str">
        <x:v>INV01620</x:v>
      </x:c>
      <x:c r="B1625" s="15" t="d">
        <x:v>2026-03-01T00:00:00.000Z</x:v>
      </x:c>
      <x:c r="C1625" s="14" t="d">
        <x:v>2026-03-01T00:00:00.000Z</x:v>
      </x:c>
      <x:c r="D1625" s="34" t="str">
        <x:v>0005</x:v>
      </x:c>
      <x:c r="E1625" s="7" t="str">
        <x:v>West</x:v>
      </x:c>
      <x:c r="F1625" s="7" t="n">
        <x:v>3</x:v>
      </x:c>
      <x:c r="G1625" s="7" t="n">
        <x:v>240</x:v>
      </x:c>
      <x:c r="H1625" s="9" t="n">
        <x:v>0</x:v>
      </x:c>
      <x:c r="I1625" s="7" t="n">
        <x:v>720</x:v>
      </x:c>
    </x:row>
    <x:row r="1626" ht="23" customHeight="1">
      <x:c r="A1626" s="7" t="str">
        <x:v>INV01621</x:v>
      </x:c>
      <x:c r="B1626" s="15" t="d">
        <x:v>2026-03-02T00:00:00.000Z</x:v>
      </x:c>
      <x:c r="C1626" s="14" t="d">
        <x:v>2026-03-01T00:00:00.000Z</x:v>
      </x:c>
      <x:c r="D1626" s="34" t="str">
        <x:v>0006</x:v>
      </x:c>
      <x:c r="E1626" s="7" t="str">
        <x:v>West</x:v>
      </x:c>
      <x:c r="F1626" s="7" t="n">
        <x:v>2</x:v>
      </x:c>
      <x:c r="G1626" s="7" t="n">
        <x:v>260</x:v>
      </x:c>
      <x:c r="H1626" s="9" t="n">
        <x:v>0.02</x:v>
      </x:c>
      <x:c r="I1626" s="7" t="n">
        <x:v>509.6</x:v>
      </x:c>
    </x:row>
    <x:row r="1627" ht="23" customHeight="1">
      <x:c r="A1627" s="7" t="str">
        <x:v>INV01622</x:v>
      </x:c>
      <x:c r="B1627" s="15" t="d">
        <x:v>2026-03-03T00:00:00.000Z</x:v>
      </x:c>
      <x:c r="C1627" s="14" t="d">
        <x:v>2026-03-01T00:00:00.000Z</x:v>
      </x:c>
      <x:c r="D1627" s="34" t="str">
        <x:v>0007</x:v>
      </x:c>
      <x:c r="E1627" s="7" t="str">
        <x:v>West</x:v>
      </x:c>
      <x:c r="F1627" s="7" t="n">
        <x:v>6</x:v>
      </x:c>
      <x:c r="G1627" s="7" t="n">
        <x:v>280</x:v>
      </x:c>
      <x:c r="H1627" s="9" t="n">
        <x:v>0.05</x:v>
      </x:c>
      <x:c r="I1627" s="7" t="n">
        <x:v>1596</x:v>
      </x:c>
    </x:row>
    <x:row r="1628" ht="23" customHeight="1">
      <x:c r="A1628" s="7" t="str">
        <x:v>INV01623</x:v>
      </x:c>
      <x:c r="B1628" s="15" t="d">
        <x:v>2026-03-04T00:00:00.000Z</x:v>
      </x:c>
      <x:c r="C1628" s="14" t="d">
        <x:v>2026-03-01T00:00:00.000Z</x:v>
      </x:c>
      <x:c r="D1628" s="34" t="str">
        <x:v>0008</x:v>
      </x:c>
      <x:c r="E1628" s="7" t="str">
        <x:v>West</x:v>
      </x:c>
      <x:c r="F1628" s="7" t="n">
        <x:v>7</x:v>
      </x:c>
      <x:c r="G1628" s="7" t="n">
        <x:v>300</x:v>
      </x:c>
      <x:c r="H1628" s="9" t="n">
        <x:v>0</x:v>
      </x:c>
      <x:c r="I1628" s="7" t="n">
        <x:v>2100</x:v>
      </x:c>
    </x:row>
    <x:row r="1629" ht="23" customHeight="1">
      <x:c r="A1629" s="7" t="str">
        <x:v>INV01624</x:v>
      </x:c>
      <x:c r="B1629" s="15" t="d">
        <x:v>2026-03-05T00:00:00.000Z</x:v>
      </x:c>
      <x:c r="C1629" s="14" t="d">
        <x:v>2026-03-01T00:00:00.000Z</x:v>
      </x:c>
      <x:c r="D1629" s="34" t="str">
        <x:v>0001</x:v>
      </x:c>
      <x:c r="E1629" s="7" t="str">
        <x:v>North</x:v>
      </x:c>
      <x:c r="F1629" s="7" t="n">
        <x:v>3</x:v>
      </x:c>
      <x:c r="G1629" s="7" t="n">
        <x:v>160</x:v>
      </x:c>
      <x:c r="H1629" s="9" t="n">
        <x:v>0.02</x:v>
      </x:c>
      <x:c r="I1629" s="7" t="n">
        <x:v>470.4</x:v>
      </x:c>
    </x:row>
    <x:row r="1630" ht="23" customHeight="1">
      <x:c r="A1630" s="7" t="str">
        <x:v>INV01625</x:v>
      </x:c>
      <x:c r="B1630" s="15" t="d">
        <x:v>2026-03-06T00:00:00.000Z</x:v>
      </x:c>
      <x:c r="C1630" s="14" t="d">
        <x:v>2026-03-01T00:00:00.000Z</x:v>
      </x:c>
      <x:c r="D1630" s="34" t="str">
        <x:v>0002</x:v>
      </x:c>
      <x:c r="E1630" s="7" t="str">
        <x:v>North</x:v>
      </x:c>
      <x:c r="F1630" s="7" t="n">
        <x:v>6</x:v>
      </x:c>
      <x:c r="G1630" s="7" t="n">
        <x:v>180</x:v>
      </x:c>
      <x:c r="H1630" s="9" t="n">
        <x:v>0.05</x:v>
      </x:c>
      <x:c r="I1630" s="7" t="n">
        <x:v>1026</x:v>
      </x:c>
    </x:row>
    <x:row r="1631" ht="23" customHeight="1">
      <x:c r="A1631" s="7" t="str">
        <x:v>INV01626</x:v>
      </x:c>
      <x:c r="B1631" s="15" t="d">
        <x:v>2026-03-07T00:00:00.000Z</x:v>
      </x:c>
      <x:c r="C1631" s="14" t="d">
        <x:v>2026-03-01T00:00:00.000Z</x:v>
      </x:c>
      <x:c r="D1631" s="34" t="str">
        <x:v>0003</x:v>
      </x:c>
      <x:c r="E1631" s="7" t="str">
        <x:v>North</x:v>
      </x:c>
      <x:c r="F1631" s="7" t="n">
        <x:v>2</x:v>
      </x:c>
      <x:c r="G1631" s="7" t="n">
        <x:v>200</x:v>
      </x:c>
      <x:c r="H1631" s="9" t="n">
        <x:v>0</x:v>
      </x:c>
      <x:c r="I1631" s="7" t="n">
        <x:v>400</x:v>
      </x:c>
    </x:row>
    <x:row r="1632" ht="23" customHeight="1">
      <x:c r="A1632" s="7" t="str">
        <x:v>INV01627</x:v>
      </x:c>
      <x:c r="B1632" s="15" t="d">
        <x:v>2026-03-08T00:00:00.000Z</x:v>
      </x:c>
      <x:c r="C1632" s="14" t="d">
        <x:v>2026-03-01T00:00:00.000Z</x:v>
      </x:c>
      <x:c r="D1632" s="34" t="str">
        <x:v>0004</x:v>
      </x:c>
      <x:c r="E1632" s="7" t="str">
        <x:v>North</x:v>
      </x:c>
      <x:c r="F1632" s="7" t="n">
        <x:v>7</x:v>
      </x:c>
      <x:c r="G1632" s="7" t="n">
        <x:v>220</x:v>
      </x:c>
      <x:c r="H1632" s="9" t="n">
        <x:v>0.02</x:v>
      </x:c>
      <x:c r="I1632" s="7" t="n">
        <x:v>1509.2</x:v>
      </x:c>
    </x:row>
    <x:row r="1633" ht="23" customHeight="1">
      <x:c r="A1633" s="7" t="str">
        <x:v>INV01628</x:v>
      </x:c>
      <x:c r="B1633" s="15" t="d">
        <x:v>2026-03-09T00:00:00.000Z</x:v>
      </x:c>
      <x:c r="C1633" s="14" t="d">
        <x:v>2026-03-01T00:00:00.000Z</x:v>
      </x:c>
      <x:c r="D1633" s="34" t="str">
        <x:v>0005</x:v>
      </x:c>
      <x:c r="E1633" s="7" t="str">
        <x:v>North</x:v>
      </x:c>
      <x:c r="F1633" s="7" t="n">
        <x:v>3</x:v>
      </x:c>
      <x:c r="G1633" s="7" t="n">
        <x:v>240</x:v>
      </x:c>
      <x:c r="H1633" s="9" t="n">
        <x:v>0.05</x:v>
      </x:c>
      <x:c r="I1633" s="7" t="n">
        <x:v>684</x:v>
      </x:c>
    </x:row>
    <x:row r="1634" ht="23" customHeight="1">
      <x:c r="A1634" s="7" t="str">
        <x:v>INV01629</x:v>
      </x:c>
      <x:c r="B1634" s="15" t="d">
        <x:v>2026-03-10T00:00:00.000Z</x:v>
      </x:c>
      <x:c r="C1634" s="14" t="d">
        <x:v>2026-03-01T00:00:00.000Z</x:v>
      </x:c>
      <x:c r="D1634" s="34" t="str">
        <x:v>0006</x:v>
      </x:c>
      <x:c r="E1634" s="7" t="str">
        <x:v>North</x:v>
      </x:c>
      <x:c r="F1634" s="7" t="n">
        <x:v>2</x:v>
      </x:c>
      <x:c r="G1634" s="7" t="n">
        <x:v>260</x:v>
      </x:c>
      <x:c r="H1634" s="9" t="n">
        <x:v>0</x:v>
      </x:c>
      <x:c r="I1634" s="7" t="n">
        <x:v>520</x:v>
      </x:c>
    </x:row>
    <x:row r="1635" ht="23" customHeight="1">
      <x:c r="A1635" s="7" t="str">
        <x:v>INV01630</x:v>
      </x:c>
      <x:c r="B1635" s="15" t="d">
        <x:v>2026-03-11T00:00:00.000Z</x:v>
      </x:c>
      <x:c r="C1635" s="14" t="d">
        <x:v>2026-03-01T00:00:00.000Z</x:v>
      </x:c>
      <x:c r="D1635" s="34" t="str">
        <x:v>0007</x:v>
      </x:c>
      <x:c r="E1635" s="7" t="str">
        <x:v>North</x:v>
      </x:c>
      <x:c r="F1635" s="7" t="n">
        <x:v>3</x:v>
      </x:c>
      <x:c r="G1635" s="7" t="n">
        <x:v>280</x:v>
      </x:c>
      <x:c r="H1635" s="9" t="n">
        <x:v>0.02</x:v>
      </x:c>
      <x:c r="I1635" s="7" t="n">
        <x:v>823.2</x:v>
      </x:c>
    </x:row>
    <x:row r="1636" ht="23" customHeight="1">
      <x:c r="A1636" s="7" t="str">
        <x:v>INV01631</x:v>
      </x:c>
      <x:c r="B1636" s="15" t="d">
        <x:v>2026-03-12T00:00:00.000Z</x:v>
      </x:c>
      <x:c r="C1636" s="14" t="d">
        <x:v>2026-03-01T00:00:00.000Z</x:v>
      </x:c>
      <x:c r="D1636" s="34" t="str">
        <x:v>0008</x:v>
      </x:c>
      <x:c r="E1636" s="7" t="str">
        <x:v>North</x:v>
      </x:c>
      <x:c r="F1636" s="7" t="n">
        <x:v>3</x:v>
      </x:c>
      <x:c r="G1636" s="7" t="n">
        <x:v>300</x:v>
      </x:c>
      <x:c r="H1636" s="9" t="n">
        <x:v>0.05</x:v>
      </x:c>
      <x:c r="I1636" s="7" t="n">
        <x:v>855</x:v>
      </x:c>
    </x:row>
    <x:row r="1637" ht="23" customHeight="1">
      <x:c r="A1637" s="7" t="str">
        <x:v>INV01632</x:v>
      </x:c>
      <x:c r="B1637" s="15" t="d">
        <x:v>2026-04-13T00:00:00.000Z</x:v>
      </x:c>
      <x:c r="C1637" s="14" t="d">
        <x:v>2026-04-01T00:00:00.000Z</x:v>
      </x:c>
      <x:c r="D1637" s="34" t="str">
        <x:v>0001</x:v>
      </x:c>
      <x:c r="E1637" s="7" t="str">
        <x:v>Central</x:v>
      </x:c>
      <x:c r="F1637" s="7" t="n">
        <x:v>4</x:v>
      </x:c>
      <x:c r="G1637" s="7" t="n">
        <x:v>160</x:v>
      </x:c>
      <x:c r="H1637" s="9" t="n">
        <x:v>0</x:v>
      </x:c>
      <x:c r="I1637" s="7" t="n">
        <x:v>640</x:v>
      </x:c>
    </x:row>
    <x:row r="1638" ht="23" customHeight="1">
      <x:c r="A1638" s="7" t="str">
        <x:v>INV01633</x:v>
      </x:c>
      <x:c r="B1638" s="15" t="d">
        <x:v>2026-04-14T00:00:00.000Z</x:v>
      </x:c>
      <x:c r="C1638" s="14" t="d">
        <x:v>2026-04-01T00:00:00.000Z</x:v>
      </x:c>
      <x:c r="D1638" s="34" t="str">
        <x:v>0002</x:v>
      </x:c>
      <x:c r="E1638" s="7" t="str">
        <x:v>Central</x:v>
      </x:c>
      <x:c r="F1638" s="7" t="n">
        <x:v>1</x:v>
      </x:c>
      <x:c r="G1638" s="7" t="n">
        <x:v>180</x:v>
      </x:c>
      <x:c r="H1638" s="9" t="n">
        <x:v>0.02</x:v>
      </x:c>
      <x:c r="I1638" s="7" t="n">
        <x:v>176.4</x:v>
      </x:c>
    </x:row>
    <x:row r="1639" ht="23" customHeight="1">
      <x:c r="A1639" s="7" t="str">
        <x:v>INV01634</x:v>
      </x:c>
      <x:c r="B1639" s="15" t="d">
        <x:v>2026-04-15T00:00:00.000Z</x:v>
      </x:c>
      <x:c r="C1639" s="14" t="d">
        <x:v>2026-04-01T00:00:00.000Z</x:v>
      </x:c>
      <x:c r="D1639" s="34" t="str">
        <x:v>0003</x:v>
      </x:c>
      <x:c r="E1639" s="7" t="str">
        <x:v>Central</x:v>
      </x:c>
      <x:c r="F1639" s="7" t="n">
        <x:v>7</x:v>
      </x:c>
      <x:c r="G1639" s="7" t="n">
        <x:v>200</x:v>
      </x:c>
      <x:c r="H1639" s="9" t="n">
        <x:v>0.05</x:v>
      </x:c>
      <x:c r="I1639" s="7" t="n">
        <x:v>1330</x:v>
      </x:c>
    </x:row>
    <x:row r="1640" ht="23" customHeight="1">
      <x:c r="A1640" s="7" t="str">
        <x:v>INV01635</x:v>
      </x:c>
      <x:c r="B1640" s="15" t="d">
        <x:v>2026-04-16T00:00:00.000Z</x:v>
      </x:c>
      <x:c r="C1640" s="14" t="d">
        <x:v>2026-04-01T00:00:00.000Z</x:v>
      </x:c>
      <x:c r="D1640" s="34" t="str">
        <x:v>0004</x:v>
      </x:c>
      <x:c r="E1640" s="7" t="str">
        <x:v>Central</x:v>
      </x:c>
      <x:c r="F1640" s="7" t="n">
        <x:v>7</x:v>
      </x:c>
      <x:c r="G1640" s="7" t="n">
        <x:v>220</x:v>
      </x:c>
      <x:c r="H1640" s="9" t="n">
        <x:v>0</x:v>
      </x:c>
      <x:c r="I1640" s="7" t="n">
        <x:v>1540</x:v>
      </x:c>
    </x:row>
    <x:row r="1641" ht="23" customHeight="1">
      <x:c r="A1641" s="7" t="str">
        <x:v>INV01636</x:v>
      </x:c>
      <x:c r="B1641" s="15" t="d">
        <x:v>2026-04-17T00:00:00.000Z</x:v>
      </x:c>
      <x:c r="C1641" s="14" t="d">
        <x:v>2026-04-01T00:00:00.000Z</x:v>
      </x:c>
      <x:c r="D1641" s="34" t="str">
        <x:v>0005</x:v>
      </x:c>
      <x:c r="E1641" s="7" t="str">
        <x:v>Central</x:v>
      </x:c>
      <x:c r="F1641" s="7" t="n">
        <x:v>1</x:v>
      </x:c>
      <x:c r="G1641" s="7" t="n">
        <x:v>240</x:v>
      </x:c>
      <x:c r="H1641" s="9" t="n">
        <x:v>0.02</x:v>
      </x:c>
      <x:c r="I1641" s="7" t="n">
        <x:v>235.2</x:v>
      </x:c>
    </x:row>
    <x:row r="1642" ht="23" customHeight="1">
      <x:c r="A1642" s="7" t="str">
        <x:v>INV01637</x:v>
      </x:c>
      <x:c r="B1642" s="15" t="d">
        <x:v>2026-04-18T00:00:00.000Z</x:v>
      </x:c>
      <x:c r="C1642" s="14" t="d">
        <x:v>2026-04-01T00:00:00.000Z</x:v>
      </x:c>
      <x:c r="D1642" s="34" t="str">
        <x:v>0006</x:v>
      </x:c>
      <x:c r="E1642" s="7" t="str">
        <x:v>Central</x:v>
      </x:c>
      <x:c r="F1642" s="7" t="n">
        <x:v>6</x:v>
      </x:c>
      <x:c r="G1642" s="7" t="n">
        <x:v>260</x:v>
      </x:c>
      <x:c r="H1642" s="9" t="n">
        <x:v>0.05</x:v>
      </x:c>
      <x:c r="I1642" s="7" t="n">
        <x:v>1482</x:v>
      </x:c>
    </x:row>
    <x:row r="1643" ht="23" customHeight="1">
      <x:c r="A1643" s="7" t="str">
        <x:v>INV01638</x:v>
      </x:c>
      <x:c r="B1643" s="15" t="d">
        <x:v>2026-04-19T00:00:00.000Z</x:v>
      </x:c>
      <x:c r="C1643" s="14" t="d">
        <x:v>2026-04-01T00:00:00.000Z</x:v>
      </x:c>
      <x:c r="D1643" s="34" t="str">
        <x:v>0007</x:v>
      </x:c>
      <x:c r="E1643" s="7" t="str">
        <x:v>Central</x:v>
      </x:c>
      <x:c r="F1643" s="7" t="n">
        <x:v>6</x:v>
      </x:c>
      <x:c r="G1643" s="7" t="n">
        <x:v>280</x:v>
      </x:c>
      <x:c r="H1643" s="9" t="n">
        <x:v>0</x:v>
      </x:c>
      <x:c r="I1643" s="7" t="n">
        <x:v>1680</x:v>
      </x:c>
    </x:row>
    <x:row r="1644" ht="23" customHeight="1">
      <x:c r="A1644" s="7" t="str">
        <x:v>INV01639</x:v>
      </x:c>
      <x:c r="B1644" s="15" t="d">
        <x:v>2026-04-20T00:00:00.000Z</x:v>
      </x:c>
      <x:c r="C1644" s="14" t="d">
        <x:v>2026-04-01T00:00:00.000Z</x:v>
      </x:c>
      <x:c r="D1644" s="34" t="str">
        <x:v>0008</x:v>
      </x:c>
      <x:c r="E1644" s="7" t="str">
        <x:v>Central</x:v>
      </x:c>
      <x:c r="F1644" s="7" t="n">
        <x:v>4</x:v>
      </x:c>
      <x:c r="G1644" s="7" t="n">
        <x:v>300</x:v>
      </x:c>
      <x:c r="H1644" s="9" t="n">
        <x:v>0.02</x:v>
      </x:c>
      <x:c r="I1644" s="7" t="n">
        <x:v>1176</x:v>
      </x:c>
    </x:row>
    <x:row r="1645" ht="23" customHeight="1">
      <x:c r="A1645" s="7" t="str">
        <x:v>INV01640</x:v>
      </x:c>
      <x:c r="B1645" s="15" t="d">
        <x:v>2026-04-21T00:00:00.000Z</x:v>
      </x:c>
      <x:c r="C1645" s="14" t="d">
        <x:v>2026-04-01T00:00:00.000Z</x:v>
      </x:c>
      <x:c r="D1645" s="34" t="str">
        <x:v>0001</x:v>
      </x:c>
      <x:c r="E1645" s="7" t="str">
        <x:v>East</x:v>
      </x:c>
      <x:c r="F1645" s="7" t="n">
        <x:v>-5</x:v>
      </x:c>
      <x:c r="G1645" s="7" t="n">
        <x:v>160</x:v>
      </x:c>
      <x:c r="H1645" s="9" t="n">
        <x:v>0.05</x:v>
      </x:c>
      <x:c r="I1645" s="7" t="n">
        <x:v>-760</x:v>
      </x:c>
    </x:row>
    <x:row r="1646" ht="23" customHeight="1">
      <x:c r="A1646" s="7" t="str">
        <x:v>INV01641</x:v>
      </x:c>
      <x:c r="B1646" s="15" t="d">
        <x:v>2026-04-22T00:00:00.000Z</x:v>
      </x:c>
      <x:c r="C1646" s="14" t="d">
        <x:v>2026-04-01T00:00:00.000Z</x:v>
      </x:c>
      <x:c r="D1646" s="34" t="str">
        <x:v>0002</x:v>
      </x:c>
      <x:c r="E1646" s="7" t="str">
        <x:v>East</x:v>
      </x:c>
      <x:c r="F1646" s="7" t="n">
        <x:v>3</x:v>
      </x:c>
      <x:c r="G1646" s="7" t="n">
        <x:v>180</x:v>
      </x:c>
      <x:c r="H1646" s="9" t="n">
        <x:v>0</x:v>
      </x:c>
      <x:c r="I1646" s="7" t="n">
        <x:v>540</x:v>
      </x:c>
    </x:row>
    <x:row r="1647" ht="23" customHeight="1">
      <x:c r="A1647" s="7" t="str">
        <x:v>INV01642</x:v>
      </x:c>
      <x:c r="B1647" s="15" t="d">
        <x:v>2026-04-23T00:00:00.000Z</x:v>
      </x:c>
      <x:c r="C1647" s="14" t="d">
        <x:v>2026-04-01T00:00:00.000Z</x:v>
      </x:c>
      <x:c r="D1647" s="34" t="str">
        <x:v>0003</x:v>
      </x:c>
      <x:c r="E1647" s="7" t="str">
        <x:v>East</x:v>
      </x:c>
      <x:c r="F1647" s="7" t="n">
        <x:v>2</x:v>
      </x:c>
      <x:c r="G1647" s="7" t="n">
        <x:v>200</x:v>
      </x:c>
      <x:c r="H1647" s="9" t="n">
        <x:v>0.02</x:v>
      </x:c>
      <x:c r="I1647" s="7" t="n">
        <x:v>392</x:v>
      </x:c>
    </x:row>
    <x:row r="1648" ht="23" customHeight="1">
      <x:c r="A1648" s="7" t="str">
        <x:v>INV01643</x:v>
      </x:c>
      <x:c r="B1648" s="15" t="d">
        <x:v>2026-04-24T00:00:00.000Z</x:v>
      </x:c>
      <x:c r="C1648" s="14" t="d">
        <x:v>2026-04-01T00:00:00.000Z</x:v>
      </x:c>
      <x:c r="D1648" s="34" t="str">
        <x:v>0004</x:v>
      </x:c>
      <x:c r="E1648" s="7" t="str">
        <x:v>East</x:v>
      </x:c>
      <x:c r="F1648" s="7" t="n">
        <x:v>3</x:v>
      </x:c>
      <x:c r="G1648" s="7" t="n">
        <x:v>220</x:v>
      </x:c>
      <x:c r="H1648" s="9" t="n">
        <x:v>0.05</x:v>
      </x:c>
      <x:c r="I1648" s="7" t="n">
        <x:v>627</x:v>
      </x:c>
    </x:row>
    <x:row r="1649" ht="23" customHeight="1">
      <x:c r="A1649" s="7" t="str">
        <x:v>INV01644</x:v>
      </x:c>
      <x:c r="B1649" s="15" t="d">
        <x:v>2026-04-25T00:00:00.000Z</x:v>
      </x:c>
      <x:c r="C1649" s="14" t="d">
        <x:v>2026-04-01T00:00:00.000Z</x:v>
      </x:c>
      <x:c r="D1649" s="34" t="str">
        <x:v>0005</x:v>
      </x:c>
      <x:c r="E1649" s="7" t="str">
        <x:v>East</x:v>
      </x:c>
      <x:c r="F1649" s="7" t="n">
        <x:v>7</x:v>
      </x:c>
      <x:c r="G1649" s="7" t="n">
        <x:v>240</x:v>
      </x:c>
      <x:c r="H1649" s="9" t="n">
        <x:v>0</x:v>
      </x:c>
      <x:c r="I1649" s="7" t="n">
        <x:v>1680</x:v>
      </x:c>
    </x:row>
    <x:row r="1650" ht="23" customHeight="1">
      <x:c r="A1650" s="7" t="str">
        <x:v>INV01645</x:v>
      </x:c>
      <x:c r="B1650" s="15" t="d">
        <x:v>2026-04-26T00:00:00.000Z</x:v>
      </x:c>
      <x:c r="C1650" s="14" t="d">
        <x:v>2026-04-01T00:00:00.000Z</x:v>
      </x:c>
      <x:c r="D1650" s="34" t="str">
        <x:v>0006</x:v>
      </x:c>
      <x:c r="E1650" s="7" t="str">
        <x:v>East</x:v>
      </x:c>
      <x:c r="F1650" s="7" t="n">
        <x:v>4</x:v>
      </x:c>
      <x:c r="G1650" s="7" t="n">
        <x:v>260</x:v>
      </x:c>
      <x:c r="H1650" s="9" t="n">
        <x:v>0.02</x:v>
      </x:c>
      <x:c r="I1650" s="7" t="n">
        <x:v>1019.2</x:v>
      </x:c>
    </x:row>
    <x:row r="1651" ht="23" customHeight="1">
      <x:c r="A1651" s="7" t="str">
        <x:v>INV01646</x:v>
      </x:c>
      <x:c r="B1651" s="15" t="d">
        <x:v>2026-04-27T00:00:00.000Z</x:v>
      </x:c>
      <x:c r="C1651" s="14" t="d">
        <x:v>2026-04-01T00:00:00.000Z</x:v>
      </x:c>
      <x:c r="D1651" s="34" t="str">
        <x:v>0007</x:v>
      </x:c>
      <x:c r="E1651" s="7" t="str">
        <x:v>East</x:v>
      </x:c>
      <x:c r="F1651" s="7" t="n">
        <x:v>4</x:v>
      </x:c>
      <x:c r="G1651" s="7" t="n">
        <x:v>280</x:v>
      </x:c>
      <x:c r="H1651" s="9" t="n">
        <x:v>0.05</x:v>
      </x:c>
      <x:c r="I1651" s="7" t="n">
        <x:v>1064</x:v>
      </x:c>
    </x:row>
    <x:row r="1652" ht="23" customHeight="1">
      <x:c r="A1652" s="7" t="str">
        <x:v>INV01647</x:v>
      </x:c>
      <x:c r="B1652" s="15" t="d">
        <x:v>2026-04-01T00:00:00.000Z</x:v>
      </x:c>
      <x:c r="C1652" s="14" t="d">
        <x:v>2026-04-01T00:00:00.000Z</x:v>
      </x:c>
      <x:c r="D1652" s="34" t="str">
        <x:v>0008</x:v>
      </x:c>
      <x:c r="E1652" s="7" t="str">
        <x:v>East</x:v>
      </x:c>
      <x:c r="F1652" s="7" t="n">
        <x:v>4</x:v>
      </x:c>
      <x:c r="G1652" s="7" t="n">
        <x:v>300</x:v>
      </x:c>
      <x:c r="H1652" s="9" t="n">
        <x:v>0</x:v>
      </x:c>
      <x:c r="I1652" s="7" t="n">
        <x:v>1200</x:v>
      </x:c>
    </x:row>
    <x:row r="1653" ht="23" customHeight="1">
      <x:c r="A1653" s="7" t="str">
        <x:v>INV01648</x:v>
      </x:c>
      <x:c r="B1653" s="15" t="d">
        <x:v>2026-04-02T00:00:00.000Z</x:v>
      </x:c>
      <x:c r="C1653" s="14" t="d">
        <x:v>2026-04-01T00:00:00.000Z</x:v>
      </x:c>
      <x:c r="D1653" s="34" t="str">
        <x:v>0001</x:v>
      </x:c>
      <x:c r="E1653" s="7" t="str">
        <x:v>West</x:v>
      </x:c>
      <x:c r="F1653" s="7" t="n">
        <x:v>7</x:v>
      </x:c>
      <x:c r="G1653" s="7" t="n">
        <x:v>160</x:v>
      </x:c>
      <x:c r="H1653" s="9" t="n">
        <x:v>0.02</x:v>
      </x:c>
      <x:c r="I1653" s="7" t="n">
        <x:v>1097.6</x:v>
      </x:c>
    </x:row>
    <x:row r="1654" ht="23" customHeight="1">
      <x:c r="A1654" s="7" t="str">
        <x:v>INV01649</x:v>
      </x:c>
      <x:c r="B1654" s="15" t="d">
        <x:v>2026-04-03T00:00:00.000Z</x:v>
      </x:c>
      <x:c r="C1654" s="14" t="d">
        <x:v>2026-04-01T00:00:00.000Z</x:v>
      </x:c>
      <x:c r="D1654" s="34" t="str">
        <x:v>0002</x:v>
      </x:c>
      <x:c r="E1654" s="7" t="str">
        <x:v>West</x:v>
      </x:c>
      <x:c r="F1654" s="7" t="n">
        <x:v>5</x:v>
      </x:c>
      <x:c r="G1654" s="7" t="n">
        <x:v>180</x:v>
      </x:c>
      <x:c r="H1654" s="9" t="n">
        <x:v>0.05</x:v>
      </x:c>
      <x:c r="I1654" s="7" t="n">
        <x:v>855</x:v>
      </x:c>
    </x:row>
    <x:row r="1655" ht="23" customHeight="1">
      <x:c r="A1655" s="7" t="str">
        <x:v>INV01650</x:v>
      </x:c>
      <x:c r="B1655" s="15" t="d">
        <x:v>2026-04-04T00:00:00.000Z</x:v>
      </x:c>
      <x:c r="C1655" s="14" t="d">
        <x:v>2026-04-01T00:00:00.000Z</x:v>
      </x:c>
      <x:c r="D1655" s="34" t="str">
        <x:v>0003</x:v>
      </x:c>
      <x:c r="E1655" s="7" t="str">
        <x:v>West</x:v>
      </x:c>
      <x:c r="F1655" s="7" t="n">
        <x:v>7</x:v>
      </x:c>
      <x:c r="G1655" s="7" t="n">
        <x:v>200</x:v>
      </x:c>
      <x:c r="H1655" s="9" t="n">
        <x:v>0</x:v>
      </x:c>
      <x:c r="I1655" s="7" t="n">
        <x:v>1400</x:v>
      </x:c>
    </x:row>
    <x:row r="1656" ht="23" customHeight="1">
      <x:c r="A1656" s="7" t="str">
        <x:v>INV01651</x:v>
      </x:c>
      <x:c r="B1656" s="15" t="d">
        <x:v>2026-04-05T00:00:00.000Z</x:v>
      </x:c>
      <x:c r="C1656" s="14" t="d">
        <x:v>2026-04-01T00:00:00.000Z</x:v>
      </x:c>
      <x:c r="D1656" s="34" t="str">
        <x:v>0004</x:v>
      </x:c>
      <x:c r="E1656" s="7" t="str">
        <x:v>West</x:v>
      </x:c>
      <x:c r="F1656" s="7" t="n">
        <x:v>1</x:v>
      </x:c>
      <x:c r="G1656" s="7" t="n">
        <x:v>220</x:v>
      </x:c>
      <x:c r="H1656" s="9" t="n">
        <x:v>0.02</x:v>
      </x:c>
      <x:c r="I1656" s="7" t="n">
        <x:v>215.6</x:v>
      </x:c>
    </x:row>
    <x:row r="1657" ht="23" customHeight="1">
      <x:c r="A1657" s="7" t="str">
        <x:v>INV01652</x:v>
      </x:c>
      <x:c r="B1657" s="15" t="d">
        <x:v>2026-04-06T00:00:00.000Z</x:v>
      </x:c>
      <x:c r="C1657" s="14" t="d">
        <x:v>2026-04-01T00:00:00.000Z</x:v>
      </x:c>
      <x:c r="D1657" s="34" t="str">
        <x:v>0005</x:v>
      </x:c>
      <x:c r="E1657" s="7" t="str">
        <x:v>West</x:v>
      </x:c>
      <x:c r="F1657" s="7" t="n">
        <x:v>2</x:v>
      </x:c>
      <x:c r="G1657" s="7" t="n">
        <x:v>240</x:v>
      </x:c>
      <x:c r="H1657" s="9" t="n">
        <x:v>0.05</x:v>
      </x:c>
      <x:c r="I1657" s="7" t="n">
        <x:v>456</x:v>
      </x:c>
    </x:row>
    <x:row r="1658" ht="23" customHeight="1">
      <x:c r="A1658" s="7" t="str">
        <x:v>INV01653</x:v>
      </x:c>
      <x:c r="B1658" s="15" t="d">
        <x:v>2026-04-07T00:00:00.000Z</x:v>
      </x:c>
      <x:c r="C1658" s="14" t="d">
        <x:v>2026-04-01T00:00:00.000Z</x:v>
      </x:c>
      <x:c r="D1658" s="34" t="str">
        <x:v>0006</x:v>
      </x:c>
      <x:c r="E1658" s="7" t="str">
        <x:v>West</x:v>
      </x:c>
      <x:c r="F1658" s="7" t="n">
        <x:v>2</x:v>
      </x:c>
      <x:c r="G1658" s="7" t="n">
        <x:v>260</x:v>
      </x:c>
      <x:c r="H1658" s="9" t="n">
        <x:v>0</x:v>
      </x:c>
      <x:c r="I1658" s="7" t="n">
        <x:v>520</x:v>
      </x:c>
    </x:row>
    <x:row r="1659" ht="23" customHeight="1">
      <x:c r="A1659" s="7" t="str">
        <x:v>INV01654</x:v>
      </x:c>
      <x:c r="B1659" s="15" t="d">
        <x:v>2026-04-08T00:00:00.000Z</x:v>
      </x:c>
      <x:c r="C1659" s="14" t="d">
        <x:v>2026-04-01T00:00:00.000Z</x:v>
      </x:c>
      <x:c r="D1659" s="34" t="str">
        <x:v>0007</x:v>
      </x:c>
      <x:c r="E1659" s="7" t="str">
        <x:v>West</x:v>
      </x:c>
      <x:c r="F1659" s="7" t="n">
        <x:v>4</x:v>
      </x:c>
      <x:c r="G1659" s="7" t="n">
        <x:v>280</x:v>
      </x:c>
      <x:c r="H1659" s="9" t="n">
        <x:v>0.02</x:v>
      </x:c>
      <x:c r="I1659" s="7" t="n">
        <x:v>1097.6</x:v>
      </x:c>
    </x:row>
    <x:row r="1660" ht="23" customHeight="1">
      <x:c r="A1660" s="7" t="str">
        <x:v>INV01655</x:v>
      </x:c>
      <x:c r="B1660" s="15" t="d">
        <x:v>2026-04-09T00:00:00.000Z</x:v>
      </x:c>
      <x:c r="C1660" s="14" t="d">
        <x:v>2026-04-01T00:00:00.000Z</x:v>
      </x:c>
      <x:c r="D1660" s="34" t="str">
        <x:v>0008</x:v>
      </x:c>
      <x:c r="E1660" s="7" t="str">
        <x:v>West</x:v>
      </x:c>
      <x:c r="F1660" s="7" t="n">
        <x:v>1</x:v>
      </x:c>
      <x:c r="G1660" s="7" t="n">
        <x:v>300</x:v>
      </x:c>
      <x:c r="H1660" s="9" t="n">
        <x:v>0.05</x:v>
      </x:c>
      <x:c r="I1660" s="7" t="n">
        <x:v>285</x:v>
      </x:c>
    </x:row>
    <x:row r="1661" ht="23" customHeight="1">
      <x:c r="A1661" s="7" t="str">
        <x:v>INV01656</x:v>
      </x:c>
      <x:c r="B1661" s="15" t="d">
        <x:v>2026-04-10T00:00:00.000Z</x:v>
      </x:c>
      <x:c r="C1661" s="14" t="d">
        <x:v>2026-04-01T00:00:00.000Z</x:v>
      </x:c>
      <x:c r="D1661" s="34" t="str">
        <x:v>0001</x:v>
      </x:c>
      <x:c r="E1661" s="7" t="str">
        <x:v>North</x:v>
      </x:c>
      <x:c r="F1661" s="7" t="n">
        <x:v>6</x:v>
      </x:c>
      <x:c r="G1661" s="7" t="n">
        <x:v>160</x:v>
      </x:c>
      <x:c r="H1661" s="9" t="n">
        <x:v>0</x:v>
      </x:c>
      <x:c r="I1661" s="7" t="n">
        <x:v>960</x:v>
      </x:c>
    </x:row>
    <x:row r="1662" ht="23" customHeight="1">
      <x:c r="A1662" s="7" t="str">
        <x:v>INV01657</x:v>
      </x:c>
      <x:c r="B1662" s="15" t="d">
        <x:v>2026-04-11T00:00:00.000Z</x:v>
      </x:c>
      <x:c r="C1662" s="14" t="d">
        <x:v>2026-04-01T00:00:00.000Z</x:v>
      </x:c>
      <x:c r="D1662" s="34" t="str">
        <x:v>0002</x:v>
      </x:c>
      <x:c r="E1662" s="7" t="str">
        <x:v>North</x:v>
      </x:c>
      <x:c r="F1662" s="7" t="n">
        <x:v>4</x:v>
      </x:c>
      <x:c r="G1662" s="7" t="n">
        <x:v>180</x:v>
      </x:c>
      <x:c r="H1662" s="9" t="n">
        <x:v>0.02</x:v>
      </x:c>
      <x:c r="I1662" s="7" t="n">
        <x:v>705.6</x:v>
      </x:c>
    </x:row>
    <x:row r="1663" ht="23" customHeight="1">
      <x:c r="A1663" s="7" t="str">
        <x:v>INV01658</x:v>
      </x:c>
      <x:c r="B1663" s="15" t="d">
        <x:v>2026-04-12T00:00:00.000Z</x:v>
      </x:c>
      <x:c r="C1663" s="14" t="d">
        <x:v>2026-04-01T00:00:00.000Z</x:v>
      </x:c>
      <x:c r="D1663" s="34" t="str">
        <x:v>0003</x:v>
      </x:c>
      <x:c r="E1663" s="7" t="str">
        <x:v>North</x:v>
      </x:c>
      <x:c r="F1663" s="7" t="n">
        <x:v>1</x:v>
      </x:c>
      <x:c r="G1663" s="7" t="n">
        <x:v>200</x:v>
      </x:c>
      <x:c r="H1663" s="9" t="n">
        <x:v>0.05</x:v>
      </x:c>
      <x:c r="I1663" s="7" t="n">
        <x:v>190</x:v>
      </x:c>
    </x:row>
    <x:row r="1664" ht="23" customHeight="1">
      <x:c r="A1664" s="7" t="str">
        <x:v>INV01659</x:v>
      </x:c>
      <x:c r="B1664" s="15" t="d">
        <x:v>2026-04-13T00:00:00.000Z</x:v>
      </x:c>
      <x:c r="C1664" s="14" t="d">
        <x:v>2026-04-01T00:00:00.000Z</x:v>
      </x:c>
      <x:c r="D1664" s="34" t="str">
        <x:v>0004</x:v>
      </x:c>
      <x:c r="E1664" s="7" t="str">
        <x:v>North</x:v>
      </x:c>
      <x:c r="F1664" s="7" t="n">
        <x:v>4</x:v>
      </x:c>
      <x:c r="G1664" s="7" t="n">
        <x:v>220</x:v>
      </x:c>
      <x:c r="H1664" s="9" t="n">
        <x:v>0</x:v>
      </x:c>
      <x:c r="I1664" s="7" t="n">
        <x:v>880</x:v>
      </x:c>
    </x:row>
    <x:row r="1665" ht="23" customHeight="1">
      <x:c r="A1665" s="7" t="str">
        <x:v>INV01660</x:v>
      </x:c>
      <x:c r="B1665" s="15" t="d">
        <x:v>2026-04-14T00:00:00.000Z</x:v>
      </x:c>
      <x:c r="C1665" s="14" t="d">
        <x:v>2026-04-01T00:00:00.000Z</x:v>
      </x:c>
      <x:c r="D1665" s="34" t="str">
        <x:v>0005</x:v>
      </x:c>
      <x:c r="E1665" s="7" t="str">
        <x:v>North</x:v>
      </x:c>
      <x:c r="F1665" s="7" t="n">
        <x:v>3</x:v>
      </x:c>
      <x:c r="G1665" s="7" t="n">
        <x:v>240</x:v>
      </x:c>
      <x:c r="H1665" s="9" t="n">
        <x:v>0.02</x:v>
      </x:c>
      <x:c r="I1665" s="7" t="n">
        <x:v>705.6</x:v>
      </x:c>
    </x:row>
    <x:row r="1666" ht="23" customHeight="1">
      <x:c r="A1666" s="7" t="str">
        <x:v>INV01661</x:v>
      </x:c>
      <x:c r="B1666" s="15" t="d">
        <x:v>2026-04-15T00:00:00.000Z</x:v>
      </x:c>
      <x:c r="C1666" s="14" t="d">
        <x:v>2026-04-01T00:00:00.000Z</x:v>
      </x:c>
      <x:c r="D1666" s="34" t="str">
        <x:v>0006</x:v>
      </x:c>
      <x:c r="E1666" s="7" t="str">
        <x:v>North</x:v>
      </x:c>
      <x:c r="F1666" s="7" t="n">
        <x:v>2</x:v>
      </x:c>
      <x:c r="G1666" s="7" t="n">
        <x:v>260</x:v>
      </x:c>
      <x:c r="H1666" s="9" t="n">
        <x:v>0.05</x:v>
      </x:c>
      <x:c r="I1666" s="7" t="n">
        <x:v>494</x:v>
      </x:c>
    </x:row>
    <x:row r="1667" ht="23" customHeight="1">
      <x:c r="A1667" s="7" t="str">
        <x:v>INV01662</x:v>
      </x:c>
      <x:c r="B1667" s="15" t="d">
        <x:v>2026-04-16T00:00:00.000Z</x:v>
      </x:c>
      <x:c r="C1667" s="14" t="d">
        <x:v>2026-04-01T00:00:00.000Z</x:v>
      </x:c>
      <x:c r="D1667" s="34" t="str">
        <x:v>0007</x:v>
      </x:c>
      <x:c r="E1667" s="7" t="str">
        <x:v>North</x:v>
      </x:c>
      <x:c r="F1667" s="7" t="n">
        <x:v>4</x:v>
      </x:c>
      <x:c r="G1667" s="7" t="n">
        <x:v>280</x:v>
      </x:c>
      <x:c r="H1667" s="9" t="n">
        <x:v>0</x:v>
      </x:c>
      <x:c r="I1667" s="7" t="n">
        <x:v>1120</x:v>
      </x:c>
    </x:row>
    <x:row r="1668" ht="23" customHeight="1">
      <x:c r="A1668" s="7" t="str">
        <x:v>INV01663</x:v>
      </x:c>
      <x:c r="B1668" s="15" t="d">
        <x:v>2026-04-17T00:00:00.000Z</x:v>
      </x:c>
      <x:c r="C1668" s="14" t="d">
        <x:v>2026-04-01T00:00:00.000Z</x:v>
      </x:c>
      <x:c r="D1668" s="34" t="str">
        <x:v>0008</x:v>
      </x:c>
      <x:c r="E1668" s="7" t="str">
        <x:v>North</x:v>
      </x:c>
      <x:c r="F1668" s="7" t="n">
        <x:v>3</x:v>
      </x:c>
      <x:c r="G1668" s="7" t="n">
        <x:v>300</x:v>
      </x:c>
      <x:c r="H1668" s="9" t="n">
        <x:v>0.02</x:v>
      </x:c>
      <x:c r="I1668" s="7" t="n">
        <x:v>882</x:v>
      </x:c>
    </x:row>
    <x:row r="1669" ht="23" customHeight="1">
      <x:c r="A1669" s="7" t="str">
        <x:v>INV01664</x:v>
      </x:c>
      <x:c r="B1669" s="15" t="d">
        <x:v>2026-05-18T00:00:00.000Z</x:v>
      </x:c>
      <x:c r="C1669" s="14" t="d">
        <x:v>2026-05-01T00:00:00.000Z</x:v>
      </x:c>
      <x:c r="D1669" s="34" t="str">
        <x:v>0001</x:v>
      </x:c>
      <x:c r="E1669" s="7" t="str">
        <x:v>Central</x:v>
      </x:c>
      <x:c r="F1669" s="7" t="n">
        <x:v>6</x:v>
      </x:c>
      <x:c r="G1669" s="7" t="n">
        <x:v>160</x:v>
      </x:c>
      <x:c r="H1669" s="9" t="n">
        <x:v>0.05</x:v>
      </x:c>
      <x:c r="I1669" s="7" t="n">
        <x:v>912</x:v>
      </x:c>
    </x:row>
    <x:row r="1670" ht="23" customHeight="1">
      <x:c r="A1670" s="7" t="str">
        <x:v>INV01665</x:v>
      </x:c>
      <x:c r="B1670" s="15" t="d">
        <x:v>2026-05-19T00:00:00.000Z</x:v>
      </x:c>
      <x:c r="C1670" s="14" t="d">
        <x:v>2026-05-01T00:00:00.000Z</x:v>
      </x:c>
      <x:c r="D1670" s="34" t="str">
        <x:v>0002</x:v>
      </x:c>
      <x:c r="E1670" s="7" t="str">
        <x:v>Central</x:v>
      </x:c>
      <x:c r="F1670" s="7" t="n">
        <x:v>7</x:v>
      </x:c>
      <x:c r="G1670" s="7" t="n">
        <x:v>180</x:v>
      </x:c>
      <x:c r="H1670" s="9" t="n">
        <x:v>0</x:v>
      </x:c>
      <x:c r="I1670" s="7" t="n">
        <x:v>1260</x:v>
      </x:c>
    </x:row>
    <x:row r="1671" ht="23" customHeight="1">
      <x:c r="A1671" s="7" t="str">
        <x:v>INV01666</x:v>
      </x:c>
      <x:c r="B1671" s="15" t="d">
        <x:v>2026-05-20T00:00:00.000Z</x:v>
      </x:c>
      <x:c r="C1671" s="14" t="d">
        <x:v>2026-05-01T00:00:00.000Z</x:v>
      </x:c>
      <x:c r="D1671" s="34" t="str">
        <x:v>0003</x:v>
      </x:c>
      <x:c r="E1671" s="7" t="str">
        <x:v>Central</x:v>
      </x:c>
      <x:c r="F1671" s="7" t="n">
        <x:v>4</x:v>
      </x:c>
      <x:c r="G1671" s="7" t="n">
        <x:v>200</x:v>
      </x:c>
      <x:c r="H1671" s="9" t="n">
        <x:v>0.02</x:v>
      </x:c>
      <x:c r="I1671" s="7" t="n">
        <x:v>784</x:v>
      </x:c>
    </x:row>
    <x:row r="1672" ht="23" customHeight="1">
      <x:c r="A1672" s="7" t="str">
        <x:v>INV01667</x:v>
      </x:c>
      <x:c r="B1672" s="15" t="d">
        <x:v>2026-05-21T00:00:00.000Z</x:v>
      </x:c>
      <x:c r="C1672" s="14" t="d">
        <x:v>2026-05-01T00:00:00.000Z</x:v>
      </x:c>
      <x:c r="D1672" s="34" t="str">
        <x:v>0004</x:v>
      </x:c>
      <x:c r="E1672" s="7" t="str">
        <x:v>Central</x:v>
      </x:c>
      <x:c r="F1672" s="7" t="n">
        <x:v>6</x:v>
      </x:c>
      <x:c r="G1672" s="7" t="n">
        <x:v>220</x:v>
      </x:c>
      <x:c r="H1672" s="9" t="n">
        <x:v>0.05</x:v>
      </x:c>
      <x:c r="I1672" s="7" t="n">
        <x:v>1254</x:v>
      </x:c>
    </x:row>
    <x:row r="1673" ht="23" customHeight="1">
      <x:c r="A1673" s="7" t="str">
        <x:v>INV01668</x:v>
      </x:c>
      <x:c r="B1673" s="15" t="d">
        <x:v>2026-05-22T00:00:00.000Z</x:v>
      </x:c>
      <x:c r="C1673" s="14" t="d">
        <x:v>2026-05-01T00:00:00.000Z</x:v>
      </x:c>
      <x:c r="D1673" s="34" t="str">
        <x:v>0005</x:v>
      </x:c>
      <x:c r="E1673" s="7" t="str">
        <x:v>Central</x:v>
      </x:c>
      <x:c r="F1673" s="7" t="n">
        <x:v>5</x:v>
      </x:c>
      <x:c r="G1673" s="7" t="n">
        <x:v>240</x:v>
      </x:c>
      <x:c r="H1673" s="9" t="n">
        <x:v>0</x:v>
      </x:c>
      <x:c r="I1673" s="7" t="n">
        <x:v>1200</x:v>
      </x:c>
    </x:row>
    <x:row r="1674" ht="23" customHeight="1">
      <x:c r="A1674" s="7" t="str">
        <x:v>INV01669</x:v>
      </x:c>
      <x:c r="B1674" s="15" t="d">
        <x:v>2026-05-23T00:00:00.000Z</x:v>
      </x:c>
      <x:c r="C1674" s="14" t="d">
        <x:v>2026-05-01T00:00:00.000Z</x:v>
      </x:c>
      <x:c r="D1674" s="34" t="str">
        <x:v>0006</x:v>
      </x:c>
      <x:c r="E1674" s="7" t="str">
        <x:v>Central</x:v>
      </x:c>
      <x:c r="F1674" s="7" t="n">
        <x:v>6</x:v>
      </x:c>
      <x:c r="G1674" s="7" t="n">
        <x:v>260</x:v>
      </x:c>
      <x:c r="H1674" s="9" t="n">
        <x:v>0.02</x:v>
      </x:c>
      <x:c r="I1674" s="7" t="n">
        <x:v>1528.8</x:v>
      </x:c>
    </x:row>
    <x:row r="1675" ht="23" customHeight="1">
      <x:c r="A1675" s="7" t="str">
        <x:v>INV01670</x:v>
      </x:c>
      <x:c r="B1675" s="15" t="d">
        <x:v>2026-05-24T00:00:00.000Z</x:v>
      </x:c>
      <x:c r="C1675" s="14" t="d">
        <x:v>2026-05-01T00:00:00.000Z</x:v>
      </x:c>
      <x:c r="D1675" s="34" t="str">
        <x:v>0007</x:v>
      </x:c>
      <x:c r="E1675" s="7" t="str">
        <x:v>Central</x:v>
      </x:c>
      <x:c r="F1675" s="7" t="n">
        <x:v>1</x:v>
      </x:c>
      <x:c r="G1675" s="7" t="n">
        <x:v>280</x:v>
      </x:c>
      <x:c r="H1675" s="9" t="n">
        <x:v>0.05</x:v>
      </x:c>
      <x:c r="I1675" s="7" t="n">
        <x:v>266</x:v>
      </x:c>
    </x:row>
    <x:row r="1676" ht="23" customHeight="1">
      <x:c r="A1676" s="7" t="str">
        <x:v>INV01671</x:v>
      </x:c>
      <x:c r="B1676" s="15" t="d">
        <x:v>2026-05-25T00:00:00.000Z</x:v>
      </x:c>
      <x:c r="C1676" s="14" t="d">
        <x:v>2026-05-01T00:00:00.000Z</x:v>
      </x:c>
      <x:c r="D1676" s="34" t="str">
        <x:v>0008</x:v>
      </x:c>
      <x:c r="E1676" s="7" t="str">
        <x:v>Central</x:v>
      </x:c>
      <x:c r="F1676" s="7" t="n">
        <x:v>1</x:v>
      </x:c>
      <x:c r="G1676" s="7" t="n">
        <x:v>300</x:v>
      </x:c>
      <x:c r="H1676" s="9" t="n">
        <x:v>0</x:v>
      </x:c>
      <x:c r="I1676" s="7" t="n">
        <x:v>300</x:v>
      </x:c>
    </x:row>
    <x:row r="1677" ht="23" customHeight="1">
      <x:c r="A1677" s="7" t="str">
        <x:v>INV01672</x:v>
      </x:c>
      <x:c r="B1677" s="15" t="d">
        <x:v>2026-05-26T00:00:00.000Z</x:v>
      </x:c>
      <x:c r="C1677" s="14" t="d">
        <x:v>2026-05-01T00:00:00.000Z</x:v>
      </x:c>
      <x:c r="D1677" s="34" t="str">
        <x:v>0001</x:v>
      </x:c>
      <x:c r="E1677" s="7" t="str">
        <x:v>East</x:v>
      </x:c>
      <x:c r="F1677" s="7" t="n">
        <x:v>5</x:v>
      </x:c>
      <x:c r="G1677" s="7" t="n">
        <x:v>160</x:v>
      </x:c>
      <x:c r="H1677" s="9" t="n">
        <x:v>0.02</x:v>
      </x:c>
      <x:c r="I1677" s="7" t="n">
        <x:v>784</x:v>
      </x:c>
    </x:row>
    <x:row r="1678" ht="23" customHeight="1">
      <x:c r="A1678" s="7" t="str">
        <x:v>INV01673</x:v>
      </x:c>
      <x:c r="B1678" s="15" t="d">
        <x:v>2026-05-27T00:00:00.000Z</x:v>
      </x:c>
      <x:c r="C1678" s="14" t="d">
        <x:v>2026-05-01T00:00:00.000Z</x:v>
      </x:c>
      <x:c r="D1678" s="34" t="str">
        <x:v>0002</x:v>
      </x:c>
      <x:c r="E1678" s="7" t="str">
        <x:v>East</x:v>
      </x:c>
      <x:c r="F1678" s="7" t="n">
        <x:v>7</x:v>
      </x:c>
      <x:c r="G1678" s="7" t="n">
        <x:v>180</x:v>
      </x:c>
      <x:c r="H1678" s="9" t="n">
        <x:v>0.05</x:v>
      </x:c>
      <x:c r="I1678" s="7" t="n">
        <x:v>1197</x:v>
      </x:c>
    </x:row>
    <x:row r="1679" ht="23" customHeight="1">
      <x:c r="A1679" s="7" t="str">
        <x:v>INV01674</x:v>
      </x:c>
      <x:c r="B1679" s="15" t="d">
        <x:v>2026-05-01T00:00:00.000Z</x:v>
      </x:c>
      <x:c r="C1679" s="14" t="d">
        <x:v>2026-05-01T00:00:00.000Z</x:v>
      </x:c>
      <x:c r="D1679" s="34" t="str">
        <x:v>0003</x:v>
      </x:c>
      <x:c r="E1679" s="7" t="str">
        <x:v>East</x:v>
      </x:c>
      <x:c r="F1679" s="7" t="n">
        <x:v>6</x:v>
      </x:c>
      <x:c r="G1679" s="7" t="n">
        <x:v>200</x:v>
      </x:c>
      <x:c r="H1679" s="9" t="n">
        <x:v>0</x:v>
      </x:c>
      <x:c r="I1679" s="7" t="n">
        <x:v>1200</x:v>
      </x:c>
    </x:row>
    <x:row r="1680" ht="23" customHeight="1">
      <x:c r="A1680" s="7" t="str">
        <x:v>INV01675</x:v>
      </x:c>
      <x:c r="B1680" s="15" t="d">
        <x:v>2026-05-02T00:00:00.000Z</x:v>
      </x:c>
      <x:c r="C1680" s="14" t="d">
        <x:v>2026-05-01T00:00:00.000Z</x:v>
      </x:c>
      <x:c r="D1680" s="34" t="str">
        <x:v>0004</x:v>
      </x:c>
      <x:c r="E1680" s="7" t="str">
        <x:v>East</x:v>
      </x:c>
      <x:c r="F1680" s="7" t="n">
        <x:v>6</x:v>
      </x:c>
      <x:c r="G1680" s="7" t="n">
        <x:v>220</x:v>
      </x:c>
      <x:c r="H1680" s="9" t="n">
        <x:v>0.02</x:v>
      </x:c>
      <x:c r="I1680" s="7" t="n">
        <x:v>1293.6</x:v>
      </x:c>
    </x:row>
    <x:row r="1681" ht="23" customHeight="1">
      <x:c r="A1681" s="7" t="str">
        <x:v>INV01676</x:v>
      </x:c>
      <x:c r="B1681" s="15" t="d">
        <x:v>2026-05-03T00:00:00.000Z</x:v>
      </x:c>
      <x:c r="C1681" s="14" t="d">
        <x:v>2026-05-01T00:00:00.000Z</x:v>
      </x:c>
      <x:c r="D1681" s="34" t="str">
        <x:v>0005</x:v>
      </x:c>
      <x:c r="E1681" s="7" t="str">
        <x:v>East</x:v>
      </x:c>
      <x:c r="F1681" s="7" t="n">
        <x:v>3</x:v>
      </x:c>
      <x:c r="G1681" s="7" t="n">
        <x:v>240</x:v>
      </x:c>
      <x:c r="H1681" s="9" t="n">
        <x:v>0.05</x:v>
      </x:c>
      <x:c r="I1681" s="7" t="n">
        <x:v>684</x:v>
      </x:c>
    </x:row>
    <x:row r="1682" ht="23" customHeight="1">
      <x:c r="A1682" s="7" t="str">
        <x:v>INV01677</x:v>
      </x:c>
      <x:c r="B1682" s="15" t="d">
        <x:v>2026-05-04T00:00:00.000Z</x:v>
      </x:c>
      <x:c r="C1682" s="14" t="d">
        <x:v>2026-05-01T00:00:00.000Z</x:v>
      </x:c>
      <x:c r="D1682" s="34" t="str">
        <x:v>0006</x:v>
      </x:c>
      <x:c r="E1682" s="7" t="str">
        <x:v>East</x:v>
      </x:c>
      <x:c r="F1682" s="7" t="n">
        <x:v>6</x:v>
      </x:c>
      <x:c r="G1682" s="7" t="n">
        <x:v>260</x:v>
      </x:c>
      <x:c r="H1682" s="9" t="n">
        <x:v>0</x:v>
      </x:c>
      <x:c r="I1682" s="7" t="n">
        <x:v>1560</x:v>
      </x:c>
    </x:row>
    <x:row r="1683" ht="23" customHeight="1">
      <x:c r="A1683" s="7" t="str">
        <x:v>INV01678</x:v>
      </x:c>
      <x:c r="B1683" s="15" t="d">
        <x:v>2026-05-05T00:00:00.000Z</x:v>
      </x:c>
      <x:c r="C1683" s="14" t="d">
        <x:v>2026-05-01T00:00:00.000Z</x:v>
      </x:c>
      <x:c r="D1683" s="34" t="str">
        <x:v>0007</x:v>
      </x:c>
      <x:c r="E1683" s="7" t="str">
        <x:v>East</x:v>
      </x:c>
      <x:c r="F1683" s="7" t="n">
        <x:v>4</x:v>
      </x:c>
      <x:c r="G1683" s="7" t="n">
        <x:v>280</x:v>
      </x:c>
      <x:c r="H1683" s="9" t="n">
        <x:v>0.02</x:v>
      </x:c>
      <x:c r="I1683" s="7" t="n">
        <x:v>1097.6</x:v>
      </x:c>
    </x:row>
    <x:row r="1684" ht="23" customHeight="1">
      <x:c r="A1684" s="7" t="str">
        <x:v>INV01679</x:v>
      </x:c>
      <x:c r="B1684" s="15" t="d">
        <x:v>2026-05-06T00:00:00.000Z</x:v>
      </x:c>
      <x:c r="C1684" s="14" t="d">
        <x:v>2026-05-01T00:00:00.000Z</x:v>
      </x:c>
      <x:c r="D1684" s="34" t="str">
        <x:v>0008</x:v>
      </x:c>
      <x:c r="E1684" s="7" t="str">
        <x:v>East</x:v>
      </x:c>
      <x:c r="F1684" s="7" t="n">
        <x:v>1</x:v>
      </x:c>
      <x:c r="G1684" s="7" t="n">
        <x:v>300</x:v>
      </x:c>
      <x:c r="H1684" s="9" t="n">
        <x:v>0.05</x:v>
      </x:c>
      <x:c r="I1684" s="7" t="n">
        <x:v>285</x:v>
      </x:c>
    </x:row>
    <x:row r="1685" ht="23" customHeight="1">
      <x:c r="A1685" s="7" t="str">
        <x:v>INV01680</x:v>
      </x:c>
      <x:c r="B1685" s="15" t="d">
        <x:v>2026-05-07T00:00:00.000Z</x:v>
      </x:c>
      <x:c r="C1685" s="14" t="d">
        <x:v>2026-05-01T00:00:00.000Z</x:v>
      </x:c>
      <x:c r="D1685" s="34" t="str">
        <x:v>0001</x:v>
      </x:c>
      <x:c r="E1685" s="7" t="str">
        <x:v>West</x:v>
      </x:c>
      <x:c r="F1685" s="7" t="n">
        <x:v>1</x:v>
      </x:c>
      <x:c r="G1685" s="7" t="n">
        <x:v>160</x:v>
      </x:c>
      <x:c r="H1685" s="9" t="n">
        <x:v>0</x:v>
      </x:c>
      <x:c r="I1685" s="7" t="n">
        <x:v>160</x:v>
      </x:c>
    </x:row>
    <x:row r="1686" ht="23" customHeight="1">
      <x:c r="A1686" s="7" t="str">
        <x:v>INV01681</x:v>
      </x:c>
      <x:c r="B1686" s="15" t="d">
        <x:v>2026-05-08T00:00:00.000Z</x:v>
      </x:c>
      <x:c r="C1686" s="14" t="d">
        <x:v>2026-05-01T00:00:00.000Z</x:v>
      </x:c>
      <x:c r="D1686" s="34" t="str">
        <x:v>0002</x:v>
      </x:c>
      <x:c r="E1686" s="7" t="str">
        <x:v>West</x:v>
      </x:c>
      <x:c r="F1686" s="7" t="n">
        <x:v>-1</x:v>
      </x:c>
      <x:c r="G1686" s="7" t="n">
        <x:v>180</x:v>
      </x:c>
      <x:c r="H1686" s="9" t="n">
        <x:v>0.02</x:v>
      </x:c>
      <x:c r="I1686" s="7" t="n">
        <x:v>-176.4</x:v>
      </x:c>
    </x:row>
    <x:row r="1687" ht="23" customHeight="1">
      <x:c r="A1687" s="7" t="str">
        <x:v>INV01682</x:v>
      </x:c>
      <x:c r="B1687" s="15" t="d">
        <x:v>2026-05-09T00:00:00.000Z</x:v>
      </x:c>
      <x:c r="C1687" s="14" t="d">
        <x:v>2026-05-01T00:00:00.000Z</x:v>
      </x:c>
      <x:c r="D1687" s="34" t="str">
        <x:v>0003</x:v>
      </x:c>
      <x:c r="E1687" s="7" t="str">
        <x:v>West</x:v>
      </x:c>
      <x:c r="F1687" s="7" t="n">
        <x:v>7</x:v>
      </x:c>
      <x:c r="G1687" s="7" t="n">
        <x:v>200</x:v>
      </x:c>
      <x:c r="H1687" s="9" t="n">
        <x:v>0.05</x:v>
      </x:c>
      <x:c r="I1687" s="7" t="n">
        <x:v>1330</x:v>
      </x:c>
    </x:row>
    <x:row r="1688" ht="23" customHeight="1">
      <x:c r="A1688" s="7" t="str">
        <x:v>INV01683</x:v>
      </x:c>
      <x:c r="B1688" s="15" t="d">
        <x:v>2026-05-10T00:00:00.000Z</x:v>
      </x:c>
      <x:c r="C1688" s="14" t="d">
        <x:v>2026-05-01T00:00:00.000Z</x:v>
      </x:c>
      <x:c r="D1688" s="34" t="str">
        <x:v>0004</x:v>
      </x:c>
      <x:c r="E1688" s="7" t="str">
        <x:v>West</x:v>
      </x:c>
      <x:c r="F1688" s="7" t="n">
        <x:v>3</x:v>
      </x:c>
      <x:c r="G1688" s="7" t="n">
        <x:v>220</x:v>
      </x:c>
      <x:c r="H1688" s="9" t="n">
        <x:v>0</x:v>
      </x:c>
      <x:c r="I1688" s="7" t="n">
        <x:v>660</x:v>
      </x:c>
    </x:row>
    <x:row r="1689" ht="23" customHeight="1">
      <x:c r="A1689" s="7" t="str">
        <x:v>INV01684</x:v>
      </x:c>
      <x:c r="B1689" s="15" t="d">
        <x:v>2026-05-11T00:00:00.000Z</x:v>
      </x:c>
      <x:c r="C1689" s="14" t="d">
        <x:v>2026-05-01T00:00:00.000Z</x:v>
      </x:c>
      <x:c r="D1689" s="34" t="str">
        <x:v>0005</x:v>
      </x:c>
      <x:c r="E1689" s="7" t="str">
        <x:v>West</x:v>
      </x:c>
      <x:c r="F1689" s="7" t="n">
        <x:v>5</x:v>
      </x:c>
      <x:c r="G1689" s="7" t="n">
        <x:v>240</x:v>
      </x:c>
      <x:c r="H1689" s="9" t="n">
        <x:v>0.02</x:v>
      </x:c>
      <x:c r="I1689" s="7" t="n">
        <x:v>1176</x:v>
      </x:c>
    </x:row>
    <x:row r="1690" ht="23" customHeight="1">
      <x:c r="A1690" s="7" t="str">
        <x:v>INV01685</x:v>
      </x:c>
      <x:c r="B1690" s="15" t="d">
        <x:v>2026-05-12T00:00:00.000Z</x:v>
      </x:c>
      <x:c r="C1690" s="14" t="d">
        <x:v>2026-05-01T00:00:00.000Z</x:v>
      </x:c>
      <x:c r="D1690" s="34" t="str">
        <x:v>0006</x:v>
      </x:c>
      <x:c r="E1690" s="7" t="str">
        <x:v>West</x:v>
      </x:c>
      <x:c r="F1690" s="7" t="n">
        <x:v>2</x:v>
      </x:c>
      <x:c r="G1690" s="7" t="n">
        <x:v>260</x:v>
      </x:c>
      <x:c r="H1690" s="9" t="n">
        <x:v>0.05</x:v>
      </x:c>
      <x:c r="I1690" s="7" t="n">
        <x:v>494</x:v>
      </x:c>
    </x:row>
    <x:row r="1691" ht="23" customHeight="1">
      <x:c r="A1691" s="7" t="str">
        <x:v>INV01686</x:v>
      </x:c>
      <x:c r="B1691" s="15" t="d">
        <x:v>2026-05-13T00:00:00.000Z</x:v>
      </x:c>
      <x:c r="C1691" s="14" t="d">
        <x:v>2026-05-01T00:00:00.000Z</x:v>
      </x:c>
      <x:c r="D1691" s="34" t="str">
        <x:v>0007</x:v>
      </x:c>
      <x:c r="E1691" s="7" t="str">
        <x:v>West</x:v>
      </x:c>
      <x:c r="F1691" s="7" t="n">
        <x:v>5</x:v>
      </x:c>
      <x:c r="G1691" s="7" t="n">
        <x:v>280</x:v>
      </x:c>
      <x:c r="H1691" s="9" t="n">
        <x:v>0</x:v>
      </x:c>
      <x:c r="I1691" s="7" t="n">
        <x:v>1400</x:v>
      </x:c>
    </x:row>
    <x:row r="1692" ht="23" customHeight="1">
      <x:c r="A1692" s="7" t="str">
        <x:v>INV01687</x:v>
      </x:c>
      <x:c r="B1692" s="15" t="d">
        <x:v>2026-05-14T00:00:00.000Z</x:v>
      </x:c>
      <x:c r="C1692" s="14" t="d">
        <x:v>2026-05-01T00:00:00.000Z</x:v>
      </x:c>
      <x:c r="D1692" s="34" t="str">
        <x:v>0008</x:v>
      </x:c>
      <x:c r="E1692" s="7" t="str">
        <x:v>West</x:v>
      </x:c>
      <x:c r="F1692" s="7" t="n">
        <x:v>4</x:v>
      </x:c>
      <x:c r="G1692" s="7" t="n">
        <x:v>300</x:v>
      </x:c>
      <x:c r="H1692" s="9" t="n">
        <x:v>0.02</x:v>
      </x:c>
      <x:c r="I1692" s="7" t="n">
        <x:v>1176</x:v>
      </x:c>
    </x:row>
    <x:row r="1693" ht="23" customHeight="1">
      <x:c r="A1693" s="7" t="str">
        <x:v>INV01688</x:v>
      </x:c>
      <x:c r="B1693" s="15" t="d">
        <x:v>2026-05-15T00:00:00.000Z</x:v>
      </x:c>
      <x:c r="C1693" s="14" t="d">
        <x:v>2026-05-01T00:00:00.000Z</x:v>
      </x:c>
      <x:c r="D1693" s="34" t="str">
        <x:v>0001</x:v>
      </x:c>
      <x:c r="E1693" s="7" t="str">
        <x:v>North</x:v>
      </x:c>
      <x:c r="F1693" s="7" t="n">
        <x:v>7</x:v>
      </x:c>
      <x:c r="G1693" s="7" t="n">
        <x:v>160</x:v>
      </x:c>
      <x:c r="H1693" s="9" t="n">
        <x:v>0.05</x:v>
      </x:c>
      <x:c r="I1693" s="7" t="n">
        <x:v>1064</x:v>
      </x:c>
    </x:row>
    <x:row r="1694" ht="23" customHeight="1">
      <x:c r="A1694" s="7" t="str">
        <x:v>INV01689</x:v>
      </x:c>
      <x:c r="B1694" s="15" t="d">
        <x:v>2026-05-16T00:00:00.000Z</x:v>
      </x:c>
      <x:c r="C1694" s="14" t="d">
        <x:v>2026-05-01T00:00:00.000Z</x:v>
      </x:c>
      <x:c r="D1694" s="34" t="str">
        <x:v>0002</x:v>
      </x:c>
      <x:c r="E1694" s="7" t="str">
        <x:v>North</x:v>
      </x:c>
      <x:c r="F1694" s="7" t="n">
        <x:v>3</x:v>
      </x:c>
      <x:c r="G1694" s="7" t="n">
        <x:v>180</x:v>
      </x:c>
      <x:c r="H1694" s="9" t="n">
        <x:v>0</x:v>
      </x:c>
      <x:c r="I1694" s="7" t="n">
        <x:v>540</x:v>
      </x:c>
    </x:row>
    <x:row r="1695" ht="23" customHeight="1">
      <x:c r="A1695" s="7" t="str">
        <x:v>INV01690</x:v>
      </x:c>
      <x:c r="B1695" s="15" t="d">
        <x:v>2026-05-17T00:00:00.000Z</x:v>
      </x:c>
      <x:c r="C1695" s="14" t="d">
        <x:v>2026-05-01T00:00:00.000Z</x:v>
      </x:c>
      <x:c r="D1695" s="34" t="str">
        <x:v>0003</x:v>
      </x:c>
      <x:c r="E1695" s="7" t="str">
        <x:v>North</x:v>
      </x:c>
      <x:c r="F1695" s="7" t="n">
        <x:v>5</x:v>
      </x:c>
      <x:c r="G1695" s="7" t="n">
        <x:v>200</x:v>
      </x:c>
      <x:c r="H1695" s="9" t="n">
        <x:v>0.02</x:v>
      </x:c>
      <x:c r="I1695" s="7" t="n">
        <x:v>980</x:v>
      </x:c>
    </x:row>
    <x:row r="1696" ht="23" customHeight="1">
      <x:c r="A1696" s="7" t="str">
        <x:v>INV01691</x:v>
      </x:c>
      <x:c r="B1696" s="15" t="d">
        <x:v>2026-05-18T00:00:00.000Z</x:v>
      </x:c>
      <x:c r="C1696" s="14" t="d">
        <x:v>2026-05-01T00:00:00.000Z</x:v>
      </x:c>
      <x:c r="D1696" s="34" t="str">
        <x:v>0004</x:v>
      </x:c>
      <x:c r="E1696" s="7" t="str">
        <x:v>North</x:v>
      </x:c>
      <x:c r="F1696" s="7" t="n">
        <x:v>7</x:v>
      </x:c>
      <x:c r="G1696" s="7" t="n">
        <x:v>220</x:v>
      </x:c>
      <x:c r="H1696" s="9" t="n">
        <x:v>0.05</x:v>
      </x:c>
      <x:c r="I1696" s="7" t="n">
        <x:v>1463</x:v>
      </x:c>
    </x:row>
    <x:row r="1697" ht="23" customHeight="1">
      <x:c r="A1697" s="7" t="str">
        <x:v>INV01692</x:v>
      </x:c>
      <x:c r="B1697" s="15" t="d">
        <x:v>2026-05-19T00:00:00.000Z</x:v>
      </x:c>
      <x:c r="C1697" s="14" t="d">
        <x:v>2026-05-01T00:00:00.000Z</x:v>
      </x:c>
      <x:c r="D1697" s="34" t="str">
        <x:v>0005</x:v>
      </x:c>
      <x:c r="E1697" s="7" t="str">
        <x:v>North</x:v>
      </x:c>
      <x:c r="F1697" s="7" t="n">
        <x:v>7</x:v>
      </x:c>
      <x:c r="G1697" s="7" t="n">
        <x:v>240</x:v>
      </x:c>
      <x:c r="H1697" s="9" t="n">
        <x:v>0</x:v>
      </x:c>
      <x:c r="I1697" s="7" t="n">
        <x:v>1680</x:v>
      </x:c>
    </x:row>
    <x:row r="1698" ht="23" customHeight="1">
      <x:c r="A1698" s="7" t="str">
        <x:v>INV01693</x:v>
      </x:c>
      <x:c r="B1698" s="15" t="d">
        <x:v>2026-05-20T00:00:00.000Z</x:v>
      </x:c>
      <x:c r="C1698" s="14" t="d">
        <x:v>2026-05-01T00:00:00.000Z</x:v>
      </x:c>
      <x:c r="D1698" s="34" t="str">
        <x:v>0006</x:v>
      </x:c>
      <x:c r="E1698" s="7" t="str">
        <x:v>North</x:v>
      </x:c>
      <x:c r="F1698" s="7" t="n">
        <x:v>5</x:v>
      </x:c>
      <x:c r="G1698" s="7" t="n">
        <x:v>260</x:v>
      </x:c>
      <x:c r="H1698" s="9" t="n">
        <x:v>0.02</x:v>
      </x:c>
      <x:c r="I1698" s="7" t="n">
        <x:v>1274</x:v>
      </x:c>
    </x:row>
    <x:row r="1699" ht="23" customHeight="1">
      <x:c r="A1699" s="7" t="str">
        <x:v>INV01694</x:v>
      </x:c>
      <x:c r="B1699" s="15" t="d">
        <x:v>2026-05-21T00:00:00.000Z</x:v>
      </x:c>
      <x:c r="C1699" s="14" t="d">
        <x:v>2026-05-01T00:00:00.000Z</x:v>
      </x:c>
      <x:c r="D1699" s="34" t="str">
        <x:v>0007</x:v>
      </x:c>
      <x:c r="E1699" s="7" t="str">
        <x:v>North</x:v>
      </x:c>
      <x:c r="F1699" s="7" t="n">
        <x:v>7</x:v>
      </x:c>
      <x:c r="G1699" s="7" t="n">
        <x:v>280</x:v>
      </x:c>
      <x:c r="H1699" s="9" t="n">
        <x:v>0.05</x:v>
      </x:c>
      <x:c r="I1699" s="7" t="n">
        <x:v>1862</x:v>
      </x:c>
    </x:row>
    <x:row r="1700" ht="23" customHeight="1">
      <x:c r="A1700" s="7" t="str">
        <x:v>INV01695</x:v>
      </x:c>
      <x:c r="B1700" s="15" t="d">
        <x:v>2026-05-22T00:00:00.000Z</x:v>
      </x:c>
      <x:c r="C1700" s="14" t="d">
        <x:v>2026-05-01T00:00:00.000Z</x:v>
      </x:c>
      <x:c r="D1700" s="34" t="str">
        <x:v>0008</x:v>
      </x:c>
      <x:c r="E1700" s="7" t="str">
        <x:v>North</x:v>
      </x:c>
      <x:c r="F1700" s="7" t="n">
        <x:v>7</x:v>
      </x:c>
      <x:c r="G1700" s="7" t="n">
        <x:v>300</x:v>
      </x:c>
      <x:c r="H1700" s="9" t="n">
        <x:v>0</x:v>
      </x:c>
      <x:c r="I1700" s="7" t="n">
        <x:v>2100</x:v>
      </x:c>
    </x:row>
    <x:row r="1701" ht="23" customHeight="1">
      <x:c r="A1701" s="7" t="str">
        <x:v>INV01696</x:v>
      </x:c>
      <x:c r="B1701" s="15" t="d">
        <x:v>2026-06-23T00:00:00.000Z</x:v>
      </x:c>
      <x:c r="C1701" s="14" t="d">
        <x:v>2026-06-01T00:00:00.000Z</x:v>
      </x:c>
      <x:c r="D1701" s="34" t="str">
        <x:v>0001</x:v>
      </x:c>
      <x:c r="E1701" s="7" t="str">
        <x:v>Central</x:v>
      </x:c>
      <x:c r="F1701" s="7" t="n">
        <x:v>5</x:v>
      </x:c>
      <x:c r="G1701" s="7" t="n">
        <x:v>160</x:v>
      </x:c>
      <x:c r="H1701" s="9" t="n">
        <x:v>0.02</x:v>
      </x:c>
      <x:c r="I1701" s="7" t="n">
        <x:v>784</x:v>
      </x:c>
    </x:row>
    <x:row r="1702" ht="23" customHeight="1">
      <x:c r="A1702" s="7" t="str">
        <x:v>INV01697</x:v>
      </x:c>
      <x:c r="B1702" s="15" t="d">
        <x:v>2026-06-24T00:00:00.000Z</x:v>
      </x:c>
      <x:c r="C1702" s="14" t="d">
        <x:v>2026-06-01T00:00:00.000Z</x:v>
      </x:c>
      <x:c r="D1702" s="34" t="str">
        <x:v>0002</x:v>
      </x:c>
      <x:c r="E1702" s="7" t="str">
        <x:v>Central</x:v>
      </x:c>
      <x:c r="F1702" s="7" t="n">
        <x:v>3</x:v>
      </x:c>
      <x:c r="G1702" s="7" t="n">
        <x:v>180</x:v>
      </x:c>
      <x:c r="H1702" s="9" t="n">
        <x:v>0.05</x:v>
      </x:c>
      <x:c r="I1702" s="7" t="n">
        <x:v>513</x:v>
      </x:c>
    </x:row>
    <x:row r="1703" ht="23" customHeight="1">
      <x:c r="A1703" s="7" t="str">
        <x:v>INV01698</x:v>
      </x:c>
      <x:c r="B1703" s="15" t="d">
        <x:v>2026-06-25T00:00:00.000Z</x:v>
      </x:c>
      <x:c r="C1703" s="14" t="d">
        <x:v>2026-06-01T00:00:00.000Z</x:v>
      </x:c>
      <x:c r="D1703" s="34" t="str">
        <x:v>0003</x:v>
      </x:c>
      <x:c r="E1703" s="7" t="str">
        <x:v>Central</x:v>
      </x:c>
      <x:c r="F1703" s="7" t="n">
        <x:v>5</x:v>
      </x:c>
      <x:c r="G1703" s="7" t="n">
        <x:v>200</x:v>
      </x:c>
      <x:c r="H1703" s="9" t="n">
        <x:v>0</x:v>
      </x:c>
      <x:c r="I1703" s="7" t="n">
        <x:v>1000</x:v>
      </x:c>
    </x:row>
    <x:row r="1704" ht="23" customHeight="1">
      <x:c r="A1704" s="7" t="str">
        <x:v>INV01699</x:v>
      </x:c>
      <x:c r="B1704" s="15" t="d">
        <x:v>2026-06-26T00:00:00.000Z</x:v>
      </x:c>
      <x:c r="C1704" s="14" t="d">
        <x:v>2026-06-01T00:00:00.000Z</x:v>
      </x:c>
      <x:c r="D1704" s="34" t="str">
        <x:v>0004</x:v>
      </x:c>
      <x:c r="E1704" s="7" t="str">
        <x:v>Central</x:v>
      </x:c>
      <x:c r="F1704" s="7" t="n">
        <x:v>6</x:v>
      </x:c>
      <x:c r="G1704" s="7" t="n">
        <x:v>220</x:v>
      </x:c>
      <x:c r="H1704" s="9" t="n">
        <x:v>0.02</x:v>
      </x:c>
      <x:c r="I1704" s="7" t="n">
        <x:v>1293.6</x:v>
      </x:c>
    </x:row>
    <x:row r="1705" ht="23" customHeight="1">
      <x:c r="A1705" s="7" t="str">
        <x:v>INV01700</x:v>
      </x:c>
      <x:c r="B1705" s="15" t="d">
        <x:v>2026-06-27T00:00:00.000Z</x:v>
      </x:c>
      <x:c r="C1705" s="14" t="d">
        <x:v>2026-06-01T00:00:00.000Z</x:v>
      </x:c>
      <x:c r="D1705" s="34" t="str">
        <x:v>0005</x:v>
      </x:c>
      <x:c r="E1705" s="7" t="str">
        <x:v>Central</x:v>
      </x:c>
      <x:c r="F1705" s="7" t="n">
        <x:v>5</x:v>
      </x:c>
      <x:c r="G1705" s="7" t="n">
        <x:v>240</x:v>
      </x:c>
      <x:c r="H1705" s="9" t="n">
        <x:v>0.05</x:v>
      </x:c>
      <x:c r="I1705" s="7" t="n">
        <x:v>1140</x:v>
      </x:c>
    </x:row>
    <x:row r="1706" ht="23" customHeight="1">
      <x:c r="A1706" s="7" t="str">
        <x:v>INV01701</x:v>
      </x:c>
      <x:c r="B1706" s="15" t="d">
        <x:v>2026-06-01T00:00:00.000Z</x:v>
      </x:c>
      <x:c r="C1706" s="14" t="d">
        <x:v>2026-06-01T00:00:00.000Z</x:v>
      </x:c>
      <x:c r="D1706" s="34" t="str">
        <x:v>0006</x:v>
      </x:c>
      <x:c r="E1706" s="7" t="str">
        <x:v>Central</x:v>
      </x:c>
      <x:c r="F1706" s="7" t="n">
        <x:v>3</x:v>
      </x:c>
      <x:c r="G1706" s="7" t="n">
        <x:v>260</x:v>
      </x:c>
      <x:c r="H1706" s="9" t="n">
        <x:v>0</x:v>
      </x:c>
      <x:c r="I1706" s="7" t="n">
        <x:v>780</x:v>
      </x:c>
    </x:row>
    <x:row r="1707" ht="23" customHeight="1">
      <x:c r="A1707" s="7" t="str">
        <x:v>INV01702</x:v>
      </x:c>
      <x:c r="B1707" s="15" t="d">
        <x:v>2026-06-02T00:00:00.000Z</x:v>
      </x:c>
      <x:c r="C1707" s="14" t="d">
        <x:v>2026-06-01T00:00:00.000Z</x:v>
      </x:c>
      <x:c r="D1707" s="34" t="str">
        <x:v>0007</x:v>
      </x:c>
      <x:c r="E1707" s="7" t="str">
        <x:v>Central</x:v>
      </x:c>
      <x:c r="F1707" s="7" t="n">
        <x:v>5</x:v>
      </x:c>
      <x:c r="G1707" s="7" t="n">
        <x:v>280</x:v>
      </x:c>
      <x:c r="H1707" s="9" t="n">
        <x:v>0.02</x:v>
      </x:c>
      <x:c r="I1707" s="7" t="n">
        <x:v>1372</x:v>
      </x:c>
    </x:row>
    <x:row r="1708" ht="23" customHeight="1">
      <x:c r="A1708" s="7" t="str">
        <x:v>INV01703</x:v>
      </x:c>
      <x:c r="B1708" s="15" t="d">
        <x:v>2026-06-03T00:00:00.000Z</x:v>
      </x:c>
      <x:c r="C1708" s="14" t="d">
        <x:v>2026-06-01T00:00:00.000Z</x:v>
      </x:c>
      <x:c r="D1708" s="34" t="str">
        <x:v>0008</x:v>
      </x:c>
      <x:c r="E1708" s="7" t="str">
        <x:v>Central</x:v>
      </x:c>
      <x:c r="F1708" s="7" t="n">
        <x:v>1</x:v>
      </x:c>
      <x:c r="G1708" s="7" t="n">
        <x:v>300</x:v>
      </x:c>
      <x:c r="H1708" s="9" t="n">
        <x:v>0.05</x:v>
      </x:c>
      <x:c r="I1708" s="7" t="n">
        <x:v>285</x:v>
      </x:c>
    </x:row>
    <x:row r="1709" ht="23" customHeight="1">
      <x:c r="A1709" s="7" t="str">
        <x:v>INV01704</x:v>
      </x:c>
      <x:c r="B1709" s="15" t="d">
        <x:v>2026-06-04T00:00:00.000Z</x:v>
      </x:c>
      <x:c r="C1709" s="14" t="d">
        <x:v>2026-06-01T00:00:00.000Z</x:v>
      </x:c>
      <x:c r="D1709" s="34" t="str">
        <x:v>0001</x:v>
      </x:c>
      <x:c r="E1709" s="7" t="str">
        <x:v>East</x:v>
      </x:c>
      <x:c r="F1709" s="7" t="n">
        <x:v>2</x:v>
      </x:c>
      <x:c r="G1709" s="7" t="n">
        <x:v>160</x:v>
      </x:c>
      <x:c r="H1709" s="9" t="n">
        <x:v>0</x:v>
      </x:c>
      <x:c r="I1709" s="7" t="n">
        <x:v>320</x:v>
      </x:c>
    </x:row>
    <x:row r="1710" ht="23" customHeight="1">
      <x:c r="A1710" s="7" t="str">
        <x:v>INV01705</x:v>
      </x:c>
      <x:c r="B1710" s="15" t="d">
        <x:v>2026-06-05T00:00:00.000Z</x:v>
      </x:c>
      <x:c r="C1710" s="14" t="d">
        <x:v>2026-06-01T00:00:00.000Z</x:v>
      </x:c>
      <x:c r="D1710" s="34" t="str">
        <x:v>0002</x:v>
      </x:c>
      <x:c r="E1710" s="7" t="str">
        <x:v>East</x:v>
      </x:c>
      <x:c r="F1710" s="7" t="n">
        <x:v>7</x:v>
      </x:c>
      <x:c r="G1710" s="7" t="n">
        <x:v>180</x:v>
      </x:c>
      <x:c r="H1710" s="9" t="n">
        <x:v>0.02</x:v>
      </x:c>
      <x:c r="I1710" s="7" t="n">
        <x:v>1234.8</x:v>
      </x:c>
    </x:row>
    <x:row r="1711" ht="23" customHeight="1">
      <x:c r="A1711" s="7" t="str">
        <x:v>INV01706</x:v>
      </x:c>
      <x:c r="B1711" s="15" t="d">
        <x:v>2026-06-06T00:00:00.000Z</x:v>
      </x:c>
      <x:c r="C1711" s="14" t="d">
        <x:v>2026-06-01T00:00:00.000Z</x:v>
      </x:c>
      <x:c r="D1711" s="34" t="str">
        <x:v>0003</x:v>
      </x:c>
      <x:c r="E1711" s="7" t="str">
        <x:v>East</x:v>
      </x:c>
      <x:c r="F1711" s="7" t="n">
        <x:v>7</x:v>
      </x:c>
      <x:c r="G1711" s="7" t="n">
        <x:v>200</x:v>
      </x:c>
      <x:c r="H1711" s="9" t="n">
        <x:v>0.05</x:v>
      </x:c>
      <x:c r="I1711" s="7" t="n">
        <x:v>1330</x:v>
      </x:c>
    </x:row>
    <x:row r="1712" ht="23" customHeight="1">
      <x:c r="A1712" s="7" t="str">
        <x:v>INV01707</x:v>
      </x:c>
      <x:c r="B1712" s="15" t="d">
        <x:v>2026-06-07T00:00:00.000Z</x:v>
      </x:c>
      <x:c r="C1712" s="14" t="d">
        <x:v>2026-06-01T00:00:00.000Z</x:v>
      </x:c>
      <x:c r="D1712" s="34" t="str">
        <x:v>0004</x:v>
      </x:c>
      <x:c r="E1712" s="7" t="str">
        <x:v>East</x:v>
      </x:c>
      <x:c r="F1712" s="7" t="n">
        <x:v>3</x:v>
      </x:c>
      <x:c r="G1712" s="7" t="n">
        <x:v>220</x:v>
      </x:c>
      <x:c r="H1712" s="9" t="n">
        <x:v>0</x:v>
      </x:c>
      <x:c r="I1712" s="7" t="n">
        <x:v>660</x:v>
      </x:c>
    </x:row>
    <x:row r="1713" ht="23" customHeight="1">
      <x:c r="A1713" s="7" t="str">
        <x:v>INV01708</x:v>
      </x:c>
      <x:c r="B1713" s="15" t="d">
        <x:v>2026-06-08T00:00:00.000Z</x:v>
      </x:c>
      <x:c r="C1713" s="14" t="d">
        <x:v>2026-06-01T00:00:00.000Z</x:v>
      </x:c>
      <x:c r="D1713" s="34" t="str">
        <x:v>0005</x:v>
      </x:c>
      <x:c r="E1713" s="7" t="str">
        <x:v>East</x:v>
      </x:c>
      <x:c r="F1713" s="7" t="n">
        <x:v>7</x:v>
      </x:c>
      <x:c r="G1713" s="7" t="n">
        <x:v>240</x:v>
      </x:c>
      <x:c r="H1713" s="9" t="n">
        <x:v>0.02</x:v>
      </x:c>
      <x:c r="I1713" s="7" t="n">
        <x:v>1646.4</x:v>
      </x:c>
    </x:row>
    <x:row r="1714" ht="23" customHeight="1">
      <x:c r="A1714" s="7" t="str">
        <x:v>INV01709</x:v>
      </x:c>
      <x:c r="B1714" s="15" t="d">
        <x:v>2026-06-09T00:00:00.000Z</x:v>
      </x:c>
      <x:c r="C1714" s="14" t="d">
        <x:v>2026-06-01T00:00:00.000Z</x:v>
      </x:c>
      <x:c r="D1714" s="34" t="str">
        <x:v>0006</x:v>
      </x:c>
      <x:c r="E1714" s="7" t="str">
        <x:v>East</x:v>
      </x:c>
      <x:c r="F1714" s="7" t="n">
        <x:v>4</x:v>
      </x:c>
      <x:c r="G1714" s="7" t="n">
        <x:v>260</x:v>
      </x:c>
      <x:c r="H1714" s="9" t="n">
        <x:v>0.05</x:v>
      </x:c>
      <x:c r="I1714" s="7" t="n">
        <x:v>988</x:v>
      </x:c>
    </x:row>
    <x:row r="1715" ht="23" customHeight="1">
      <x:c r="A1715" s="7" t="str">
        <x:v>INV01710</x:v>
      </x:c>
      <x:c r="B1715" s="15" t="d">
        <x:v>2026-06-10T00:00:00.000Z</x:v>
      </x:c>
      <x:c r="C1715" s="14" t="d">
        <x:v>2026-06-01T00:00:00.000Z</x:v>
      </x:c>
      <x:c r="D1715" s="34" t="str">
        <x:v>0007</x:v>
      </x:c>
      <x:c r="E1715" s="7" t="str">
        <x:v>East</x:v>
      </x:c>
      <x:c r="F1715" s="7" t="n">
        <x:v>6</x:v>
      </x:c>
      <x:c r="G1715" s="7" t="n">
        <x:v>280</x:v>
      </x:c>
      <x:c r="H1715" s="9" t="n">
        <x:v>0</x:v>
      </x:c>
      <x:c r="I1715" s="7" t="n">
        <x:v>1680</x:v>
      </x:c>
    </x:row>
    <x:row r="1716" ht="23" customHeight="1">
      <x:c r="A1716" s="7" t="str">
        <x:v>INV01711</x:v>
      </x:c>
      <x:c r="B1716" s="15" t="d">
        <x:v>2026-06-11T00:00:00.000Z</x:v>
      </x:c>
      <x:c r="C1716" s="14" t="d">
        <x:v>2026-06-01T00:00:00.000Z</x:v>
      </x:c>
      <x:c r="D1716" s="34" t="str">
        <x:v>0008</x:v>
      </x:c>
      <x:c r="E1716" s="7" t="str">
        <x:v>East</x:v>
      </x:c>
      <x:c r="F1716" s="7" t="n">
        <x:v>5</x:v>
      </x:c>
      <x:c r="G1716" s="7" t="n">
        <x:v>300</x:v>
      </x:c>
      <x:c r="H1716" s="9" t="n">
        <x:v>0.02</x:v>
      </x:c>
      <x:c r="I1716" s="7" t="n">
        <x:v>1470</x:v>
      </x:c>
    </x:row>
    <x:row r="1717" ht="23" customHeight="1">
      <x:c r="A1717" s="7" t="str">
        <x:v>INV01712</x:v>
      </x:c>
      <x:c r="B1717" s="15" t="d">
        <x:v>2026-06-12T00:00:00.000Z</x:v>
      </x:c>
      <x:c r="C1717" s="14" t="d">
        <x:v>2026-06-01T00:00:00.000Z</x:v>
      </x:c>
      <x:c r="D1717" s="34" t="str">
        <x:v>0001</x:v>
      </x:c>
      <x:c r="E1717" s="7" t="str">
        <x:v>West</x:v>
      </x:c>
      <x:c r="F1717" s="7" t="n">
        <x:v>7</x:v>
      </x:c>
      <x:c r="G1717" s="7" t="n">
        <x:v>160</x:v>
      </x:c>
      <x:c r="H1717" s="9" t="n">
        <x:v>0.05</x:v>
      </x:c>
      <x:c r="I1717" s="7" t="n">
        <x:v>1064</x:v>
      </x:c>
    </x:row>
    <x:row r="1718" ht="23" customHeight="1">
      <x:c r="A1718" s="7" t="str">
        <x:v>INV01713</x:v>
      </x:c>
      <x:c r="B1718" s="15" t="d">
        <x:v>2026-06-13T00:00:00.000Z</x:v>
      </x:c>
      <x:c r="C1718" s="14" t="d">
        <x:v>2026-06-01T00:00:00.000Z</x:v>
      </x:c>
      <x:c r="D1718" s="34" t="str">
        <x:v>0002</x:v>
      </x:c>
      <x:c r="E1718" s="7" t="str">
        <x:v>West</x:v>
      </x:c>
      <x:c r="F1718" s="7" t="n">
        <x:v>5</x:v>
      </x:c>
      <x:c r="G1718" s="7" t="n">
        <x:v>180</x:v>
      </x:c>
      <x:c r="H1718" s="9" t="n">
        <x:v>0</x:v>
      </x:c>
      <x:c r="I1718" s="7" t="n">
        <x:v>900</x:v>
      </x:c>
    </x:row>
    <x:row r="1719" ht="23" customHeight="1">
      <x:c r="A1719" s="7" t="str">
        <x:v>INV01714</x:v>
      </x:c>
      <x:c r="B1719" s="15" t="d">
        <x:v>2026-06-14T00:00:00.000Z</x:v>
      </x:c>
      <x:c r="C1719" s="14" t="d">
        <x:v>2026-06-01T00:00:00.000Z</x:v>
      </x:c>
      <x:c r="D1719" s="34" t="str">
        <x:v>0003</x:v>
      </x:c>
      <x:c r="E1719" s="7" t="str">
        <x:v>West</x:v>
      </x:c>
      <x:c r="F1719" s="7" t="n">
        <x:v>5</x:v>
      </x:c>
      <x:c r="G1719" s="7" t="n">
        <x:v>200</x:v>
      </x:c>
      <x:c r="H1719" s="9" t="n">
        <x:v>0.02</x:v>
      </x:c>
      <x:c r="I1719" s="7" t="n">
        <x:v>980</x:v>
      </x:c>
    </x:row>
    <x:row r="1720" ht="23" customHeight="1">
      <x:c r="A1720" s="7" t="str">
        <x:v>INV01715</x:v>
      </x:c>
      <x:c r="B1720" s="15" t="d">
        <x:v>2026-06-15T00:00:00.000Z</x:v>
      </x:c>
      <x:c r="C1720" s="14" t="d">
        <x:v>2026-06-01T00:00:00.000Z</x:v>
      </x:c>
      <x:c r="D1720" s="34" t="str">
        <x:v>0004</x:v>
      </x:c>
      <x:c r="E1720" s="7" t="str">
        <x:v>West</x:v>
      </x:c>
      <x:c r="F1720" s="7" t="n">
        <x:v>3</x:v>
      </x:c>
      <x:c r="G1720" s="7" t="n">
        <x:v>220</x:v>
      </x:c>
      <x:c r="H1720" s="9" t="n">
        <x:v>0.05</x:v>
      </x:c>
      <x:c r="I1720" s="7" t="n">
        <x:v>627</x:v>
      </x:c>
    </x:row>
    <x:row r="1721" ht="23" customHeight="1">
      <x:c r="A1721" s="7" t="str">
        <x:v>INV01716</x:v>
      </x:c>
      <x:c r="B1721" s="15" t="d">
        <x:v>2026-06-16T00:00:00.000Z</x:v>
      </x:c>
      <x:c r="C1721" s="14" t="d">
        <x:v>2026-06-01T00:00:00.000Z</x:v>
      </x:c>
      <x:c r="D1721" s="34" t="str">
        <x:v>0005</x:v>
      </x:c>
      <x:c r="E1721" s="7" t="str">
        <x:v>West</x:v>
      </x:c>
      <x:c r="F1721" s="7" t="n">
        <x:v>6</x:v>
      </x:c>
      <x:c r="G1721" s="7" t="n">
        <x:v>240</x:v>
      </x:c>
      <x:c r="H1721" s="9" t="n">
        <x:v>0</x:v>
      </x:c>
      <x:c r="I1721" s="7" t="n">
        <x:v>1440</x:v>
      </x:c>
    </x:row>
    <x:row r="1722" ht="23" customHeight="1">
      <x:c r="A1722" s="7" t="str">
        <x:v>INV01717</x:v>
      </x:c>
      <x:c r="B1722" s="15" t="d">
        <x:v>2026-06-17T00:00:00.000Z</x:v>
      </x:c>
      <x:c r="C1722" s="14" t="d">
        <x:v>2026-06-01T00:00:00.000Z</x:v>
      </x:c>
      <x:c r="D1722" s="34" t="str">
        <x:v>0006</x:v>
      </x:c>
      <x:c r="E1722" s="7" t="str">
        <x:v>West</x:v>
      </x:c>
      <x:c r="F1722" s="7" t="n">
        <x:v>2</x:v>
      </x:c>
      <x:c r="G1722" s="7" t="n">
        <x:v>260</x:v>
      </x:c>
      <x:c r="H1722" s="9" t="n">
        <x:v>0.02</x:v>
      </x:c>
      <x:c r="I1722" s="7" t="n">
        <x:v>509.6</x:v>
      </x:c>
    </x:row>
    <x:row r="1723" ht="23" customHeight="1">
      <x:c r="A1723" s="7" t="str">
        <x:v>INV01718</x:v>
      </x:c>
      <x:c r="B1723" s="15" t="d">
        <x:v>2026-06-18T00:00:00.000Z</x:v>
      </x:c>
      <x:c r="C1723" s="14" t="d">
        <x:v>2026-06-01T00:00:00.000Z</x:v>
      </x:c>
      <x:c r="D1723" s="34" t="str">
        <x:v>0007</x:v>
      </x:c>
      <x:c r="E1723" s="7" t="str">
        <x:v>West</x:v>
      </x:c>
      <x:c r="F1723" s="7" t="n">
        <x:v>2</x:v>
      </x:c>
      <x:c r="G1723" s="7" t="n">
        <x:v>280</x:v>
      </x:c>
      <x:c r="H1723" s="9" t="n">
        <x:v>0.05</x:v>
      </x:c>
      <x:c r="I1723" s="7" t="n">
        <x:v>532</x:v>
      </x:c>
    </x:row>
    <x:row r="1724" ht="23" customHeight="1">
      <x:c r="A1724" s="7" t="str">
        <x:v>INV01719</x:v>
      </x:c>
      <x:c r="B1724" s="15" t="d">
        <x:v>2026-06-19T00:00:00.000Z</x:v>
      </x:c>
      <x:c r="C1724" s="14" t="d">
        <x:v>2026-06-01T00:00:00.000Z</x:v>
      </x:c>
      <x:c r="D1724" s="34" t="str">
        <x:v>0008</x:v>
      </x:c>
      <x:c r="E1724" s="7" t="str">
        <x:v>West</x:v>
      </x:c>
      <x:c r="F1724" s="7" t="n">
        <x:v>7</x:v>
      </x:c>
      <x:c r="G1724" s="7" t="n">
        <x:v>300</x:v>
      </x:c>
      <x:c r="H1724" s="9" t="n">
        <x:v>0</x:v>
      </x:c>
      <x:c r="I1724" s="7" t="n">
        <x:v>2100</x:v>
      </x:c>
    </x:row>
    <x:row r="1725" ht="23" customHeight="1">
      <x:c r="A1725" s="7" t="str">
        <x:v>INV01720</x:v>
      </x:c>
      <x:c r="B1725" s="15" t="d">
        <x:v>2026-06-20T00:00:00.000Z</x:v>
      </x:c>
      <x:c r="C1725" s="14" t="d">
        <x:v>2026-06-01T00:00:00.000Z</x:v>
      </x:c>
      <x:c r="D1725" s="34" t="str">
        <x:v>0001</x:v>
      </x:c>
      <x:c r="E1725" s="7" t="str">
        <x:v>North</x:v>
      </x:c>
      <x:c r="F1725" s="7" t="n">
        <x:v>2</x:v>
      </x:c>
      <x:c r="G1725" s="7" t="n">
        <x:v>160</x:v>
      </x:c>
      <x:c r="H1725" s="9" t="n">
        <x:v>0.02</x:v>
      </x:c>
      <x:c r="I1725" s="7" t="n">
        <x:v>313.6</x:v>
      </x:c>
    </x:row>
    <x:row r="1726" ht="23" customHeight="1">
      <x:c r="A1726" s="7" t="str">
        <x:v>INV01721</x:v>
      </x:c>
      <x:c r="B1726" s="15" t="d">
        <x:v>2026-06-21T00:00:00.000Z</x:v>
      </x:c>
      <x:c r="C1726" s="14" t="d">
        <x:v>2026-06-01T00:00:00.000Z</x:v>
      </x:c>
      <x:c r="D1726" s="34" t="str">
        <x:v>0002</x:v>
      </x:c>
      <x:c r="E1726" s="7" t="str">
        <x:v>North</x:v>
      </x:c>
      <x:c r="F1726" s="7" t="n">
        <x:v>2</x:v>
      </x:c>
      <x:c r="G1726" s="7" t="n">
        <x:v>180</x:v>
      </x:c>
      <x:c r="H1726" s="9" t="n">
        <x:v>0.05</x:v>
      </x:c>
      <x:c r="I1726" s="7" t="n">
        <x:v>342</x:v>
      </x:c>
    </x:row>
    <x:row r="1727" ht="23" customHeight="1">
      <x:c r="A1727" s="7" t="str">
        <x:v>INV01722</x:v>
      </x:c>
      <x:c r="B1727" s="15" t="d">
        <x:v>2026-06-22T00:00:00.000Z</x:v>
      </x:c>
      <x:c r="C1727" s="14" t="d">
        <x:v>2026-06-01T00:00:00.000Z</x:v>
      </x:c>
      <x:c r="D1727" s="34" t="str">
        <x:v>0003</x:v>
      </x:c>
      <x:c r="E1727" s="7" t="str">
        <x:v>North</x:v>
      </x:c>
      <x:c r="F1727" s="7" t="n">
        <x:v>-6</x:v>
      </x:c>
      <x:c r="G1727" s="7" t="n">
        <x:v>200</x:v>
      </x:c>
      <x:c r="H1727" s="9" t="n">
        <x:v>0</x:v>
      </x:c>
      <x:c r="I1727" s="7" t="n">
        <x:v>-1200</x:v>
      </x:c>
    </x:row>
    <x:row r="1728" ht="23" customHeight="1">
      <x:c r="A1728" s="7" t="str">
        <x:v>INV01723</x:v>
      </x:c>
      <x:c r="B1728" s="15" t="d">
        <x:v>2026-06-23T00:00:00.000Z</x:v>
      </x:c>
      <x:c r="C1728" s="14" t="d">
        <x:v>2026-06-01T00:00:00.000Z</x:v>
      </x:c>
      <x:c r="D1728" s="34" t="str">
        <x:v>0004</x:v>
      </x:c>
      <x:c r="E1728" s="7" t="str">
        <x:v>North</x:v>
      </x:c>
      <x:c r="F1728" s="7" t="n">
        <x:v>1</x:v>
      </x:c>
      <x:c r="G1728" s="7" t="n">
        <x:v>220</x:v>
      </x:c>
      <x:c r="H1728" s="9" t="n">
        <x:v>0.02</x:v>
      </x:c>
      <x:c r="I1728" s="7" t="n">
        <x:v>215.6</x:v>
      </x:c>
    </x:row>
    <x:row r="1729" ht="23" customHeight="1">
      <x:c r="A1729" s="7" t="str">
        <x:v>INV01724</x:v>
      </x:c>
      <x:c r="B1729" s="15" t="d">
        <x:v>2026-06-24T00:00:00.000Z</x:v>
      </x:c>
      <x:c r="C1729" s="14" t="d">
        <x:v>2026-06-01T00:00:00.000Z</x:v>
      </x:c>
      <x:c r="D1729" s="34" t="str">
        <x:v>0005</x:v>
      </x:c>
      <x:c r="E1729" s="7" t="str">
        <x:v>North</x:v>
      </x:c>
      <x:c r="F1729" s="7" t="n">
        <x:v>4</x:v>
      </x:c>
      <x:c r="G1729" s="7" t="n">
        <x:v>240</x:v>
      </x:c>
      <x:c r="H1729" s="9" t="n">
        <x:v>0.05</x:v>
      </x:c>
      <x:c r="I1729" s="7" t="n">
        <x:v>912</x:v>
      </x:c>
    </x:row>
    <x:row r="1730" ht="23" customHeight="1">
      <x:c r="A1730" s="7" t="str">
        <x:v>INV01725</x:v>
      </x:c>
      <x:c r="B1730" s="15" t="d">
        <x:v>2026-06-25T00:00:00.000Z</x:v>
      </x:c>
      <x:c r="C1730" s="14" t="d">
        <x:v>2026-06-01T00:00:00.000Z</x:v>
      </x:c>
      <x:c r="D1730" s="34" t="str">
        <x:v>0006</x:v>
      </x:c>
      <x:c r="E1730" s="7" t="str">
        <x:v>North</x:v>
      </x:c>
      <x:c r="F1730" s="7" t="n">
        <x:v>7</x:v>
      </x:c>
      <x:c r="G1730" s="7" t="n">
        <x:v>260</x:v>
      </x:c>
      <x:c r="H1730" s="9" t="n">
        <x:v>0</x:v>
      </x:c>
      <x:c r="I1730" s="7" t="n">
        <x:v>1820</x:v>
      </x:c>
    </x:row>
    <x:row r="1731" ht="23" customHeight="1">
      <x:c r="A1731" s="7" t="str">
        <x:v>INV01726</x:v>
      </x:c>
      <x:c r="B1731" s="15" t="d">
        <x:v>2026-06-26T00:00:00.000Z</x:v>
      </x:c>
      <x:c r="C1731" s="14" t="d">
        <x:v>2026-06-01T00:00:00.000Z</x:v>
      </x:c>
      <x:c r="D1731" s="34" t="str">
        <x:v>0007</x:v>
      </x:c>
      <x:c r="E1731" s="7" t="str">
        <x:v>North</x:v>
      </x:c>
      <x:c r="F1731" s="7" t="n">
        <x:v>2</x:v>
      </x:c>
      <x:c r="G1731" s="7" t="n">
        <x:v>280</x:v>
      </x:c>
      <x:c r="H1731" s="9" t="n">
        <x:v>0.02</x:v>
      </x:c>
      <x:c r="I1731" s="7" t="n">
        <x:v>548.8</x:v>
      </x:c>
    </x:row>
    <x:row r="1732" ht="23" customHeight="1">
      <x:c r="A1732" s="7" t="str">
        <x:v>INV01727</x:v>
      </x:c>
      <x:c r="B1732" s="15" t="d">
        <x:v>2026-06-27T00:00:00.000Z</x:v>
      </x:c>
      <x:c r="C1732" s="14" t="d">
        <x:v>2026-06-01T00:00:00.000Z</x:v>
      </x:c>
      <x:c r="D1732" s="34" t="str">
        <x:v>0008</x:v>
      </x:c>
      <x:c r="E1732" s="7" t="str">
        <x:v>North</x:v>
      </x:c>
      <x:c r="F1732" s="7" t="n">
        <x:v>6</x:v>
      </x:c>
      <x:c r="G1732" s="7" t="n">
        <x:v>300</x:v>
      </x:c>
      <x:c r="H1732" s="9" t="n">
        <x:v>0.05</x:v>
      </x:c>
      <x:c r="I1732" s="7" t="n">
        <x:v>1710</x:v>
      </x:c>
    </x:row>
    <x:row r="1733" ht="23" customHeight="1">
      <x:c r="A1733" s="7" t="str">
        <x:v>INV01728</x:v>
      </x:c>
      <x:c r="B1733" s="15" t="d">
        <x:v>2026-01-01T00:00:00.000Z</x:v>
      </x:c>
      <x:c r="C1733" s="14" t="d">
        <x:v>2026-01-01T00:00:00.000Z</x:v>
      </x:c>
      <x:c r="D1733" s="34" t="str">
        <x:v>0001</x:v>
      </x:c>
      <x:c r="E1733" s="7" t="str">
        <x:v>Central</x:v>
      </x:c>
      <x:c r="F1733" s="7" t="n">
        <x:v>2</x:v>
      </x:c>
      <x:c r="G1733" s="7" t="n">
        <x:v>160</x:v>
      </x:c>
      <x:c r="H1733" s="9" t="n">
        <x:v>0</x:v>
      </x:c>
      <x:c r="I1733" s="7" t="n">
        <x:v>320</x:v>
      </x:c>
    </x:row>
    <x:row r="1734" ht="23" customHeight="1">
      <x:c r="A1734" s="7" t="str">
        <x:v>INV01729</x:v>
      </x:c>
      <x:c r="B1734" s="15" t="d">
        <x:v>2026-01-02T00:00:00.000Z</x:v>
      </x:c>
      <x:c r="C1734" s="14" t="d">
        <x:v>2026-01-01T00:00:00.000Z</x:v>
      </x:c>
      <x:c r="D1734" s="34" t="str">
        <x:v>0002</x:v>
      </x:c>
      <x:c r="E1734" s="7" t="str">
        <x:v>Central</x:v>
      </x:c>
      <x:c r="F1734" s="7" t="n">
        <x:v>6</x:v>
      </x:c>
      <x:c r="G1734" s="7" t="n">
        <x:v>180</x:v>
      </x:c>
      <x:c r="H1734" s="9" t="n">
        <x:v>0.02</x:v>
      </x:c>
      <x:c r="I1734" s="7" t="n">
        <x:v>1058.4</x:v>
      </x:c>
    </x:row>
    <x:row r="1735" ht="23" customHeight="1">
      <x:c r="A1735" s="7" t="str">
        <x:v>INV01730</x:v>
      </x:c>
      <x:c r="B1735" s="15" t="d">
        <x:v>2026-01-03T00:00:00.000Z</x:v>
      </x:c>
      <x:c r="C1735" s="14" t="d">
        <x:v>2026-01-01T00:00:00.000Z</x:v>
      </x:c>
      <x:c r="D1735" s="34" t="str">
        <x:v>0003</x:v>
      </x:c>
      <x:c r="E1735" s="7" t="str">
        <x:v>Central</x:v>
      </x:c>
      <x:c r="F1735" s="7" t="n">
        <x:v>3</x:v>
      </x:c>
      <x:c r="G1735" s="7" t="n">
        <x:v>200</x:v>
      </x:c>
      <x:c r="H1735" s="9" t="n">
        <x:v>0.05</x:v>
      </x:c>
      <x:c r="I1735" s="7" t="n">
        <x:v>570</x:v>
      </x:c>
    </x:row>
    <x:row r="1736" ht="23" customHeight="1">
      <x:c r="A1736" s="7" t="str">
        <x:v>INV01731</x:v>
      </x:c>
      <x:c r="B1736" s="15" t="d">
        <x:v>2026-01-04T00:00:00.000Z</x:v>
      </x:c>
      <x:c r="C1736" s="14" t="d">
        <x:v>2026-01-01T00:00:00.000Z</x:v>
      </x:c>
      <x:c r="D1736" s="34" t="str">
        <x:v>0004</x:v>
      </x:c>
      <x:c r="E1736" s="7" t="str">
        <x:v>Central</x:v>
      </x:c>
      <x:c r="F1736" s="7" t="n">
        <x:v>5</x:v>
      </x:c>
      <x:c r="G1736" s="7" t="n">
        <x:v>220</x:v>
      </x:c>
      <x:c r="H1736" s="9" t="n">
        <x:v>0</x:v>
      </x:c>
      <x:c r="I1736" s="7" t="n">
        <x:v>1100</x:v>
      </x:c>
    </x:row>
    <x:row r="1737" ht="23" customHeight="1">
      <x:c r="A1737" s="7" t="str">
        <x:v>INV01732</x:v>
      </x:c>
      <x:c r="B1737" s="15" t="d">
        <x:v>2026-01-05T00:00:00.000Z</x:v>
      </x:c>
      <x:c r="C1737" s="14" t="d">
        <x:v>2026-01-01T00:00:00.000Z</x:v>
      </x:c>
      <x:c r="D1737" s="34" t="str">
        <x:v>0005</x:v>
      </x:c>
      <x:c r="E1737" s="7" t="str">
        <x:v>Central</x:v>
      </x:c>
      <x:c r="F1737" s="7" t="n">
        <x:v>7</x:v>
      </x:c>
      <x:c r="G1737" s="7" t="n">
        <x:v>240</x:v>
      </x:c>
      <x:c r="H1737" s="9" t="n">
        <x:v>0.02</x:v>
      </x:c>
      <x:c r="I1737" s="7" t="n">
        <x:v>1646.4</x:v>
      </x:c>
    </x:row>
    <x:row r="1738" ht="23" customHeight="1">
      <x:c r="A1738" s="7" t="str">
        <x:v>INV01733</x:v>
      </x:c>
      <x:c r="B1738" s="15" t="d">
        <x:v>2026-01-06T00:00:00.000Z</x:v>
      </x:c>
      <x:c r="C1738" s="14" t="d">
        <x:v>2026-01-01T00:00:00.000Z</x:v>
      </x:c>
      <x:c r="D1738" s="34" t="str">
        <x:v>0006</x:v>
      </x:c>
      <x:c r="E1738" s="7" t="str">
        <x:v>Central</x:v>
      </x:c>
      <x:c r="F1738" s="7" t="n">
        <x:v>1</x:v>
      </x:c>
      <x:c r="G1738" s="7" t="n">
        <x:v>260</x:v>
      </x:c>
      <x:c r="H1738" s="9" t="n">
        <x:v>0.05</x:v>
      </x:c>
      <x:c r="I1738" s="7" t="n">
        <x:v>247</x:v>
      </x:c>
    </x:row>
    <x:row r="1739" ht="23" customHeight="1">
      <x:c r="A1739" s="7" t="str">
        <x:v>INV01734</x:v>
      </x:c>
      <x:c r="B1739" s="15" t="d">
        <x:v>2026-01-07T00:00:00.000Z</x:v>
      </x:c>
      <x:c r="C1739" s="14" t="d">
        <x:v>2026-01-01T00:00:00.000Z</x:v>
      </x:c>
      <x:c r="D1739" s="34" t="str">
        <x:v>0007</x:v>
      </x:c>
      <x:c r="E1739" s="7" t="str">
        <x:v>Central</x:v>
      </x:c>
      <x:c r="F1739" s="7" t="n">
        <x:v>4</x:v>
      </x:c>
      <x:c r="G1739" s="7" t="n">
        <x:v>280</x:v>
      </x:c>
      <x:c r="H1739" s="9" t="n">
        <x:v>0</x:v>
      </x:c>
      <x:c r="I1739" s="7" t="n">
        <x:v>1120</x:v>
      </x:c>
    </x:row>
    <x:row r="1740" ht="23" customHeight="1">
      <x:c r="A1740" s="7" t="str">
        <x:v>INV01735</x:v>
      </x:c>
      <x:c r="B1740" s="15" t="d">
        <x:v>2026-01-08T00:00:00.000Z</x:v>
      </x:c>
      <x:c r="C1740" s="14" t="d">
        <x:v>2026-01-01T00:00:00.000Z</x:v>
      </x:c>
      <x:c r="D1740" s="34" t="str">
        <x:v>0008</x:v>
      </x:c>
      <x:c r="E1740" s="7" t="str">
        <x:v>Central</x:v>
      </x:c>
      <x:c r="F1740" s="7" t="n">
        <x:v>2</x:v>
      </x:c>
      <x:c r="G1740" s="7" t="n">
        <x:v>300</x:v>
      </x:c>
      <x:c r="H1740" s="9" t="n">
        <x:v>0.02</x:v>
      </x:c>
      <x:c r="I1740" s="7" t="n">
        <x:v>588</x:v>
      </x:c>
    </x:row>
    <x:row r="1741" ht="23" customHeight="1">
      <x:c r="A1741" s="7" t="str">
        <x:v>INV01736</x:v>
      </x:c>
      <x:c r="B1741" s="15" t="d">
        <x:v>2026-01-09T00:00:00.000Z</x:v>
      </x:c>
      <x:c r="C1741" s="14" t="d">
        <x:v>2026-01-01T00:00:00.000Z</x:v>
      </x:c>
      <x:c r="D1741" s="34" t="str">
        <x:v>0001</x:v>
      </x:c>
      <x:c r="E1741" s="7" t="str">
        <x:v>East</x:v>
      </x:c>
      <x:c r="F1741" s="7" t="n">
        <x:v>7</x:v>
      </x:c>
      <x:c r="G1741" s="7" t="n">
        <x:v>160</x:v>
      </x:c>
      <x:c r="H1741" s="9" t="n">
        <x:v>0.05</x:v>
      </x:c>
      <x:c r="I1741" s="7" t="n">
        <x:v>1064</x:v>
      </x:c>
    </x:row>
    <x:row r="1742" ht="23" customHeight="1">
      <x:c r="A1742" s="7" t="str">
        <x:v>INV01737</x:v>
      </x:c>
      <x:c r="B1742" s="15" t="d">
        <x:v>2026-01-10T00:00:00.000Z</x:v>
      </x:c>
      <x:c r="C1742" s="14" t="d">
        <x:v>2026-01-01T00:00:00.000Z</x:v>
      </x:c>
      <x:c r="D1742" s="34" t="str">
        <x:v>0002</x:v>
      </x:c>
      <x:c r="E1742" s="7" t="str">
        <x:v>East</x:v>
      </x:c>
      <x:c r="F1742" s="7" t="n">
        <x:v>2</x:v>
      </x:c>
      <x:c r="G1742" s="7" t="n">
        <x:v>180</x:v>
      </x:c>
      <x:c r="H1742" s="9" t="n">
        <x:v>0</x:v>
      </x:c>
      <x:c r="I1742" s="7" t="n">
        <x:v>360</x:v>
      </x:c>
    </x:row>
    <x:row r="1743" ht="23" customHeight="1">
      <x:c r="A1743" s="7" t="str">
        <x:v>INV01738</x:v>
      </x:c>
      <x:c r="B1743" s="15" t="d">
        <x:v>2026-01-11T00:00:00.000Z</x:v>
      </x:c>
      <x:c r="C1743" s="14" t="d">
        <x:v>2026-01-01T00:00:00.000Z</x:v>
      </x:c>
      <x:c r="D1743" s="34" t="str">
        <x:v>0003</x:v>
      </x:c>
      <x:c r="E1743" s="7" t="str">
        <x:v>East</x:v>
      </x:c>
      <x:c r="F1743" s="7" t="n">
        <x:v>5</x:v>
      </x:c>
      <x:c r="G1743" s="7" t="n">
        <x:v>200</x:v>
      </x:c>
      <x:c r="H1743" s="9" t="n">
        <x:v>0.02</x:v>
      </x:c>
      <x:c r="I1743" s="7" t="n">
        <x:v>980</x:v>
      </x:c>
    </x:row>
    <x:row r="1744" ht="23" customHeight="1">
      <x:c r="A1744" s="7" t="str">
        <x:v>INV01739</x:v>
      </x:c>
      <x:c r="B1744" s="15" t="d">
        <x:v>2026-01-12T00:00:00.000Z</x:v>
      </x:c>
      <x:c r="C1744" s="14" t="d">
        <x:v>2026-01-01T00:00:00.000Z</x:v>
      </x:c>
      <x:c r="D1744" s="34" t="str">
        <x:v>0004</x:v>
      </x:c>
      <x:c r="E1744" s="7" t="str">
        <x:v>East</x:v>
      </x:c>
      <x:c r="F1744" s="7" t="n">
        <x:v>2</x:v>
      </x:c>
      <x:c r="G1744" s="7" t="n">
        <x:v>220</x:v>
      </x:c>
      <x:c r="H1744" s="9" t="n">
        <x:v>0.05</x:v>
      </x:c>
      <x:c r="I1744" s="7" t="n">
        <x:v>418</x:v>
      </x:c>
    </x:row>
    <x:row r="1745" ht="23" customHeight="1">
      <x:c r="A1745" s="7" t="str">
        <x:v>INV01740</x:v>
      </x:c>
      <x:c r="B1745" s="15" t="d">
        <x:v>2026-01-13T00:00:00.000Z</x:v>
      </x:c>
      <x:c r="C1745" s="14" t="d">
        <x:v>2026-01-01T00:00:00.000Z</x:v>
      </x:c>
      <x:c r="D1745" s="34" t="str">
        <x:v>0005</x:v>
      </x:c>
      <x:c r="E1745" s="7" t="str">
        <x:v>East</x:v>
      </x:c>
      <x:c r="F1745" s="7" t="n">
        <x:v>2</x:v>
      </x:c>
      <x:c r="G1745" s="7" t="n">
        <x:v>240</x:v>
      </x:c>
      <x:c r="H1745" s="9" t="n">
        <x:v>0</x:v>
      </x:c>
      <x:c r="I1745" s="7" t="n">
        <x:v>480</x:v>
      </x:c>
    </x:row>
    <x:row r="1746" ht="23" customHeight="1">
      <x:c r="A1746" s="7" t="str">
        <x:v>INV01741</x:v>
      </x:c>
      <x:c r="B1746" s="15" t="d">
        <x:v>2026-01-14T00:00:00.000Z</x:v>
      </x:c>
      <x:c r="C1746" s="14" t="d">
        <x:v>2026-01-01T00:00:00.000Z</x:v>
      </x:c>
      <x:c r="D1746" s="34" t="str">
        <x:v>0006</x:v>
      </x:c>
      <x:c r="E1746" s="7" t="str">
        <x:v>East</x:v>
      </x:c>
      <x:c r="F1746" s="7" t="n">
        <x:v>1</x:v>
      </x:c>
      <x:c r="G1746" s="7" t="n">
        <x:v>260</x:v>
      </x:c>
      <x:c r="H1746" s="9" t="n">
        <x:v>0.02</x:v>
      </x:c>
      <x:c r="I1746" s="7" t="n">
        <x:v>254.8</x:v>
      </x:c>
    </x:row>
    <x:row r="1747" ht="23" customHeight="1">
      <x:c r="A1747" s="7" t="str">
        <x:v>INV01742</x:v>
      </x:c>
      <x:c r="B1747" s="15" t="d">
        <x:v>2026-01-15T00:00:00.000Z</x:v>
      </x:c>
      <x:c r="C1747" s="14" t="d">
        <x:v>2026-01-01T00:00:00.000Z</x:v>
      </x:c>
      <x:c r="D1747" s="34" t="str">
        <x:v>0007</x:v>
      </x:c>
      <x:c r="E1747" s="7" t="str">
        <x:v>East</x:v>
      </x:c>
      <x:c r="F1747" s="7" t="n">
        <x:v>7</x:v>
      </x:c>
      <x:c r="G1747" s="7" t="n">
        <x:v>280</x:v>
      </x:c>
      <x:c r="H1747" s="9" t="n">
        <x:v>0.05</x:v>
      </x:c>
      <x:c r="I1747" s="7" t="n">
        <x:v>1862</x:v>
      </x:c>
    </x:row>
    <x:row r="1748" ht="23" customHeight="1">
      <x:c r="A1748" s="7" t="str">
        <x:v>INV01743</x:v>
      </x:c>
      <x:c r="B1748" s="15" t="d">
        <x:v>2026-01-16T00:00:00.000Z</x:v>
      </x:c>
      <x:c r="C1748" s="14" t="d">
        <x:v>2026-01-01T00:00:00.000Z</x:v>
      </x:c>
      <x:c r="D1748" s="34" t="str">
        <x:v>0008</x:v>
      </x:c>
      <x:c r="E1748" s="7" t="str">
        <x:v>East</x:v>
      </x:c>
      <x:c r="F1748" s="7" t="n">
        <x:v>1</x:v>
      </x:c>
      <x:c r="G1748" s="7" t="n">
        <x:v>300</x:v>
      </x:c>
      <x:c r="H1748" s="9" t="n">
        <x:v>0</x:v>
      </x:c>
      <x:c r="I1748" s="7" t="n">
        <x:v>300</x:v>
      </x:c>
    </x:row>
    <x:row r="1749" ht="23" customHeight="1">
      <x:c r="A1749" s="7" t="str">
        <x:v>INV01744</x:v>
      </x:c>
      <x:c r="B1749" s="15" t="d">
        <x:v>2026-01-17T00:00:00.000Z</x:v>
      </x:c>
      <x:c r="C1749" s="14" t="d">
        <x:v>2026-01-01T00:00:00.000Z</x:v>
      </x:c>
      <x:c r="D1749" s="34" t="str">
        <x:v>0001</x:v>
      </x:c>
      <x:c r="E1749" s="7" t="str">
        <x:v>West</x:v>
      </x:c>
      <x:c r="F1749" s="7" t="n">
        <x:v>7</x:v>
      </x:c>
      <x:c r="G1749" s="7" t="n">
        <x:v>160</x:v>
      </x:c>
      <x:c r="H1749" s="9" t="n">
        <x:v>0.02</x:v>
      </x:c>
      <x:c r="I1749" s="7" t="n">
        <x:v>1097.6</x:v>
      </x:c>
    </x:row>
    <x:row r="1750" ht="23" customHeight="1">
      <x:c r="A1750" s="7" t="str">
        <x:v>INV01745</x:v>
      </x:c>
      <x:c r="B1750" s="15" t="d">
        <x:v>2026-01-18T00:00:00.000Z</x:v>
      </x:c>
      <x:c r="C1750" s="14" t="d">
        <x:v>2026-01-01T00:00:00.000Z</x:v>
      </x:c>
      <x:c r="D1750" s="34" t="str">
        <x:v>0002</x:v>
      </x:c>
      <x:c r="E1750" s="7" t="str">
        <x:v>West</x:v>
      </x:c>
      <x:c r="F1750" s="7" t="n">
        <x:v>7</x:v>
      </x:c>
      <x:c r="G1750" s="7" t="n">
        <x:v>180</x:v>
      </x:c>
      <x:c r="H1750" s="9" t="n">
        <x:v>0.05</x:v>
      </x:c>
      <x:c r="I1750" s="7" t="n">
        <x:v>1197</x:v>
      </x:c>
    </x:row>
    <x:row r="1751" ht="23" customHeight="1">
      <x:c r="A1751" s="7" t="str">
        <x:v>INV01746</x:v>
      </x:c>
      <x:c r="B1751" s="15" t="d">
        <x:v>2026-01-19T00:00:00.000Z</x:v>
      </x:c>
      <x:c r="C1751" s="14" t="d">
        <x:v>2026-01-01T00:00:00.000Z</x:v>
      </x:c>
      <x:c r="D1751" s="34" t="str">
        <x:v>0003</x:v>
      </x:c>
      <x:c r="E1751" s="7" t="str">
        <x:v>West</x:v>
      </x:c>
      <x:c r="F1751" s="7" t="n">
        <x:v>3</x:v>
      </x:c>
      <x:c r="G1751" s="7" t="n">
        <x:v>200</x:v>
      </x:c>
      <x:c r="H1751" s="9" t="n">
        <x:v>0</x:v>
      </x:c>
      <x:c r="I1751" s="7" t="n">
        <x:v>600</x:v>
      </x:c>
    </x:row>
    <x:row r="1752" ht="23" customHeight="1">
      <x:c r="A1752" s="7" t="str">
        <x:v>INV01747</x:v>
      </x:c>
      <x:c r="B1752" s="15" t="d">
        <x:v>2026-01-20T00:00:00.000Z</x:v>
      </x:c>
      <x:c r="C1752" s="14" t="d">
        <x:v>2026-01-01T00:00:00.000Z</x:v>
      </x:c>
      <x:c r="D1752" s="34" t="str">
        <x:v>0004</x:v>
      </x:c>
      <x:c r="E1752" s="7" t="str">
        <x:v>West</x:v>
      </x:c>
      <x:c r="F1752" s="7" t="n">
        <x:v>1</x:v>
      </x:c>
      <x:c r="G1752" s="7" t="n">
        <x:v>220</x:v>
      </x:c>
      <x:c r="H1752" s="9" t="n">
        <x:v>0.02</x:v>
      </x:c>
      <x:c r="I1752" s="7" t="n">
        <x:v>215.6</x:v>
      </x:c>
    </x:row>
    <x:row r="1753" ht="23" customHeight="1">
      <x:c r="A1753" s="7" t="str">
        <x:v>INV01748</x:v>
      </x:c>
      <x:c r="B1753" s="15" t="d">
        <x:v>2026-01-21T00:00:00.000Z</x:v>
      </x:c>
      <x:c r="C1753" s="14" t="d">
        <x:v>2026-01-01T00:00:00.000Z</x:v>
      </x:c>
      <x:c r="D1753" s="34" t="str">
        <x:v>0005</x:v>
      </x:c>
      <x:c r="E1753" s="7" t="str">
        <x:v>West</x:v>
      </x:c>
      <x:c r="F1753" s="7" t="n">
        <x:v>7</x:v>
      </x:c>
      <x:c r="G1753" s="7" t="n">
        <x:v>240</x:v>
      </x:c>
      <x:c r="H1753" s="9" t="n">
        <x:v>0.05</x:v>
      </x:c>
      <x:c r="I1753" s="7" t="n">
        <x:v>1596</x:v>
      </x:c>
    </x:row>
    <x:row r="1754" ht="23" customHeight="1">
      <x:c r="A1754" s="7" t="str">
        <x:v>INV01749</x:v>
      </x:c>
      <x:c r="B1754" s="15" t="d">
        <x:v>2026-01-22T00:00:00.000Z</x:v>
      </x:c>
      <x:c r="C1754" s="14" t="d">
        <x:v>2026-01-01T00:00:00.000Z</x:v>
      </x:c>
      <x:c r="D1754" s="34" t="str">
        <x:v>0006</x:v>
      </x:c>
      <x:c r="E1754" s="7" t="str">
        <x:v>West</x:v>
      </x:c>
      <x:c r="F1754" s="7" t="n">
        <x:v>1</x:v>
      </x:c>
      <x:c r="G1754" s="7" t="n">
        <x:v>260</x:v>
      </x:c>
      <x:c r="H1754" s="9" t="n">
        <x:v>0</x:v>
      </x:c>
      <x:c r="I1754" s="7" t="n">
        <x:v>260</x:v>
      </x:c>
    </x:row>
    <x:row r="1755" ht="23" customHeight="1">
      <x:c r="A1755" s="7" t="str">
        <x:v>INV01750</x:v>
      </x:c>
      <x:c r="B1755" s="15" t="d">
        <x:v>2026-01-23T00:00:00.000Z</x:v>
      </x:c>
      <x:c r="C1755" s="14" t="d">
        <x:v>2026-01-01T00:00:00.000Z</x:v>
      </x:c>
      <x:c r="D1755" s="34" t="str">
        <x:v>0007</x:v>
      </x:c>
      <x:c r="E1755" s="7" t="str">
        <x:v>West</x:v>
      </x:c>
      <x:c r="F1755" s="7" t="n">
        <x:v>3</x:v>
      </x:c>
      <x:c r="G1755" s="7" t="n">
        <x:v>280</x:v>
      </x:c>
      <x:c r="H1755" s="9" t="n">
        <x:v>0.02</x:v>
      </x:c>
      <x:c r="I1755" s="7" t="n">
        <x:v>823.2</x:v>
      </x:c>
    </x:row>
    <x:row r="1756" ht="23" customHeight="1">
      <x:c r="A1756" s="7" t="str">
        <x:v>INV01751</x:v>
      </x:c>
      <x:c r="B1756" s="15" t="d">
        <x:v>2026-01-24T00:00:00.000Z</x:v>
      </x:c>
      <x:c r="C1756" s="14" t="d">
        <x:v>2026-01-01T00:00:00.000Z</x:v>
      </x:c>
      <x:c r="D1756" s="34" t="str">
        <x:v>0008</x:v>
      </x:c>
      <x:c r="E1756" s="7" t="str">
        <x:v>West</x:v>
      </x:c>
      <x:c r="F1756" s="7" t="n">
        <x:v>6</x:v>
      </x:c>
      <x:c r="G1756" s="7" t="n">
        <x:v>300</x:v>
      </x:c>
      <x:c r="H1756" s="9" t="n">
        <x:v>0.05</x:v>
      </x:c>
      <x:c r="I1756" s="7" t="n">
        <x:v>1710</x:v>
      </x:c>
    </x:row>
    <x:row r="1757" ht="23" customHeight="1">
      <x:c r="A1757" s="7" t="str">
        <x:v>INV01752</x:v>
      </x:c>
      <x:c r="B1757" s="15" t="d">
        <x:v>2026-01-25T00:00:00.000Z</x:v>
      </x:c>
      <x:c r="C1757" s="14" t="d">
        <x:v>2026-01-01T00:00:00.000Z</x:v>
      </x:c>
      <x:c r="D1757" s="34" t="str">
        <x:v>0001</x:v>
      </x:c>
      <x:c r="E1757" s="7" t="str">
        <x:v>North</x:v>
      </x:c>
      <x:c r="F1757" s="7" t="n">
        <x:v>5</x:v>
      </x:c>
      <x:c r="G1757" s="7" t="n">
        <x:v>160</x:v>
      </x:c>
      <x:c r="H1757" s="9" t="n">
        <x:v>0</x:v>
      </x:c>
      <x:c r="I1757" s="7" t="n">
        <x:v>800</x:v>
      </x:c>
    </x:row>
    <x:row r="1758" ht="23" customHeight="1">
      <x:c r="A1758" s="7" t="str">
        <x:v>INV01753</x:v>
      </x:c>
      <x:c r="B1758" s="15" t="d">
        <x:v>2026-01-26T00:00:00.000Z</x:v>
      </x:c>
      <x:c r="C1758" s="14" t="d">
        <x:v>2026-01-01T00:00:00.000Z</x:v>
      </x:c>
      <x:c r="D1758" s="34" t="str">
        <x:v>0002</x:v>
      </x:c>
      <x:c r="E1758" s="7" t="str">
        <x:v>North</x:v>
      </x:c>
      <x:c r="F1758" s="7" t="n">
        <x:v>6</x:v>
      </x:c>
      <x:c r="G1758" s="7" t="n">
        <x:v>180</x:v>
      </x:c>
      <x:c r="H1758" s="9" t="n">
        <x:v>0.02</x:v>
      </x:c>
      <x:c r="I1758" s="7" t="n">
        <x:v>1058.4</x:v>
      </x:c>
    </x:row>
    <x:row r="1759" ht="23" customHeight="1">
      <x:c r="A1759" s="7" t="str">
        <x:v>INV01754</x:v>
      </x:c>
      <x:c r="B1759" s="15" t="d">
        <x:v>2026-01-27T00:00:00.000Z</x:v>
      </x:c>
      <x:c r="C1759" s="14" t="d">
        <x:v>2026-01-01T00:00:00.000Z</x:v>
      </x:c>
      <x:c r="D1759" s="34" t="str">
        <x:v>0003</x:v>
      </x:c>
      <x:c r="E1759" s="7" t="str">
        <x:v>North</x:v>
      </x:c>
      <x:c r="F1759" s="7" t="n">
        <x:v>1</x:v>
      </x:c>
      <x:c r="G1759" s="7" t="n">
        <x:v>200</x:v>
      </x:c>
      <x:c r="H1759" s="9" t="n">
        <x:v>0.05</x:v>
      </x:c>
      <x:c r="I1759" s="7" t="n">
        <x:v>190</x:v>
      </x:c>
    </x:row>
    <x:row r="1760" ht="23" customHeight="1">
      <x:c r="A1760" s="7" t="str">
        <x:v>INV01755</x:v>
      </x:c>
      <x:c r="B1760" s="15" t="d">
        <x:v>2026-01-01T00:00:00.000Z</x:v>
      </x:c>
      <x:c r="C1760" s="14" t="d">
        <x:v>2026-01-01T00:00:00.000Z</x:v>
      </x:c>
      <x:c r="D1760" s="34" t="str">
        <x:v>0004</x:v>
      </x:c>
      <x:c r="E1760" s="7" t="str">
        <x:v>North</x:v>
      </x:c>
      <x:c r="F1760" s="7" t="n">
        <x:v>6</x:v>
      </x:c>
      <x:c r="G1760" s="7" t="n">
        <x:v>220</x:v>
      </x:c>
      <x:c r="H1760" s="9" t="n">
        <x:v>0</x:v>
      </x:c>
      <x:c r="I1760" s="7" t="n">
        <x:v>1320</x:v>
      </x:c>
    </x:row>
    <x:row r="1761" ht="23" customHeight="1">
      <x:c r="A1761" s="7" t="str">
        <x:v>INV01756</x:v>
      </x:c>
      <x:c r="B1761" s="15" t="d">
        <x:v>2026-01-02T00:00:00.000Z</x:v>
      </x:c>
      <x:c r="C1761" s="14" t="d">
        <x:v>2026-01-01T00:00:00.000Z</x:v>
      </x:c>
      <x:c r="D1761" s="34" t="str">
        <x:v>0005</x:v>
      </x:c>
      <x:c r="E1761" s="7" t="str">
        <x:v>North</x:v>
      </x:c>
      <x:c r="F1761" s="7" t="n">
        <x:v>3</x:v>
      </x:c>
      <x:c r="G1761" s="7" t="n">
        <x:v>240</x:v>
      </x:c>
      <x:c r="H1761" s="9" t="n">
        <x:v>0.02</x:v>
      </x:c>
      <x:c r="I1761" s="7" t="n">
        <x:v>705.6</x:v>
      </x:c>
    </x:row>
    <x:row r="1762" ht="23" customHeight="1">
      <x:c r="A1762" s="7" t="str">
        <x:v>INV01757</x:v>
      </x:c>
      <x:c r="B1762" s="15" t="d">
        <x:v>2026-01-03T00:00:00.000Z</x:v>
      </x:c>
      <x:c r="C1762" s="14" t="d">
        <x:v>2026-01-01T00:00:00.000Z</x:v>
      </x:c>
      <x:c r="D1762" s="34" t="str">
        <x:v>0006</x:v>
      </x:c>
      <x:c r="E1762" s="7" t="str">
        <x:v>North</x:v>
      </x:c>
      <x:c r="F1762" s="7" t="n">
        <x:v>6</x:v>
      </x:c>
      <x:c r="G1762" s="7" t="n">
        <x:v>260</x:v>
      </x:c>
      <x:c r="H1762" s="9" t="n">
        <x:v>0.05</x:v>
      </x:c>
      <x:c r="I1762" s="7" t="n">
        <x:v>1482</x:v>
      </x:c>
    </x:row>
    <x:row r="1763" ht="23" customHeight="1">
      <x:c r="A1763" s="7" t="str">
        <x:v>INV01758</x:v>
      </x:c>
      <x:c r="B1763" s="15" t="d">
        <x:v>2026-01-04T00:00:00.000Z</x:v>
      </x:c>
      <x:c r="C1763" s="14" t="d">
        <x:v>2026-01-01T00:00:00.000Z</x:v>
      </x:c>
      <x:c r="D1763" s="34" t="str">
        <x:v>0007</x:v>
      </x:c>
      <x:c r="E1763" s="7" t="str">
        <x:v>North</x:v>
      </x:c>
      <x:c r="F1763" s="7" t="n">
        <x:v>3</x:v>
      </x:c>
      <x:c r="G1763" s="7" t="n">
        <x:v>280</x:v>
      </x:c>
      <x:c r="H1763" s="9" t="n">
        <x:v>0</x:v>
      </x:c>
      <x:c r="I1763" s="7" t="n">
        <x:v>840</x:v>
      </x:c>
    </x:row>
    <x:row r="1764" ht="23" customHeight="1">
      <x:c r="A1764" s="7" t="str">
        <x:v>INV01759</x:v>
      </x:c>
      <x:c r="B1764" s="15" t="d">
        <x:v>2026-01-05T00:00:00.000Z</x:v>
      </x:c>
      <x:c r="C1764" s="14" t="d">
        <x:v>2026-01-01T00:00:00.000Z</x:v>
      </x:c>
      <x:c r="D1764" s="34" t="str">
        <x:v>0008</x:v>
      </x:c>
      <x:c r="E1764" s="7" t="str">
        <x:v>North</x:v>
      </x:c>
      <x:c r="F1764" s="7" t="n">
        <x:v>6</x:v>
      </x:c>
      <x:c r="G1764" s="7" t="n">
        <x:v>300</x:v>
      </x:c>
      <x:c r="H1764" s="9" t="n">
        <x:v>0.02</x:v>
      </x:c>
      <x:c r="I1764" s="7" t="n">
        <x:v>1764</x:v>
      </x:c>
    </x:row>
    <x:row r="1765" ht="23" customHeight="1">
      <x:c r="A1765" s="7" t="str">
        <x:v>INV01760</x:v>
      </x:c>
      <x:c r="B1765" s="15" t="d">
        <x:v>2026-02-06T00:00:00.000Z</x:v>
      </x:c>
      <x:c r="C1765" s="14" t="d">
        <x:v>2026-02-01T00:00:00.000Z</x:v>
      </x:c>
      <x:c r="D1765" s="34" t="str">
        <x:v>0001</x:v>
      </x:c>
      <x:c r="E1765" s="7" t="str">
        <x:v>Central</x:v>
      </x:c>
      <x:c r="F1765" s="7" t="n">
        <x:v>7</x:v>
      </x:c>
      <x:c r="G1765" s="7" t="n">
        <x:v>160</x:v>
      </x:c>
      <x:c r="H1765" s="9" t="n">
        <x:v>0.05</x:v>
      </x:c>
      <x:c r="I1765" s="7" t="n">
        <x:v>1064</x:v>
      </x:c>
    </x:row>
    <x:row r="1766" ht="23" customHeight="1">
      <x:c r="A1766" s="7" t="str">
        <x:v>INV01761</x:v>
      </x:c>
      <x:c r="B1766" s="15" t="d">
        <x:v>2026-02-07T00:00:00.000Z</x:v>
      </x:c>
      <x:c r="C1766" s="14" t="d">
        <x:v>2026-02-01T00:00:00.000Z</x:v>
      </x:c>
      <x:c r="D1766" s="34" t="str">
        <x:v>0002</x:v>
      </x:c>
      <x:c r="E1766" s="7" t="str">
        <x:v>Central</x:v>
      </x:c>
      <x:c r="F1766" s="7" t="n">
        <x:v>5</x:v>
      </x:c>
      <x:c r="G1766" s="7" t="n">
        <x:v>180</x:v>
      </x:c>
      <x:c r="H1766" s="9" t="n">
        <x:v>0</x:v>
      </x:c>
      <x:c r="I1766" s="7" t="n">
        <x:v>900</x:v>
      </x:c>
    </x:row>
    <x:row r="1767" ht="23" customHeight="1">
      <x:c r="A1767" s="7" t="str">
        <x:v>INV01762</x:v>
      </x:c>
      <x:c r="B1767" s="15" t="d">
        <x:v>2026-02-08T00:00:00.000Z</x:v>
      </x:c>
      <x:c r="C1767" s="14" t="d">
        <x:v>2026-02-01T00:00:00.000Z</x:v>
      </x:c>
      <x:c r="D1767" s="34" t="str">
        <x:v>0003</x:v>
      </x:c>
      <x:c r="E1767" s="7" t="str">
        <x:v>Central</x:v>
      </x:c>
      <x:c r="F1767" s="7" t="n">
        <x:v>2</x:v>
      </x:c>
      <x:c r="G1767" s="7" t="n">
        <x:v>200</x:v>
      </x:c>
      <x:c r="H1767" s="9" t="n">
        <x:v>0.02</x:v>
      </x:c>
      <x:c r="I1767" s="7" t="n">
        <x:v>392</x:v>
      </x:c>
    </x:row>
    <x:row r="1768" ht="23" customHeight="1">
      <x:c r="A1768" s="7" t="str">
        <x:v>INV01763</x:v>
      </x:c>
      <x:c r="B1768" s="15" t="d">
        <x:v>2026-02-09T00:00:00.000Z</x:v>
      </x:c>
      <x:c r="C1768" s="14" t="d">
        <x:v>2026-02-01T00:00:00.000Z</x:v>
      </x:c>
      <x:c r="D1768" s="34" t="str">
        <x:v>0004</x:v>
      </x:c>
      <x:c r="E1768" s="7" t="str">
        <x:v>Central</x:v>
      </x:c>
      <x:c r="F1768" s="7" t="n">
        <x:v>-7</x:v>
      </x:c>
      <x:c r="G1768" s="7" t="n">
        <x:v>220</x:v>
      </x:c>
      <x:c r="H1768" s="9" t="n">
        <x:v>0.05</x:v>
      </x:c>
      <x:c r="I1768" s="7" t="n">
        <x:v>-1463</x:v>
      </x:c>
    </x:row>
    <x:row r="1769" ht="23" customHeight="1">
      <x:c r="A1769" s="7" t="str">
        <x:v>INV01764</x:v>
      </x:c>
      <x:c r="B1769" s="15" t="d">
        <x:v>2026-02-10T00:00:00.000Z</x:v>
      </x:c>
      <x:c r="C1769" s="14" t="d">
        <x:v>2026-02-01T00:00:00.000Z</x:v>
      </x:c>
      <x:c r="D1769" s="34" t="str">
        <x:v>0005</x:v>
      </x:c>
      <x:c r="E1769" s="7" t="str">
        <x:v>Central</x:v>
      </x:c>
      <x:c r="F1769" s="7" t="n">
        <x:v>6</x:v>
      </x:c>
      <x:c r="G1769" s="7" t="n">
        <x:v>240</x:v>
      </x:c>
      <x:c r="H1769" s="9" t="n">
        <x:v>0</x:v>
      </x:c>
      <x:c r="I1769" s="7" t="n">
        <x:v>1440</x:v>
      </x:c>
    </x:row>
    <x:row r="1770" ht="23" customHeight="1">
      <x:c r="A1770" s="7" t="str">
        <x:v>INV01765</x:v>
      </x:c>
      <x:c r="B1770" s="15" t="d">
        <x:v>2026-02-11T00:00:00.000Z</x:v>
      </x:c>
      <x:c r="C1770" s="14" t="d">
        <x:v>2026-02-01T00:00:00.000Z</x:v>
      </x:c>
      <x:c r="D1770" s="34" t="str">
        <x:v>0006</x:v>
      </x:c>
      <x:c r="E1770" s="7" t="str">
        <x:v>Central</x:v>
      </x:c>
      <x:c r="F1770" s="7" t="n">
        <x:v>5</x:v>
      </x:c>
      <x:c r="G1770" s="7" t="n">
        <x:v>260</x:v>
      </x:c>
      <x:c r="H1770" s="9" t="n">
        <x:v>0.02</x:v>
      </x:c>
      <x:c r="I1770" s="7" t="n">
        <x:v>1274</x:v>
      </x:c>
    </x:row>
    <x:row r="1771" ht="23" customHeight="1">
      <x:c r="A1771" s="7" t="str">
        <x:v>INV01766</x:v>
      </x:c>
      <x:c r="B1771" s="15" t="d">
        <x:v>2026-02-12T00:00:00.000Z</x:v>
      </x:c>
      <x:c r="C1771" s="14" t="d">
        <x:v>2026-02-01T00:00:00.000Z</x:v>
      </x:c>
      <x:c r="D1771" s="34" t="str">
        <x:v>0007</x:v>
      </x:c>
      <x:c r="E1771" s="7" t="str">
        <x:v>Central</x:v>
      </x:c>
      <x:c r="F1771" s="7" t="n">
        <x:v>4</x:v>
      </x:c>
      <x:c r="G1771" s="7" t="n">
        <x:v>280</x:v>
      </x:c>
      <x:c r="H1771" s="9" t="n">
        <x:v>0.05</x:v>
      </x:c>
      <x:c r="I1771" s="7" t="n">
        <x:v>1064</x:v>
      </x:c>
    </x:row>
    <x:row r="1772" ht="23" customHeight="1">
      <x:c r="A1772" s="7" t="str">
        <x:v>INV01767</x:v>
      </x:c>
      <x:c r="B1772" s="15" t="d">
        <x:v>2026-02-13T00:00:00.000Z</x:v>
      </x:c>
      <x:c r="C1772" s="14" t="d">
        <x:v>2026-02-01T00:00:00.000Z</x:v>
      </x:c>
      <x:c r="D1772" s="34" t="str">
        <x:v>0008</x:v>
      </x:c>
      <x:c r="E1772" s="7" t="str">
        <x:v>Central</x:v>
      </x:c>
      <x:c r="F1772" s="7" t="n">
        <x:v>1</x:v>
      </x:c>
      <x:c r="G1772" s="7" t="n">
        <x:v>300</x:v>
      </x:c>
      <x:c r="H1772" s="9" t="n">
        <x:v>0</x:v>
      </x:c>
      <x:c r="I1772" s="7" t="n">
        <x:v>300</x:v>
      </x:c>
    </x:row>
    <x:row r="1773" ht="23" customHeight="1">
      <x:c r="A1773" s="7" t="str">
        <x:v>INV01768</x:v>
      </x:c>
      <x:c r="B1773" s="15" t="d">
        <x:v>2026-02-14T00:00:00.000Z</x:v>
      </x:c>
      <x:c r="C1773" s="14" t="d">
        <x:v>2026-02-01T00:00:00.000Z</x:v>
      </x:c>
      <x:c r="D1773" s="34" t="str">
        <x:v>0001</x:v>
      </x:c>
      <x:c r="E1773" s="7" t="str">
        <x:v>East</x:v>
      </x:c>
      <x:c r="F1773" s="7" t="n">
        <x:v>4</x:v>
      </x:c>
      <x:c r="G1773" s="7" t="n">
        <x:v>160</x:v>
      </x:c>
      <x:c r="H1773" s="9" t="n">
        <x:v>0.02</x:v>
      </x:c>
      <x:c r="I1773" s="7" t="n">
        <x:v>627.2</x:v>
      </x:c>
    </x:row>
    <x:row r="1774" ht="23" customHeight="1">
      <x:c r="A1774" s="7" t="str">
        <x:v>INV01769</x:v>
      </x:c>
      <x:c r="B1774" s="15" t="d">
        <x:v>2026-02-15T00:00:00.000Z</x:v>
      </x:c>
      <x:c r="C1774" s="14" t="d">
        <x:v>2026-02-01T00:00:00.000Z</x:v>
      </x:c>
      <x:c r="D1774" s="34" t="str">
        <x:v>0002</x:v>
      </x:c>
      <x:c r="E1774" s="7" t="str">
        <x:v>East</x:v>
      </x:c>
      <x:c r="F1774" s="7" t="n">
        <x:v>7</x:v>
      </x:c>
      <x:c r="G1774" s="7" t="n">
        <x:v>180</x:v>
      </x:c>
      <x:c r="H1774" s="9" t="n">
        <x:v>0.05</x:v>
      </x:c>
      <x:c r="I1774" s="7" t="n">
        <x:v>1197</x:v>
      </x:c>
    </x:row>
    <x:row r="1775" ht="23" customHeight="1">
      <x:c r="A1775" s="7" t="str">
        <x:v>INV01770</x:v>
      </x:c>
      <x:c r="B1775" s="15" t="d">
        <x:v>2026-02-16T00:00:00.000Z</x:v>
      </x:c>
      <x:c r="C1775" s="14" t="d">
        <x:v>2026-02-01T00:00:00.000Z</x:v>
      </x:c>
      <x:c r="D1775" s="34" t="str">
        <x:v>0003</x:v>
      </x:c>
      <x:c r="E1775" s="7" t="str">
        <x:v>East</x:v>
      </x:c>
      <x:c r="F1775" s="7" t="n">
        <x:v>2</x:v>
      </x:c>
      <x:c r="G1775" s="7" t="n">
        <x:v>200</x:v>
      </x:c>
      <x:c r="H1775" s="9" t="n">
        <x:v>0</x:v>
      </x:c>
      <x:c r="I1775" s="7" t="n">
        <x:v>400</x:v>
      </x:c>
    </x:row>
    <x:row r="1776" ht="23" customHeight="1">
      <x:c r="A1776" s="7" t="str">
        <x:v>INV01771</x:v>
      </x:c>
      <x:c r="B1776" s="15" t="d">
        <x:v>2026-02-17T00:00:00.000Z</x:v>
      </x:c>
      <x:c r="C1776" s="14" t="d">
        <x:v>2026-02-01T00:00:00.000Z</x:v>
      </x:c>
      <x:c r="D1776" s="34" t="str">
        <x:v>0004</x:v>
      </x:c>
      <x:c r="E1776" s="7" t="str">
        <x:v>East</x:v>
      </x:c>
      <x:c r="F1776" s="7" t="n">
        <x:v>2</x:v>
      </x:c>
      <x:c r="G1776" s="7" t="n">
        <x:v>220</x:v>
      </x:c>
      <x:c r="H1776" s="9" t="n">
        <x:v>0.02</x:v>
      </x:c>
      <x:c r="I1776" s="7" t="n">
        <x:v>431.2</x:v>
      </x:c>
    </x:row>
    <x:row r="1777" ht="23" customHeight="1">
      <x:c r="A1777" s="7" t="str">
        <x:v>INV01772</x:v>
      </x:c>
      <x:c r="B1777" s="15" t="d">
        <x:v>2026-02-18T00:00:00.000Z</x:v>
      </x:c>
      <x:c r="C1777" s="14" t="d">
        <x:v>2026-02-01T00:00:00.000Z</x:v>
      </x:c>
      <x:c r="D1777" s="34" t="str">
        <x:v>0005</x:v>
      </x:c>
      <x:c r="E1777" s="7" t="str">
        <x:v>East</x:v>
      </x:c>
      <x:c r="F1777" s="7" t="n">
        <x:v>6</x:v>
      </x:c>
      <x:c r="G1777" s="7" t="n">
        <x:v>240</x:v>
      </x:c>
      <x:c r="H1777" s="9" t="n">
        <x:v>0.05</x:v>
      </x:c>
      <x:c r="I1777" s="7" t="n">
        <x:v>1368</x:v>
      </x:c>
    </x:row>
    <x:row r="1778" ht="23" customHeight="1">
      <x:c r="A1778" s="7" t="str">
        <x:v>INV01773</x:v>
      </x:c>
      <x:c r="B1778" s="15" t="d">
        <x:v>2026-02-19T00:00:00.000Z</x:v>
      </x:c>
      <x:c r="C1778" s="14" t="d">
        <x:v>2026-02-01T00:00:00.000Z</x:v>
      </x:c>
      <x:c r="D1778" s="34" t="str">
        <x:v>0006</x:v>
      </x:c>
      <x:c r="E1778" s="7" t="str">
        <x:v>East</x:v>
      </x:c>
      <x:c r="F1778" s="7" t="n">
        <x:v>7</x:v>
      </x:c>
      <x:c r="G1778" s="7" t="n">
        <x:v>260</x:v>
      </x:c>
      <x:c r="H1778" s="9" t="n">
        <x:v>0</x:v>
      </x:c>
      <x:c r="I1778" s="7" t="n">
        <x:v>1820</x:v>
      </x:c>
    </x:row>
    <x:row r="1779" ht="23" customHeight="1">
      <x:c r="A1779" s="7" t="str">
        <x:v>INV01774</x:v>
      </x:c>
      <x:c r="B1779" s="15" t="d">
        <x:v>2026-02-20T00:00:00.000Z</x:v>
      </x:c>
      <x:c r="C1779" s="14" t="d">
        <x:v>2026-02-01T00:00:00.000Z</x:v>
      </x:c>
      <x:c r="D1779" s="34" t="str">
        <x:v>0007</x:v>
      </x:c>
      <x:c r="E1779" s="7" t="str">
        <x:v>East</x:v>
      </x:c>
      <x:c r="F1779" s="7" t="n">
        <x:v>3</x:v>
      </x:c>
      <x:c r="G1779" s="7" t="n">
        <x:v>280</x:v>
      </x:c>
      <x:c r="H1779" s="9" t="n">
        <x:v>0.02</x:v>
      </x:c>
      <x:c r="I1779" s="7" t="n">
        <x:v>823.2</x:v>
      </x:c>
    </x:row>
    <x:row r="1780" ht="23" customHeight="1">
      <x:c r="A1780" s="7" t="str">
        <x:v>INV01775</x:v>
      </x:c>
      <x:c r="B1780" s="15" t="d">
        <x:v>2026-02-21T00:00:00.000Z</x:v>
      </x:c>
      <x:c r="C1780" s="14" t="d">
        <x:v>2026-02-01T00:00:00.000Z</x:v>
      </x:c>
      <x:c r="D1780" s="34" t="str">
        <x:v>0008</x:v>
      </x:c>
      <x:c r="E1780" s="7" t="str">
        <x:v>East</x:v>
      </x:c>
      <x:c r="F1780" s="7" t="n">
        <x:v>3</x:v>
      </x:c>
      <x:c r="G1780" s="7" t="n">
        <x:v>300</x:v>
      </x:c>
      <x:c r="H1780" s="9" t="n">
        <x:v>0.05</x:v>
      </x:c>
      <x:c r="I1780" s="7" t="n">
        <x:v>855</x:v>
      </x:c>
    </x:row>
    <x:row r="1781" ht="23" customHeight="1">
      <x:c r="A1781" s="7" t="str">
        <x:v>INV01776</x:v>
      </x:c>
      <x:c r="B1781" s="15" t="d">
        <x:v>2026-02-22T00:00:00.000Z</x:v>
      </x:c>
      <x:c r="C1781" s="14" t="d">
        <x:v>2026-02-01T00:00:00.000Z</x:v>
      </x:c>
      <x:c r="D1781" s="34" t="str">
        <x:v>0001</x:v>
      </x:c>
      <x:c r="E1781" s="7" t="str">
        <x:v>West</x:v>
      </x:c>
      <x:c r="F1781" s="7" t="n">
        <x:v>4</x:v>
      </x:c>
      <x:c r="G1781" s="7" t="n">
        <x:v>160</x:v>
      </x:c>
      <x:c r="H1781" s="9" t="n">
        <x:v>0</x:v>
      </x:c>
      <x:c r="I1781" s="7" t="n">
        <x:v>640</x:v>
      </x:c>
    </x:row>
    <x:row r="1782" ht="23" customHeight="1">
      <x:c r="A1782" s="7" t="str">
        <x:v>INV01777</x:v>
      </x:c>
      <x:c r="B1782" s="15" t="d">
        <x:v>2026-02-23T00:00:00.000Z</x:v>
      </x:c>
      <x:c r="C1782" s="14" t="d">
        <x:v>2026-02-01T00:00:00.000Z</x:v>
      </x:c>
      <x:c r="D1782" s="34" t="str">
        <x:v>0002</x:v>
      </x:c>
      <x:c r="E1782" s="7" t="str">
        <x:v>West</x:v>
      </x:c>
      <x:c r="F1782" s="7" t="n">
        <x:v>7</x:v>
      </x:c>
      <x:c r="G1782" s="7" t="n">
        <x:v>180</x:v>
      </x:c>
      <x:c r="H1782" s="9" t="n">
        <x:v>0.02</x:v>
      </x:c>
      <x:c r="I1782" s="7" t="n">
        <x:v>1234.8</x:v>
      </x:c>
    </x:row>
    <x:row r="1783" ht="23" customHeight="1">
      <x:c r="A1783" s="7" t="str">
        <x:v>INV01778</x:v>
      </x:c>
      <x:c r="B1783" s="15" t="d">
        <x:v>2026-02-24T00:00:00.000Z</x:v>
      </x:c>
      <x:c r="C1783" s="14" t="d">
        <x:v>2026-02-01T00:00:00.000Z</x:v>
      </x:c>
      <x:c r="D1783" s="34" t="str">
        <x:v>0003</x:v>
      </x:c>
      <x:c r="E1783" s="7" t="str">
        <x:v>West</x:v>
      </x:c>
      <x:c r="F1783" s="7" t="n">
        <x:v>4</x:v>
      </x:c>
      <x:c r="G1783" s="7" t="n">
        <x:v>200</x:v>
      </x:c>
      <x:c r="H1783" s="9" t="n">
        <x:v>0.05</x:v>
      </x:c>
      <x:c r="I1783" s="7" t="n">
        <x:v>760</x:v>
      </x:c>
    </x:row>
    <x:row r="1784" ht="23" customHeight="1">
      <x:c r="A1784" s="7" t="str">
        <x:v>INV01779</x:v>
      </x:c>
      <x:c r="B1784" s="15" t="d">
        <x:v>2026-02-25T00:00:00.000Z</x:v>
      </x:c>
      <x:c r="C1784" s="14" t="d">
        <x:v>2026-02-01T00:00:00.000Z</x:v>
      </x:c>
      <x:c r="D1784" s="34" t="str">
        <x:v>0004</x:v>
      </x:c>
      <x:c r="E1784" s="7" t="str">
        <x:v>West</x:v>
      </x:c>
      <x:c r="F1784" s="7" t="n">
        <x:v>3</x:v>
      </x:c>
      <x:c r="G1784" s="7" t="n">
        <x:v>220</x:v>
      </x:c>
      <x:c r="H1784" s="9" t="n">
        <x:v>0</x:v>
      </x:c>
      <x:c r="I1784" s="7" t="n">
        <x:v>660</x:v>
      </x:c>
    </x:row>
    <x:row r="1785" ht="23" customHeight="1">
      <x:c r="A1785" s="7" t="str">
        <x:v>INV01780</x:v>
      </x:c>
      <x:c r="B1785" s="15" t="d">
        <x:v>2026-02-26T00:00:00.000Z</x:v>
      </x:c>
      <x:c r="C1785" s="14" t="d">
        <x:v>2026-02-01T00:00:00.000Z</x:v>
      </x:c>
      <x:c r="D1785" s="34" t="str">
        <x:v>0005</x:v>
      </x:c>
      <x:c r="E1785" s="7" t="str">
        <x:v>West</x:v>
      </x:c>
      <x:c r="F1785" s="7" t="n">
        <x:v>7</x:v>
      </x:c>
      <x:c r="G1785" s="7" t="n">
        <x:v>240</x:v>
      </x:c>
      <x:c r="H1785" s="9" t="n">
        <x:v>0.02</x:v>
      </x:c>
      <x:c r="I1785" s="7" t="n">
        <x:v>1646.4</x:v>
      </x:c>
    </x:row>
    <x:row r="1786" ht="23" customHeight="1">
      <x:c r="A1786" s="7" t="str">
        <x:v>INV01781</x:v>
      </x:c>
      <x:c r="B1786" s="15" t="d">
        <x:v>2026-02-27T00:00:00.000Z</x:v>
      </x:c>
      <x:c r="C1786" s="14" t="d">
        <x:v>2026-02-01T00:00:00.000Z</x:v>
      </x:c>
      <x:c r="D1786" s="34" t="str">
        <x:v>0006</x:v>
      </x:c>
      <x:c r="E1786" s="7" t="str">
        <x:v>West</x:v>
      </x:c>
      <x:c r="F1786" s="7" t="n">
        <x:v>4</x:v>
      </x:c>
      <x:c r="G1786" s="7" t="n">
        <x:v>260</x:v>
      </x:c>
      <x:c r="H1786" s="9" t="n">
        <x:v>0.05</x:v>
      </x:c>
      <x:c r="I1786" s="7" t="n">
        <x:v>988</x:v>
      </x:c>
    </x:row>
    <x:row r="1787" ht="23" customHeight="1">
      <x:c r="A1787" s="7" t="str">
        <x:v>INV01782</x:v>
      </x:c>
      <x:c r="B1787" s="15" t="d">
        <x:v>2026-02-01T00:00:00.000Z</x:v>
      </x:c>
      <x:c r="C1787" s="14" t="d">
        <x:v>2026-02-01T00:00:00.000Z</x:v>
      </x:c>
      <x:c r="D1787" s="34" t="str">
        <x:v>0007</x:v>
      </x:c>
      <x:c r="E1787" s="7" t="str">
        <x:v>West</x:v>
      </x:c>
      <x:c r="F1787" s="7" t="n">
        <x:v>4</x:v>
      </x:c>
      <x:c r="G1787" s="7" t="n">
        <x:v>280</x:v>
      </x:c>
      <x:c r="H1787" s="9" t="n">
        <x:v>0</x:v>
      </x:c>
      <x:c r="I1787" s="7" t="n">
        <x:v>1120</x:v>
      </x:c>
    </x:row>
    <x:row r="1788" ht="23" customHeight="1">
      <x:c r="A1788" s="7" t="str">
        <x:v>INV01783</x:v>
      </x:c>
      <x:c r="B1788" s="15" t="d">
        <x:v>2026-02-02T00:00:00.000Z</x:v>
      </x:c>
      <x:c r="C1788" s="14" t="d">
        <x:v>2026-02-01T00:00:00.000Z</x:v>
      </x:c>
      <x:c r="D1788" s="34" t="str">
        <x:v>0008</x:v>
      </x:c>
      <x:c r="E1788" s="7" t="str">
        <x:v>West</x:v>
      </x:c>
      <x:c r="F1788" s="7" t="n">
        <x:v>6</x:v>
      </x:c>
      <x:c r="G1788" s="7" t="n">
        <x:v>300</x:v>
      </x:c>
      <x:c r="H1788" s="9" t="n">
        <x:v>0.02</x:v>
      </x:c>
      <x:c r="I1788" s="7" t="n">
        <x:v>1764</x:v>
      </x:c>
    </x:row>
    <x:row r="1789" ht="23" customHeight="1">
      <x:c r="A1789" s="7" t="str">
        <x:v>INV01784</x:v>
      </x:c>
      <x:c r="B1789" s="15" t="d">
        <x:v>2026-02-03T00:00:00.000Z</x:v>
      </x:c>
      <x:c r="C1789" s="14" t="d">
        <x:v>2026-02-01T00:00:00.000Z</x:v>
      </x:c>
      <x:c r="D1789" s="34" t="str">
        <x:v>0001</x:v>
      </x:c>
      <x:c r="E1789" s="7" t="str">
        <x:v>North</x:v>
      </x:c>
      <x:c r="F1789" s="7" t="n">
        <x:v>5</x:v>
      </x:c>
      <x:c r="G1789" s="7" t="n">
        <x:v>160</x:v>
      </x:c>
      <x:c r="H1789" s="9" t="n">
        <x:v>0.05</x:v>
      </x:c>
      <x:c r="I1789" s="7" t="n">
        <x:v>760</x:v>
      </x:c>
    </x:row>
    <x:row r="1790" ht="23" customHeight="1">
      <x:c r="A1790" s="7" t="str">
        <x:v>INV01785</x:v>
      </x:c>
      <x:c r="B1790" s="15" t="d">
        <x:v>2026-02-04T00:00:00.000Z</x:v>
      </x:c>
      <x:c r="C1790" s="14" t="d">
        <x:v>2026-02-01T00:00:00.000Z</x:v>
      </x:c>
      <x:c r="D1790" s="34" t="str">
        <x:v>0002</x:v>
      </x:c>
      <x:c r="E1790" s="7" t="str">
        <x:v>North</x:v>
      </x:c>
      <x:c r="F1790" s="7" t="n">
        <x:v>1</x:v>
      </x:c>
      <x:c r="G1790" s="7" t="n">
        <x:v>180</x:v>
      </x:c>
      <x:c r="H1790" s="9" t="n">
        <x:v>0</x:v>
      </x:c>
      <x:c r="I1790" s="7" t="n">
        <x:v>180</x:v>
      </x:c>
    </x:row>
    <x:row r="1791" ht="23" customHeight="1">
      <x:c r="A1791" s="7" t="str">
        <x:v>INV01786</x:v>
      </x:c>
      <x:c r="B1791" s="15" t="d">
        <x:v>2026-02-05T00:00:00.000Z</x:v>
      </x:c>
      <x:c r="C1791" s="14" t="d">
        <x:v>2026-02-01T00:00:00.000Z</x:v>
      </x:c>
      <x:c r="D1791" s="34" t="str">
        <x:v>0003</x:v>
      </x:c>
      <x:c r="E1791" s="7" t="str">
        <x:v>North</x:v>
      </x:c>
      <x:c r="F1791" s="7" t="n">
        <x:v>4</x:v>
      </x:c>
      <x:c r="G1791" s="7" t="n">
        <x:v>200</x:v>
      </x:c>
      <x:c r="H1791" s="9" t="n">
        <x:v>0.02</x:v>
      </x:c>
      <x:c r="I1791" s="7" t="n">
        <x:v>784</x:v>
      </x:c>
    </x:row>
    <x:row r="1792" ht="23" customHeight="1">
      <x:c r="A1792" s="7" t="str">
        <x:v>INV01787</x:v>
      </x:c>
      <x:c r="B1792" s="15" t="d">
        <x:v>2026-02-06T00:00:00.000Z</x:v>
      </x:c>
      <x:c r="C1792" s="14" t="d">
        <x:v>2026-02-01T00:00:00.000Z</x:v>
      </x:c>
      <x:c r="D1792" s="34" t="str">
        <x:v>0004</x:v>
      </x:c>
      <x:c r="E1792" s="7" t="str">
        <x:v>North</x:v>
      </x:c>
      <x:c r="F1792" s="7" t="n">
        <x:v>4</x:v>
      </x:c>
      <x:c r="G1792" s="7" t="n">
        <x:v>220</x:v>
      </x:c>
      <x:c r="H1792" s="9" t="n">
        <x:v>0.05</x:v>
      </x:c>
      <x:c r="I1792" s="7" t="n">
        <x:v>836</x:v>
      </x:c>
    </x:row>
    <x:row r="1793" ht="23" customHeight="1">
      <x:c r="A1793" s="7" t="str">
        <x:v>INV01788</x:v>
      </x:c>
      <x:c r="B1793" s="15" t="d">
        <x:v>2026-02-07T00:00:00.000Z</x:v>
      </x:c>
      <x:c r="C1793" s="14" t="d">
        <x:v>2026-02-01T00:00:00.000Z</x:v>
      </x:c>
      <x:c r="D1793" s="34" t="str">
        <x:v>0005</x:v>
      </x:c>
      <x:c r="E1793" s="7" t="str">
        <x:v>North</x:v>
      </x:c>
      <x:c r="F1793" s="7" t="n">
        <x:v>7</x:v>
      </x:c>
      <x:c r="G1793" s="7" t="n">
        <x:v>240</x:v>
      </x:c>
      <x:c r="H1793" s="9" t="n">
        <x:v>0</x:v>
      </x:c>
      <x:c r="I1793" s="7" t="n">
        <x:v>1680</x:v>
      </x:c>
    </x:row>
    <x:row r="1794" ht="23" customHeight="1">
      <x:c r="A1794" s="7" t="str">
        <x:v>INV01789</x:v>
      </x:c>
      <x:c r="B1794" s="15" t="d">
        <x:v>2026-02-08T00:00:00.000Z</x:v>
      </x:c>
      <x:c r="C1794" s="14" t="d">
        <x:v>2026-02-01T00:00:00.000Z</x:v>
      </x:c>
      <x:c r="D1794" s="34" t="str">
        <x:v>0006</x:v>
      </x:c>
      <x:c r="E1794" s="7" t="str">
        <x:v>North</x:v>
      </x:c>
      <x:c r="F1794" s="7" t="n">
        <x:v>1</x:v>
      </x:c>
      <x:c r="G1794" s="7" t="n">
        <x:v>260</x:v>
      </x:c>
      <x:c r="H1794" s="9" t="n">
        <x:v>0.02</x:v>
      </x:c>
      <x:c r="I1794" s="7" t="n">
        <x:v>254.8</x:v>
      </x:c>
    </x:row>
    <x:row r="1795" ht="23" customHeight="1">
      <x:c r="A1795" s="7" t="str">
        <x:v>INV01790</x:v>
      </x:c>
      <x:c r="B1795" s="15" t="d">
        <x:v>2026-02-09T00:00:00.000Z</x:v>
      </x:c>
      <x:c r="C1795" s="14" t="d">
        <x:v>2026-02-01T00:00:00.000Z</x:v>
      </x:c>
      <x:c r="D1795" s="34" t="str">
        <x:v>0007</x:v>
      </x:c>
      <x:c r="E1795" s="7" t="str">
        <x:v>North</x:v>
      </x:c>
      <x:c r="F1795" s="7" t="n">
        <x:v>2</x:v>
      </x:c>
      <x:c r="G1795" s="7" t="n">
        <x:v>280</x:v>
      </x:c>
      <x:c r="H1795" s="9" t="n">
        <x:v>0.05</x:v>
      </x:c>
      <x:c r="I1795" s="7" t="n">
        <x:v>532</x:v>
      </x:c>
    </x:row>
    <x:row r="1796" ht="23" customHeight="1">
      <x:c r="A1796" s="7" t="str">
        <x:v>INV01791</x:v>
      </x:c>
      <x:c r="B1796" s="15" t="d">
        <x:v>2026-02-10T00:00:00.000Z</x:v>
      </x:c>
      <x:c r="C1796" s="14" t="d">
        <x:v>2026-02-01T00:00:00.000Z</x:v>
      </x:c>
      <x:c r="D1796" s="34" t="str">
        <x:v>0008</x:v>
      </x:c>
      <x:c r="E1796" s="7" t="str">
        <x:v>North</x:v>
      </x:c>
      <x:c r="F1796" s="7" t="n">
        <x:v>4</x:v>
      </x:c>
      <x:c r="G1796" s="7" t="n">
        <x:v>300</x:v>
      </x:c>
      <x:c r="H1796" s="9" t="n">
        <x:v>0</x:v>
      </x:c>
      <x:c r="I1796" s="7" t="n">
        <x:v>1200</x:v>
      </x:c>
    </x:row>
    <x:row r="1797" ht="23" customHeight="1">
      <x:c r="A1797" s="7" t="str">
        <x:v>INV01792</x:v>
      </x:c>
      <x:c r="B1797" s="15" t="d">
        <x:v>2026-03-11T00:00:00.000Z</x:v>
      </x:c>
      <x:c r="C1797" s="14" t="d">
        <x:v>2026-03-01T00:00:00.000Z</x:v>
      </x:c>
      <x:c r="D1797" s="34" t="str">
        <x:v>0001</x:v>
      </x:c>
      <x:c r="E1797" s="7" t="str">
        <x:v>Central</x:v>
      </x:c>
      <x:c r="F1797" s="7" t="n">
        <x:v>1</x:v>
      </x:c>
      <x:c r="G1797" s="7" t="n">
        <x:v>160</x:v>
      </x:c>
      <x:c r="H1797" s="9" t="n">
        <x:v>0.02</x:v>
      </x:c>
      <x:c r="I1797" s="7" t="n">
        <x:v>156.8</x:v>
      </x:c>
    </x:row>
    <x:row r="1798" ht="23" customHeight="1">
      <x:c r="A1798" s="7" t="str">
        <x:v>INV01793</x:v>
      </x:c>
      <x:c r="B1798" s="15" t="d">
        <x:v>2026-03-12T00:00:00.000Z</x:v>
      </x:c>
      <x:c r="C1798" s="14" t="d">
        <x:v>2026-03-01T00:00:00.000Z</x:v>
      </x:c>
      <x:c r="D1798" s="34" t="str">
        <x:v>0002</x:v>
      </x:c>
      <x:c r="E1798" s="7" t="str">
        <x:v>Central</x:v>
      </x:c>
      <x:c r="F1798" s="7" t="n">
        <x:v>3</x:v>
      </x:c>
      <x:c r="G1798" s="7" t="n">
        <x:v>180</x:v>
      </x:c>
      <x:c r="H1798" s="9" t="n">
        <x:v>0.05</x:v>
      </x:c>
      <x:c r="I1798" s="7" t="n">
        <x:v>513</x:v>
      </x:c>
    </x:row>
    <x:row r="1799" ht="23" customHeight="1">
      <x:c r="A1799" s="7" t="str">
        <x:v>INV01794</x:v>
      </x:c>
      <x:c r="B1799" s="15" t="d">
        <x:v>2026-03-13T00:00:00.000Z</x:v>
      </x:c>
      <x:c r="C1799" s="14" t="d">
        <x:v>2026-03-01T00:00:00.000Z</x:v>
      </x:c>
      <x:c r="D1799" s="34" t="str">
        <x:v>0003</x:v>
      </x:c>
      <x:c r="E1799" s="7" t="str">
        <x:v>Central</x:v>
      </x:c>
      <x:c r="F1799" s="7" t="n">
        <x:v>3</x:v>
      </x:c>
      <x:c r="G1799" s="7" t="n">
        <x:v>200</x:v>
      </x:c>
      <x:c r="H1799" s="9" t="n">
        <x:v>0</x:v>
      </x:c>
      <x:c r="I1799" s="7" t="n">
        <x:v>600</x:v>
      </x:c>
    </x:row>
    <x:row r="1800" ht="23" customHeight="1">
      <x:c r="A1800" s="7" t="str">
        <x:v>INV01795</x:v>
      </x:c>
      <x:c r="B1800" s="15" t="d">
        <x:v>2026-03-14T00:00:00.000Z</x:v>
      </x:c>
      <x:c r="C1800" s="14" t="d">
        <x:v>2026-03-01T00:00:00.000Z</x:v>
      </x:c>
      <x:c r="D1800" s="34" t="str">
        <x:v>0004</x:v>
      </x:c>
      <x:c r="E1800" s="7" t="str">
        <x:v>Central</x:v>
      </x:c>
      <x:c r="F1800" s="7" t="n">
        <x:v>6</x:v>
      </x:c>
      <x:c r="G1800" s="7" t="n">
        <x:v>220</x:v>
      </x:c>
      <x:c r="H1800" s="9" t="n">
        <x:v>0.02</x:v>
      </x:c>
      <x:c r="I1800" s="7" t="n">
        <x:v>1293.6</x:v>
      </x:c>
    </x:row>
    <x:row r="1801" ht="23" customHeight="1">
      <x:c r="A1801" s="7" t="str">
        <x:v>INV01796</x:v>
      </x:c>
      <x:c r="B1801" s="15" t="d">
        <x:v>2026-03-15T00:00:00.000Z</x:v>
      </x:c>
      <x:c r="C1801" s="14" t="d">
        <x:v>2026-03-01T00:00:00.000Z</x:v>
      </x:c>
      <x:c r="D1801" s="34" t="str">
        <x:v>0005</x:v>
      </x:c>
      <x:c r="E1801" s="7" t="str">
        <x:v>Central</x:v>
      </x:c>
      <x:c r="F1801" s="7" t="n">
        <x:v>1</x:v>
      </x:c>
      <x:c r="G1801" s="7" t="n">
        <x:v>240</x:v>
      </x:c>
      <x:c r="H1801" s="9" t="n">
        <x:v>0.05</x:v>
      </x:c>
      <x:c r="I1801" s="7" t="n">
        <x:v>228</x:v>
      </x:c>
    </x:row>
    <x:row r="1802" ht="23" customHeight="1">
      <x:c r="A1802" s="7" t="str">
        <x:v>INV01797</x:v>
      </x:c>
      <x:c r="B1802" s="15" t="d">
        <x:v>2026-03-16T00:00:00.000Z</x:v>
      </x:c>
      <x:c r="C1802" s="14" t="d">
        <x:v>2026-03-01T00:00:00.000Z</x:v>
      </x:c>
      <x:c r="D1802" s="34" t="str">
        <x:v>0006</x:v>
      </x:c>
      <x:c r="E1802" s="7" t="str">
        <x:v>Central</x:v>
      </x:c>
      <x:c r="F1802" s="7" t="n">
        <x:v>4</x:v>
      </x:c>
      <x:c r="G1802" s="7" t="n">
        <x:v>260</x:v>
      </x:c>
      <x:c r="H1802" s="9" t="n">
        <x:v>0</x:v>
      </x:c>
      <x:c r="I1802" s="7" t="n">
        <x:v>1040</x:v>
      </x:c>
    </x:row>
    <x:row r="1803" ht="23" customHeight="1">
      <x:c r="A1803" s="7" t="str">
        <x:v>INV01798</x:v>
      </x:c>
      <x:c r="B1803" s="15" t="d">
        <x:v>2026-03-17T00:00:00.000Z</x:v>
      </x:c>
      <x:c r="C1803" s="14" t="d">
        <x:v>2026-03-01T00:00:00.000Z</x:v>
      </x:c>
      <x:c r="D1803" s="34" t="str">
        <x:v>0007</x:v>
      </x:c>
      <x:c r="E1803" s="7" t="str">
        <x:v>Central</x:v>
      </x:c>
      <x:c r="F1803" s="7" t="n">
        <x:v>5</x:v>
      </x:c>
      <x:c r="G1803" s="7" t="n">
        <x:v>280</x:v>
      </x:c>
      <x:c r="H1803" s="9" t="n">
        <x:v>0.02</x:v>
      </x:c>
      <x:c r="I1803" s="7" t="n">
        <x:v>1372</x:v>
      </x:c>
    </x:row>
    <x:row r="1804" ht="23" customHeight="1">
      <x:c r="A1804" s="7" t="str">
        <x:v>INV01799</x:v>
      </x:c>
      <x:c r="B1804" s="15" t="d">
        <x:v>2026-03-18T00:00:00.000Z</x:v>
      </x:c>
      <x:c r="C1804" s="14" t="d">
        <x:v>2026-03-01T00:00:00.000Z</x:v>
      </x:c>
      <x:c r="D1804" s="34" t="str">
        <x:v>0008</x:v>
      </x:c>
      <x:c r="E1804" s="7" t="str">
        <x:v>Central</x:v>
      </x:c>
      <x:c r="F1804" s="7" t="n">
        <x:v>2</x:v>
      </x:c>
      <x:c r="G1804" s="7" t="n">
        <x:v>300</x:v>
      </x:c>
      <x:c r="H1804" s="9" t="n">
        <x:v>0.05</x:v>
      </x:c>
      <x:c r="I1804" s="7" t="n">
        <x:v>570</x:v>
      </x:c>
    </x:row>
    <x:row r="1805" ht="23" customHeight="1">
      <x:c r="A1805" s="7" t="str">
        <x:v>INV01800</x:v>
      </x:c>
      <x:c r="B1805" s="15" t="d">
        <x:v>2026-03-19T00:00:00.000Z</x:v>
      </x:c>
      <x:c r="C1805" s="14" t="d">
        <x:v>2026-03-01T00:00:00.000Z</x:v>
      </x:c>
      <x:c r="D1805" s="34" t="str">
        <x:v>0001</x:v>
      </x:c>
      <x:c r="E1805" s="7" t="str">
        <x:v>East</x:v>
      </x:c>
      <x:c r="F1805" s="7" t="n">
        <x:v>5</x:v>
      </x:c>
      <x:c r="G1805" s="7" t="n">
        <x:v>160</x:v>
      </x:c>
      <x:c r="H1805" s="9" t="n">
        <x:v>0</x:v>
      </x:c>
      <x:c r="I1805" s="7" t="n">
        <x:v>800</x:v>
      </x:c>
    </x:row>
    <x:row r="1806" ht="23" customHeight="1">
      <x:c r="A1806" s="7" t="str">
        <x:v>INV01801</x:v>
      </x:c>
      <x:c r="B1806" s="15" t="d">
        <x:v>2026-03-20T00:00:00.000Z</x:v>
      </x:c>
      <x:c r="C1806" s="14" t="d">
        <x:v>2026-03-01T00:00:00.000Z</x:v>
      </x:c>
      <x:c r="D1806" s="34" t="str">
        <x:v>0002</x:v>
      </x:c>
      <x:c r="E1806" s="7" t="str">
        <x:v>East</x:v>
      </x:c>
      <x:c r="F1806" s="7" t="n">
        <x:v>3</x:v>
      </x:c>
      <x:c r="G1806" s="7" t="n">
        <x:v>180</x:v>
      </x:c>
      <x:c r="H1806" s="9" t="n">
        <x:v>0.02</x:v>
      </x:c>
      <x:c r="I1806" s="7" t="n">
        <x:v>529.2</x:v>
      </x:c>
    </x:row>
    <x:row r="1807" ht="23" customHeight="1">
      <x:c r="A1807" s="7" t="str">
        <x:v>INV01802</x:v>
      </x:c>
      <x:c r="B1807" s="15" t="d">
        <x:v>2026-03-21T00:00:00.000Z</x:v>
      </x:c>
      <x:c r="C1807" s="14" t="d">
        <x:v>2026-03-01T00:00:00.000Z</x:v>
      </x:c>
      <x:c r="D1807" s="34" t="str">
        <x:v>0003</x:v>
      </x:c>
      <x:c r="E1807" s="7" t="str">
        <x:v>East</x:v>
      </x:c>
      <x:c r="F1807" s="7" t="n">
        <x:v>4</x:v>
      </x:c>
      <x:c r="G1807" s="7" t="n">
        <x:v>200</x:v>
      </x:c>
      <x:c r="H1807" s="9" t="n">
        <x:v>0.05</x:v>
      </x:c>
      <x:c r="I1807" s="7" t="n">
        <x:v>760</x:v>
      </x:c>
    </x:row>
    <x:row r="1808" ht="23" customHeight="1">
      <x:c r="A1808" s="7" t="str">
        <x:v>INV01803</x:v>
      </x:c>
      <x:c r="B1808" s="15" t="d">
        <x:v>2026-03-22T00:00:00.000Z</x:v>
      </x:c>
      <x:c r="C1808" s="14" t="d">
        <x:v>2026-03-01T00:00:00.000Z</x:v>
      </x:c>
      <x:c r="D1808" s="34" t="str">
        <x:v>0004</x:v>
      </x:c>
      <x:c r="E1808" s="7" t="str">
        <x:v>East</x:v>
      </x:c>
      <x:c r="F1808" s="7" t="n">
        <x:v>5</x:v>
      </x:c>
      <x:c r="G1808" s="7" t="n">
        <x:v>220</x:v>
      </x:c>
      <x:c r="H1808" s="9" t="n">
        <x:v>0</x:v>
      </x:c>
      <x:c r="I1808" s="7" t="n">
        <x:v>1100</x:v>
      </x:c>
    </x:row>
    <x:row r="1809" ht="23" customHeight="1">
      <x:c r="A1809" s="7" t="str">
        <x:v>INV01804</x:v>
      </x:c>
      <x:c r="B1809" s="15" t="d">
        <x:v>2026-03-23T00:00:00.000Z</x:v>
      </x:c>
      <x:c r="C1809" s="14" t="d">
        <x:v>2026-03-01T00:00:00.000Z</x:v>
      </x:c>
      <x:c r="D1809" s="34" t="str">
        <x:v>0005</x:v>
      </x:c>
      <x:c r="E1809" s="7" t="str">
        <x:v>East</x:v>
      </x:c>
      <x:c r="F1809" s="7" t="n">
        <x:v>-2</x:v>
      </x:c>
      <x:c r="G1809" s="7" t="n">
        <x:v>240</x:v>
      </x:c>
      <x:c r="H1809" s="9" t="n">
        <x:v>0.02</x:v>
      </x:c>
      <x:c r="I1809" s="7" t="n">
        <x:v>-470.4</x:v>
      </x:c>
    </x:row>
    <x:row r="1810" ht="23" customHeight="1">
      <x:c r="A1810" s="7" t="str">
        <x:v>INV01805</x:v>
      </x:c>
      <x:c r="B1810" s="15" t="d">
        <x:v>2026-03-24T00:00:00.000Z</x:v>
      </x:c>
      <x:c r="C1810" s="14" t="d">
        <x:v>2026-03-01T00:00:00.000Z</x:v>
      </x:c>
      <x:c r="D1810" s="34" t="str">
        <x:v>0006</x:v>
      </x:c>
      <x:c r="E1810" s="7" t="str">
        <x:v>East</x:v>
      </x:c>
      <x:c r="F1810" s="7" t="n">
        <x:v>7</x:v>
      </x:c>
      <x:c r="G1810" s="7" t="n">
        <x:v>260</x:v>
      </x:c>
      <x:c r="H1810" s="9" t="n">
        <x:v>0.05</x:v>
      </x:c>
      <x:c r="I1810" s="7" t="n">
        <x:v>1729</x:v>
      </x:c>
    </x:row>
    <x:row r="1811" ht="23" customHeight="1">
      <x:c r="A1811" s="7" t="str">
        <x:v>INV01806</x:v>
      </x:c>
      <x:c r="B1811" s="15" t="d">
        <x:v>2026-03-25T00:00:00.000Z</x:v>
      </x:c>
      <x:c r="C1811" s="14" t="d">
        <x:v>2026-03-01T00:00:00.000Z</x:v>
      </x:c>
      <x:c r="D1811" s="34" t="str">
        <x:v>0007</x:v>
      </x:c>
      <x:c r="E1811" s="7" t="str">
        <x:v>East</x:v>
      </x:c>
      <x:c r="F1811" s="7" t="n">
        <x:v>1</x:v>
      </x:c>
      <x:c r="G1811" s="7" t="n">
        <x:v>280</x:v>
      </x:c>
      <x:c r="H1811" s="9" t="n">
        <x:v>0</x:v>
      </x:c>
      <x:c r="I1811" s="7" t="n">
        <x:v>280</x:v>
      </x:c>
    </x:row>
    <x:row r="1812" ht="23" customHeight="1">
      <x:c r="A1812" s="7" t="str">
        <x:v>INV01807</x:v>
      </x:c>
      <x:c r="B1812" s="15" t="d">
        <x:v>2026-03-26T00:00:00.000Z</x:v>
      </x:c>
      <x:c r="C1812" s="14" t="d">
        <x:v>2026-03-01T00:00:00.000Z</x:v>
      </x:c>
      <x:c r="D1812" s="34" t="str">
        <x:v>0008</x:v>
      </x:c>
      <x:c r="E1812" s="7" t="str">
        <x:v>East</x:v>
      </x:c>
      <x:c r="F1812" s="7" t="n">
        <x:v>2</x:v>
      </x:c>
      <x:c r="G1812" s="7" t="n">
        <x:v>300</x:v>
      </x:c>
      <x:c r="H1812" s="9" t="n">
        <x:v>0.02</x:v>
      </x:c>
      <x:c r="I1812" s="7" t="n">
        <x:v>588</x:v>
      </x:c>
    </x:row>
    <x:row r="1813" ht="23" customHeight="1">
      <x:c r="A1813" s="7" t="str">
        <x:v>INV01808</x:v>
      </x:c>
      <x:c r="B1813" s="15" t="d">
        <x:v>2026-03-27T00:00:00.000Z</x:v>
      </x:c>
      <x:c r="C1813" s="14" t="d">
        <x:v>2026-03-01T00:00:00.000Z</x:v>
      </x:c>
      <x:c r="D1813" s="34" t="str">
        <x:v>0001</x:v>
      </x:c>
      <x:c r="E1813" s="7" t="str">
        <x:v>West</x:v>
      </x:c>
      <x:c r="F1813" s="7" t="n">
        <x:v>4</x:v>
      </x:c>
      <x:c r="G1813" s="7" t="n">
        <x:v>160</x:v>
      </x:c>
      <x:c r="H1813" s="9" t="n">
        <x:v>0.05</x:v>
      </x:c>
      <x:c r="I1813" s="7" t="n">
        <x:v>608</x:v>
      </x:c>
    </x:row>
    <x:row r="1814" ht="23" customHeight="1">
      <x:c r="A1814" s="7" t="str">
        <x:v>INV01809</x:v>
      </x:c>
      <x:c r="B1814" s="15" t="d">
        <x:v>2026-03-01T00:00:00.000Z</x:v>
      </x:c>
      <x:c r="C1814" s="14" t="d">
        <x:v>2026-03-01T00:00:00.000Z</x:v>
      </x:c>
      <x:c r="D1814" s="34" t="str">
        <x:v>0002</x:v>
      </x:c>
      <x:c r="E1814" s="7" t="str">
        <x:v>West</x:v>
      </x:c>
      <x:c r="F1814" s="7" t="n">
        <x:v>5</x:v>
      </x:c>
      <x:c r="G1814" s="7" t="n">
        <x:v>180</x:v>
      </x:c>
      <x:c r="H1814" s="9" t="n">
        <x:v>0</x:v>
      </x:c>
      <x:c r="I1814" s="7" t="n">
        <x:v>900</x:v>
      </x:c>
    </x:row>
    <x:row r="1815" ht="23" customHeight="1">
      <x:c r="A1815" s="7" t="str">
        <x:v>INV01810</x:v>
      </x:c>
      <x:c r="B1815" s="15" t="d">
        <x:v>2026-03-02T00:00:00.000Z</x:v>
      </x:c>
      <x:c r="C1815" s="14" t="d">
        <x:v>2026-03-01T00:00:00.000Z</x:v>
      </x:c>
      <x:c r="D1815" s="34" t="str">
        <x:v>0003</x:v>
      </x:c>
      <x:c r="E1815" s="7" t="str">
        <x:v>West</x:v>
      </x:c>
      <x:c r="F1815" s="7" t="n">
        <x:v>5</x:v>
      </x:c>
      <x:c r="G1815" s="7" t="n">
        <x:v>200</x:v>
      </x:c>
      <x:c r="H1815" s="9" t="n">
        <x:v>0.02</x:v>
      </x:c>
      <x:c r="I1815" s="7" t="n">
        <x:v>980</x:v>
      </x:c>
    </x:row>
    <x:row r="1816" ht="23" customHeight="1">
      <x:c r="A1816" s="7" t="str">
        <x:v>INV01811</x:v>
      </x:c>
      <x:c r="B1816" s="15" t="d">
        <x:v>2026-03-03T00:00:00.000Z</x:v>
      </x:c>
      <x:c r="C1816" s="14" t="d">
        <x:v>2026-03-01T00:00:00.000Z</x:v>
      </x:c>
      <x:c r="D1816" s="34" t="str">
        <x:v>0004</x:v>
      </x:c>
      <x:c r="E1816" s="7" t="str">
        <x:v>West</x:v>
      </x:c>
      <x:c r="F1816" s="7" t="n">
        <x:v>6</x:v>
      </x:c>
      <x:c r="G1816" s="7" t="n">
        <x:v>220</x:v>
      </x:c>
      <x:c r="H1816" s="9" t="n">
        <x:v>0.05</x:v>
      </x:c>
      <x:c r="I1816" s="7" t="n">
        <x:v>1254</x:v>
      </x:c>
    </x:row>
    <x:row r="1817" ht="23" customHeight="1">
      <x:c r="A1817" s="7" t="str">
        <x:v>INV01812</x:v>
      </x:c>
      <x:c r="B1817" s="15" t="d">
        <x:v>2026-03-04T00:00:00.000Z</x:v>
      </x:c>
      <x:c r="C1817" s="14" t="d">
        <x:v>2026-03-01T00:00:00.000Z</x:v>
      </x:c>
      <x:c r="D1817" s="34" t="str">
        <x:v>0005</x:v>
      </x:c>
      <x:c r="E1817" s="7" t="str">
        <x:v>West</x:v>
      </x:c>
      <x:c r="F1817" s="7" t="n">
        <x:v>4</x:v>
      </x:c>
      <x:c r="G1817" s="7" t="n">
        <x:v>240</x:v>
      </x:c>
      <x:c r="H1817" s="9" t="n">
        <x:v>0</x:v>
      </x:c>
      <x:c r="I1817" s="7" t="n">
        <x:v>960</x:v>
      </x:c>
    </x:row>
    <x:row r="1818" ht="23" customHeight="1">
      <x:c r="A1818" s="7" t="str">
        <x:v>INV01813</x:v>
      </x:c>
      <x:c r="B1818" s="15" t="d">
        <x:v>2026-03-05T00:00:00.000Z</x:v>
      </x:c>
      <x:c r="C1818" s="14" t="d">
        <x:v>2026-03-01T00:00:00.000Z</x:v>
      </x:c>
      <x:c r="D1818" s="34" t="str">
        <x:v>0006</x:v>
      </x:c>
      <x:c r="E1818" s="7" t="str">
        <x:v>West</x:v>
      </x:c>
      <x:c r="F1818" s="7" t="n">
        <x:v>2</x:v>
      </x:c>
      <x:c r="G1818" s="7" t="n">
        <x:v>260</x:v>
      </x:c>
      <x:c r="H1818" s="9" t="n">
        <x:v>0.02</x:v>
      </x:c>
      <x:c r="I1818" s="7" t="n">
        <x:v>509.6</x:v>
      </x:c>
    </x:row>
    <x:row r="1819" ht="23" customHeight="1">
      <x:c r="A1819" s="7" t="str">
        <x:v>INV01814</x:v>
      </x:c>
      <x:c r="B1819" s="15" t="d">
        <x:v>2026-03-06T00:00:00.000Z</x:v>
      </x:c>
      <x:c r="C1819" s="14" t="d">
        <x:v>2026-03-01T00:00:00.000Z</x:v>
      </x:c>
      <x:c r="D1819" s="34" t="str">
        <x:v>0007</x:v>
      </x:c>
      <x:c r="E1819" s="7" t="str">
        <x:v>West</x:v>
      </x:c>
      <x:c r="F1819" s="7" t="n">
        <x:v>1</x:v>
      </x:c>
      <x:c r="G1819" s="7" t="n">
        <x:v>280</x:v>
      </x:c>
      <x:c r="H1819" s="9" t="n">
        <x:v>0.05</x:v>
      </x:c>
      <x:c r="I1819" s="7" t="n">
        <x:v>266</x:v>
      </x:c>
    </x:row>
    <x:row r="1820" ht="23" customHeight="1">
      <x:c r="A1820" s="7" t="str">
        <x:v>INV01815</x:v>
      </x:c>
      <x:c r="B1820" s="15" t="d">
        <x:v>2026-03-07T00:00:00.000Z</x:v>
      </x:c>
      <x:c r="C1820" s="14" t="d">
        <x:v>2026-03-01T00:00:00.000Z</x:v>
      </x:c>
      <x:c r="D1820" s="34" t="str">
        <x:v>0008</x:v>
      </x:c>
      <x:c r="E1820" s="7" t="str">
        <x:v>West</x:v>
      </x:c>
      <x:c r="F1820" s="7" t="n">
        <x:v>1</x:v>
      </x:c>
      <x:c r="G1820" s="7" t="n">
        <x:v>300</x:v>
      </x:c>
      <x:c r="H1820" s="9" t="n">
        <x:v>0</x:v>
      </x:c>
      <x:c r="I1820" s="7" t="n">
        <x:v>300</x:v>
      </x:c>
    </x:row>
    <x:row r="1821" ht="23" customHeight="1">
      <x:c r="A1821" s="7" t="str">
        <x:v>INV01816</x:v>
      </x:c>
      <x:c r="B1821" s="15" t="d">
        <x:v>2026-03-08T00:00:00.000Z</x:v>
      </x:c>
      <x:c r="C1821" s="14" t="d">
        <x:v>2026-03-01T00:00:00.000Z</x:v>
      </x:c>
      <x:c r="D1821" s="34" t="str">
        <x:v>0001</x:v>
      </x:c>
      <x:c r="E1821" s="7" t="str">
        <x:v>North</x:v>
      </x:c>
      <x:c r="F1821" s="7" t="n">
        <x:v>4</x:v>
      </x:c>
      <x:c r="G1821" s="7" t="n">
        <x:v>160</x:v>
      </x:c>
      <x:c r="H1821" s="9" t="n">
        <x:v>0.02</x:v>
      </x:c>
      <x:c r="I1821" s="7" t="n">
        <x:v>627.2</x:v>
      </x:c>
    </x:row>
    <x:row r="1822" ht="23" customHeight="1">
      <x:c r="A1822" s="7" t="str">
        <x:v>INV01817</x:v>
      </x:c>
      <x:c r="B1822" s="15" t="d">
        <x:v>2026-03-09T00:00:00.000Z</x:v>
      </x:c>
      <x:c r="C1822" s="14" t="d">
        <x:v>2026-03-01T00:00:00.000Z</x:v>
      </x:c>
      <x:c r="D1822" s="34" t="str">
        <x:v>0002</x:v>
      </x:c>
      <x:c r="E1822" s="7" t="str">
        <x:v>North</x:v>
      </x:c>
      <x:c r="F1822" s="7" t="n">
        <x:v>4</x:v>
      </x:c>
      <x:c r="G1822" s="7" t="n">
        <x:v>180</x:v>
      </x:c>
      <x:c r="H1822" s="9" t="n">
        <x:v>0.05</x:v>
      </x:c>
      <x:c r="I1822" s="7" t="n">
        <x:v>684</x:v>
      </x:c>
    </x:row>
    <x:row r="1823" ht="23" customHeight="1">
      <x:c r="A1823" s="7" t="str">
        <x:v>INV01818</x:v>
      </x:c>
      <x:c r="B1823" s="15" t="d">
        <x:v>2026-03-10T00:00:00.000Z</x:v>
      </x:c>
      <x:c r="C1823" s="14" t="d">
        <x:v>2026-03-01T00:00:00.000Z</x:v>
      </x:c>
      <x:c r="D1823" s="34" t="str">
        <x:v>0003</x:v>
      </x:c>
      <x:c r="E1823" s="7" t="str">
        <x:v>North</x:v>
      </x:c>
      <x:c r="F1823" s="7" t="n">
        <x:v>3</x:v>
      </x:c>
      <x:c r="G1823" s="7" t="n">
        <x:v>200</x:v>
      </x:c>
      <x:c r="H1823" s="9" t="n">
        <x:v>0</x:v>
      </x:c>
      <x:c r="I1823" s="7" t="n">
        <x:v>600</x:v>
      </x:c>
    </x:row>
    <x:row r="1824" ht="23" customHeight="1">
      <x:c r="A1824" s="7" t="str">
        <x:v>INV01819</x:v>
      </x:c>
      <x:c r="B1824" s="15" t="d">
        <x:v>2026-03-11T00:00:00.000Z</x:v>
      </x:c>
      <x:c r="C1824" s="14" t="d">
        <x:v>2026-03-01T00:00:00.000Z</x:v>
      </x:c>
      <x:c r="D1824" s="34" t="str">
        <x:v>0004</x:v>
      </x:c>
      <x:c r="E1824" s="7" t="str">
        <x:v>North</x:v>
      </x:c>
      <x:c r="F1824" s="7" t="n">
        <x:v>6</x:v>
      </x:c>
      <x:c r="G1824" s="7" t="n">
        <x:v>220</x:v>
      </x:c>
      <x:c r="H1824" s="9" t="n">
        <x:v>0.02</x:v>
      </x:c>
      <x:c r="I1824" s="7" t="n">
        <x:v>1293.6</x:v>
      </x:c>
    </x:row>
    <x:row r="1825" ht="23" customHeight="1">
      <x:c r="A1825" s="7" t="str">
        <x:v>INV01820</x:v>
      </x:c>
      <x:c r="B1825" s="15" t="d">
        <x:v>2026-03-12T00:00:00.000Z</x:v>
      </x:c>
      <x:c r="C1825" s="14" t="d">
        <x:v>2026-03-01T00:00:00.000Z</x:v>
      </x:c>
      <x:c r="D1825" s="34" t="str">
        <x:v>0005</x:v>
      </x:c>
      <x:c r="E1825" s="7" t="str">
        <x:v>North</x:v>
      </x:c>
      <x:c r="F1825" s="7" t="n">
        <x:v>6</x:v>
      </x:c>
      <x:c r="G1825" s="7" t="n">
        <x:v>240</x:v>
      </x:c>
      <x:c r="H1825" s="9" t="n">
        <x:v>0.05</x:v>
      </x:c>
      <x:c r="I1825" s="7" t="n">
        <x:v>1368</x:v>
      </x:c>
    </x:row>
    <x:row r="1826" ht="23" customHeight="1">
      <x:c r="A1826" s="7" t="str">
        <x:v>INV01821</x:v>
      </x:c>
      <x:c r="B1826" s="15" t="d">
        <x:v>2026-03-13T00:00:00.000Z</x:v>
      </x:c>
      <x:c r="C1826" s="14" t="d">
        <x:v>2026-03-01T00:00:00.000Z</x:v>
      </x:c>
      <x:c r="D1826" s="34" t="str">
        <x:v>0006</x:v>
      </x:c>
      <x:c r="E1826" s="7" t="str">
        <x:v>North</x:v>
      </x:c>
      <x:c r="F1826" s="7" t="n">
        <x:v>1</x:v>
      </x:c>
      <x:c r="G1826" s="7" t="n">
        <x:v>260</x:v>
      </x:c>
      <x:c r="H1826" s="9" t="n">
        <x:v>0</x:v>
      </x:c>
      <x:c r="I1826" s="7" t="n">
        <x:v>260</x:v>
      </x:c>
    </x:row>
    <x:row r="1827" ht="23" customHeight="1">
      <x:c r="A1827" s="7" t="str">
        <x:v>INV01822</x:v>
      </x:c>
      <x:c r="B1827" s="15" t="d">
        <x:v>2026-03-14T00:00:00.000Z</x:v>
      </x:c>
      <x:c r="C1827" s="14" t="d">
        <x:v>2026-03-01T00:00:00.000Z</x:v>
      </x:c>
      <x:c r="D1827" s="34" t="str">
        <x:v>0007</x:v>
      </x:c>
      <x:c r="E1827" s="7" t="str">
        <x:v>North</x:v>
      </x:c>
      <x:c r="F1827" s="7" t="n">
        <x:v>7</x:v>
      </x:c>
      <x:c r="G1827" s="7" t="n">
        <x:v>280</x:v>
      </x:c>
      <x:c r="H1827" s="9" t="n">
        <x:v>0.02</x:v>
      </x:c>
      <x:c r="I1827" s="7" t="n">
        <x:v>1920.8</x:v>
      </x:c>
    </x:row>
    <x:row r="1828" ht="23" customHeight="1">
      <x:c r="A1828" s="7" t="str">
        <x:v>INV01823</x:v>
      </x:c>
      <x:c r="B1828" s="15" t="d">
        <x:v>2026-03-15T00:00:00.000Z</x:v>
      </x:c>
      <x:c r="C1828" s="14" t="d">
        <x:v>2026-03-01T00:00:00.000Z</x:v>
      </x:c>
      <x:c r="D1828" s="34" t="str">
        <x:v>0008</x:v>
      </x:c>
      <x:c r="E1828" s="7" t="str">
        <x:v>North</x:v>
      </x:c>
      <x:c r="F1828" s="7" t="n">
        <x:v>4</x:v>
      </x:c>
      <x:c r="G1828" s="7" t="n">
        <x:v>300</x:v>
      </x:c>
      <x:c r="H1828" s="9" t="n">
        <x:v>0.05</x:v>
      </x:c>
      <x:c r="I1828" s="7" t="n">
        <x:v>1140</x:v>
      </x:c>
    </x:row>
    <x:row r="1829" ht="23" customHeight="1">
      <x:c r="A1829" s="7" t="str">
        <x:v>INV01824</x:v>
      </x:c>
      <x:c r="B1829" s="15" t="d">
        <x:v>2026-04-16T00:00:00.000Z</x:v>
      </x:c>
      <x:c r="C1829" s="14" t="d">
        <x:v>2026-04-01T00:00:00.000Z</x:v>
      </x:c>
      <x:c r="D1829" s="34" t="str">
        <x:v>0001</x:v>
      </x:c>
      <x:c r="E1829" s="7" t="str">
        <x:v>Central</x:v>
      </x:c>
      <x:c r="F1829" s="7" t="n">
        <x:v>3</x:v>
      </x:c>
      <x:c r="G1829" s="7" t="n">
        <x:v>160</x:v>
      </x:c>
      <x:c r="H1829" s="9" t="n">
        <x:v>0</x:v>
      </x:c>
      <x:c r="I1829" s="7" t="n">
        <x:v>480</x:v>
      </x:c>
    </x:row>
    <x:row r="1830" ht="23" customHeight="1">
      <x:c r="A1830" s="7" t="str">
        <x:v>INV01825</x:v>
      </x:c>
      <x:c r="B1830" s="15" t="d">
        <x:v>2026-04-17T00:00:00.000Z</x:v>
      </x:c>
      <x:c r="C1830" s="14" t="d">
        <x:v>2026-04-01T00:00:00.000Z</x:v>
      </x:c>
      <x:c r="D1830" s="34" t="str">
        <x:v>0002</x:v>
      </x:c>
      <x:c r="E1830" s="7" t="str">
        <x:v>Central</x:v>
      </x:c>
      <x:c r="F1830" s="7" t="n">
        <x:v>6</x:v>
      </x:c>
      <x:c r="G1830" s="7" t="n">
        <x:v>180</x:v>
      </x:c>
      <x:c r="H1830" s="9" t="n">
        <x:v>0.02</x:v>
      </x:c>
      <x:c r="I1830" s="7" t="n">
        <x:v>1058.4</x:v>
      </x:c>
    </x:row>
    <x:row r="1831" ht="23" customHeight="1">
      <x:c r="A1831" s="7" t="str">
        <x:v>INV01826</x:v>
      </x:c>
      <x:c r="B1831" s="15" t="d">
        <x:v>2026-04-18T00:00:00.000Z</x:v>
      </x:c>
      <x:c r="C1831" s="14" t="d">
        <x:v>2026-04-01T00:00:00.000Z</x:v>
      </x:c>
      <x:c r="D1831" s="34" t="str">
        <x:v>0003</x:v>
      </x:c>
      <x:c r="E1831" s="7" t="str">
        <x:v>Central</x:v>
      </x:c>
      <x:c r="F1831" s="7" t="n">
        <x:v>5</x:v>
      </x:c>
      <x:c r="G1831" s="7" t="n">
        <x:v>200</x:v>
      </x:c>
      <x:c r="H1831" s="9" t="n">
        <x:v>0.05</x:v>
      </x:c>
      <x:c r="I1831" s="7" t="n">
        <x:v>950</x:v>
      </x:c>
    </x:row>
    <x:row r="1832" ht="23" customHeight="1">
      <x:c r="A1832" s="7" t="str">
        <x:v>INV01827</x:v>
      </x:c>
      <x:c r="B1832" s="15" t="d">
        <x:v>2026-04-19T00:00:00.000Z</x:v>
      </x:c>
      <x:c r="C1832" s="14" t="d">
        <x:v>2026-04-01T00:00:00.000Z</x:v>
      </x:c>
      <x:c r="D1832" s="34" t="str">
        <x:v>0004</x:v>
      </x:c>
      <x:c r="E1832" s="7" t="str">
        <x:v>Central</x:v>
      </x:c>
      <x:c r="F1832" s="7" t="n">
        <x:v>5</x:v>
      </x:c>
      <x:c r="G1832" s="7" t="n">
        <x:v>220</x:v>
      </x:c>
      <x:c r="H1832" s="9" t="n">
        <x:v>0</x:v>
      </x:c>
      <x:c r="I1832" s="7" t="n">
        <x:v>1100</x:v>
      </x:c>
    </x:row>
    <x:row r="1833" ht="23" customHeight="1">
      <x:c r="A1833" s="7" t="str">
        <x:v>INV01828</x:v>
      </x:c>
      <x:c r="B1833" s="15" t="d">
        <x:v>2026-04-20T00:00:00.000Z</x:v>
      </x:c>
      <x:c r="C1833" s="14" t="d">
        <x:v>2026-04-01T00:00:00.000Z</x:v>
      </x:c>
      <x:c r="D1833" s="34" t="str">
        <x:v>0005</x:v>
      </x:c>
      <x:c r="E1833" s="7" t="str">
        <x:v>Central</x:v>
      </x:c>
      <x:c r="F1833" s="7" t="n">
        <x:v>6</x:v>
      </x:c>
      <x:c r="G1833" s="7" t="n">
        <x:v>240</x:v>
      </x:c>
      <x:c r="H1833" s="9" t="n">
        <x:v>0.02</x:v>
      </x:c>
      <x:c r="I1833" s="7" t="n">
        <x:v>1411.2</x:v>
      </x:c>
    </x:row>
    <x:row r="1834" ht="23" customHeight="1">
      <x:c r="A1834" s="7" t="str">
        <x:v>INV01829</x:v>
      </x:c>
      <x:c r="B1834" s="15" t="d">
        <x:v>2026-04-21T00:00:00.000Z</x:v>
      </x:c>
      <x:c r="C1834" s="14" t="d">
        <x:v>2026-04-01T00:00:00.000Z</x:v>
      </x:c>
      <x:c r="D1834" s="34" t="str">
        <x:v>0006</x:v>
      </x:c>
      <x:c r="E1834" s="7" t="str">
        <x:v>Central</x:v>
      </x:c>
      <x:c r="F1834" s="7" t="n">
        <x:v>7</x:v>
      </x:c>
      <x:c r="G1834" s="7" t="n">
        <x:v>260</x:v>
      </x:c>
      <x:c r="H1834" s="9" t="n">
        <x:v>0.05</x:v>
      </x:c>
      <x:c r="I1834" s="7" t="n">
        <x:v>1729</x:v>
      </x:c>
    </x:row>
    <x:row r="1835" ht="23" customHeight="1">
      <x:c r="A1835" s="7" t="str">
        <x:v>INV01830</x:v>
      </x:c>
      <x:c r="B1835" s="15" t="d">
        <x:v>2026-04-22T00:00:00.000Z</x:v>
      </x:c>
      <x:c r="C1835" s="14" t="d">
        <x:v>2026-04-01T00:00:00.000Z</x:v>
      </x:c>
      <x:c r="D1835" s="34" t="str">
        <x:v>0007</x:v>
      </x:c>
      <x:c r="E1835" s="7" t="str">
        <x:v>Central</x:v>
      </x:c>
      <x:c r="F1835" s="7" t="n">
        <x:v>2</x:v>
      </x:c>
      <x:c r="G1835" s="7" t="n">
        <x:v>280</x:v>
      </x:c>
      <x:c r="H1835" s="9" t="n">
        <x:v>0</x:v>
      </x:c>
      <x:c r="I1835" s="7" t="n">
        <x:v>560</x:v>
      </x:c>
    </x:row>
    <x:row r="1836" ht="23" customHeight="1">
      <x:c r="A1836" s="7" t="str">
        <x:v>INV01831</x:v>
      </x:c>
      <x:c r="B1836" s="15" t="d">
        <x:v>2026-04-23T00:00:00.000Z</x:v>
      </x:c>
      <x:c r="C1836" s="14" t="d">
        <x:v>2026-04-01T00:00:00.000Z</x:v>
      </x:c>
      <x:c r="D1836" s="34" t="str">
        <x:v>0008</x:v>
      </x:c>
      <x:c r="E1836" s="7" t="str">
        <x:v>Central</x:v>
      </x:c>
      <x:c r="F1836" s="7" t="n">
        <x:v>2</x:v>
      </x:c>
      <x:c r="G1836" s="7" t="n">
        <x:v>300</x:v>
      </x:c>
      <x:c r="H1836" s="9" t="n">
        <x:v>0.02</x:v>
      </x:c>
      <x:c r="I1836" s="7" t="n">
        <x:v>588</x:v>
      </x:c>
    </x:row>
    <x:row r="1837" ht="23" customHeight="1">
      <x:c r="A1837" s="7" t="str">
        <x:v>INV01832</x:v>
      </x:c>
      <x:c r="B1837" s="15" t="d">
        <x:v>2026-04-24T00:00:00.000Z</x:v>
      </x:c>
      <x:c r="C1837" s="14" t="d">
        <x:v>2026-04-01T00:00:00.000Z</x:v>
      </x:c>
      <x:c r="D1837" s="34" t="str">
        <x:v>0001</x:v>
      </x:c>
      <x:c r="E1837" s="7" t="str">
        <x:v>East</x:v>
      </x:c>
      <x:c r="F1837" s="7" t="n">
        <x:v>6</x:v>
      </x:c>
      <x:c r="G1837" s="7" t="n">
        <x:v>160</x:v>
      </x:c>
      <x:c r="H1837" s="9" t="n">
        <x:v>0.05</x:v>
      </x:c>
      <x:c r="I1837" s="7" t="n">
        <x:v>912</x:v>
      </x:c>
    </x:row>
    <x:row r="1838" ht="23" customHeight="1">
      <x:c r="A1838" s="7" t="str">
        <x:v>INV01833</x:v>
      </x:c>
      <x:c r="B1838" s="15" t="d">
        <x:v>2026-04-25T00:00:00.000Z</x:v>
      </x:c>
      <x:c r="C1838" s="14" t="d">
        <x:v>2026-04-01T00:00:00.000Z</x:v>
      </x:c>
      <x:c r="D1838" s="34" t="str">
        <x:v>0002</x:v>
      </x:c>
      <x:c r="E1838" s="7" t="str">
        <x:v>East</x:v>
      </x:c>
      <x:c r="F1838" s="7" t="n">
        <x:v>5</x:v>
      </x:c>
      <x:c r="G1838" s="7" t="n">
        <x:v>180</x:v>
      </x:c>
      <x:c r="H1838" s="9" t="n">
        <x:v>0</x:v>
      </x:c>
      <x:c r="I1838" s="7" t="n">
        <x:v>900</x:v>
      </x:c>
    </x:row>
    <x:row r="1839" ht="23" customHeight="1">
      <x:c r="A1839" s="7" t="str">
        <x:v>INV01834</x:v>
      </x:c>
      <x:c r="B1839" s="15" t="d">
        <x:v>2026-04-26T00:00:00.000Z</x:v>
      </x:c>
      <x:c r="C1839" s="14" t="d">
        <x:v>2026-04-01T00:00:00.000Z</x:v>
      </x:c>
      <x:c r="D1839" s="34" t="str">
        <x:v>0003</x:v>
      </x:c>
      <x:c r="E1839" s="7" t="str">
        <x:v>East</x:v>
      </x:c>
      <x:c r="F1839" s="7" t="n">
        <x:v>7</x:v>
      </x:c>
      <x:c r="G1839" s="7" t="n">
        <x:v>200</x:v>
      </x:c>
      <x:c r="H1839" s="9" t="n">
        <x:v>0.02</x:v>
      </x:c>
      <x:c r="I1839" s="7" t="n">
        <x:v>1372</x:v>
      </x:c>
    </x:row>
    <x:row r="1840" ht="23" customHeight="1">
      <x:c r="A1840" s="7" t="str">
        <x:v>INV01835</x:v>
      </x:c>
      <x:c r="B1840" s="15" t="d">
        <x:v>2026-04-27T00:00:00.000Z</x:v>
      </x:c>
      <x:c r="C1840" s="14" t="d">
        <x:v>2026-04-01T00:00:00.000Z</x:v>
      </x:c>
      <x:c r="D1840" s="34" t="str">
        <x:v>0004</x:v>
      </x:c>
      <x:c r="E1840" s="7" t="str">
        <x:v>East</x:v>
      </x:c>
      <x:c r="F1840" s="7" t="n">
        <x:v>5</x:v>
      </x:c>
      <x:c r="G1840" s="7" t="n">
        <x:v>220</x:v>
      </x:c>
      <x:c r="H1840" s="9" t="n">
        <x:v>0.05</x:v>
      </x:c>
      <x:c r="I1840" s="7" t="n">
        <x:v>1045</x:v>
      </x:c>
    </x:row>
    <x:row r="1841" ht="23" customHeight="1">
      <x:c r="A1841" s="7" t="str">
        <x:v>INV01836</x:v>
      </x:c>
      <x:c r="B1841" s="15" t="d">
        <x:v>2026-04-01T00:00:00.000Z</x:v>
      </x:c>
      <x:c r="C1841" s="14" t="d">
        <x:v>2026-04-01T00:00:00.000Z</x:v>
      </x:c>
      <x:c r="D1841" s="34" t="str">
        <x:v>0005</x:v>
      </x:c>
      <x:c r="E1841" s="7" t="str">
        <x:v>East</x:v>
      </x:c>
      <x:c r="F1841" s="7" t="n">
        <x:v>7</x:v>
      </x:c>
      <x:c r="G1841" s="7" t="n">
        <x:v>240</x:v>
      </x:c>
      <x:c r="H1841" s="9" t="n">
        <x:v>0</x:v>
      </x:c>
      <x:c r="I1841" s="7" t="n">
        <x:v>1680</x:v>
      </x:c>
    </x:row>
    <x:row r="1842" ht="23" customHeight="1">
      <x:c r="A1842" s="7" t="str">
        <x:v>INV01837</x:v>
      </x:c>
      <x:c r="B1842" s="15" t="d">
        <x:v>2026-04-02T00:00:00.000Z</x:v>
      </x:c>
      <x:c r="C1842" s="14" t="d">
        <x:v>2026-04-01T00:00:00.000Z</x:v>
      </x:c>
      <x:c r="D1842" s="34" t="str">
        <x:v>0006</x:v>
      </x:c>
      <x:c r="E1842" s="7" t="str">
        <x:v>East</x:v>
      </x:c>
      <x:c r="F1842" s="7" t="n">
        <x:v>7</x:v>
      </x:c>
      <x:c r="G1842" s="7" t="n">
        <x:v>260</x:v>
      </x:c>
      <x:c r="H1842" s="9" t="n">
        <x:v>0.02</x:v>
      </x:c>
      <x:c r="I1842" s="7" t="n">
        <x:v>1783.6</x:v>
      </x:c>
    </x:row>
    <x:row r="1843" ht="23" customHeight="1">
      <x:c r="A1843" s="7" t="str">
        <x:v>INV01838</x:v>
      </x:c>
      <x:c r="B1843" s="15" t="d">
        <x:v>2026-04-03T00:00:00.000Z</x:v>
      </x:c>
      <x:c r="C1843" s="14" t="d">
        <x:v>2026-04-01T00:00:00.000Z</x:v>
      </x:c>
      <x:c r="D1843" s="34" t="str">
        <x:v>0007</x:v>
      </x:c>
      <x:c r="E1843" s="7" t="str">
        <x:v>East</x:v>
      </x:c>
      <x:c r="F1843" s="7" t="n">
        <x:v>6</x:v>
      </x:c>
      <x:c r="G1843" s="7" t="n">
        <x:v>280</x:v>
      </x:c>
      <x:c r="H1843" s="9" t="n">
        <x:v>0.05</x:v>
      </x:c>
      <x:c r="I1843" s="7" t="n">
        <x:v>1596</x:v>
      </x:c>
    </x:row>
    <x:row r="1844" ht="23" customHeight="1">
      <x:c r="A1844" s="7" t="str">
        <x:v>INV01839</x:v>
      </x:c>
      <x:c r="B1844" s="15" t="d">
        <x:v>2026-04-04T00:00:00.000Z</x:v>
      </x:c>
      <x:c r="C1844" s="14" t="d">
        <x:v>2026-04-01T00:00:00.000Z</x:v>
      </x:c>
      <x:c r="D1844" s="34" t="str">
        <x:v>0008</x:v>
      </x:c>
      <x:c r="E1844" s="7" t="str">
        <x:v>East</x:v>
      </x:c>
      <x:c r="F1844" s="7" t="n">
        <x:v>7</x:v>
      </x:c>
      <x:c r="G1844" s="7" t="n">
        <x:v>300</x:v>
      </x:c>
      <x:c r="H1844" s="9" t="n">
        <x:v>0</x:v>
      </x:c>
      <x:c r="I1844" s="7" t="n">
        <x:v>2100</x:v>
      </x:c>
    </x:row>
    <x:row r="1845" ht="23" customHeight="1">
      <x:c r="A1845" s="7" t="str">
        <x:v>INV01840</x:v>
      </x:c>
      <x:c r="B1845" s="15" t="d">
        <x:v>2026-04-05T00:00:00.000Z</x:v>
      </x:c>
      <x:c r="C1845" s="14" t="d">
        <x:v>2026-04-01T00:00:00.000Z</x:v>
      </x:c>
      <x:c r="D1845" s="34" t="str">
        <x:v>0001</x:v>
      </x:c>
      <x:c r="E1845" s="7" t="str">
        <x:v>West</x:v>
      </x:c>
      <x:c r="F1845" s="7" t="n">
        <x:v>7</x:v>
      </x:c>
      <x:c r="G1845" s="7" t="n">
        <x:v>160</x:v>
      </x:c>
      <x:c r="H1845" s="9" t="n">
        <x:v>0.02</x:v>
      </x:c>
      <x:c r="I1845" s="7" t="n">
        <x:v>1097.6</x:v>
      </x:c>
    </x:row>
    <x:row r="1846" ht="23" customHeight="1">
      <x:c r="A1846" s="7" t="str">
        <x:v>INV01841</x:v>
      </x:c>
      <x:c r="B1846" s="15" t="d">
        <x:v>2026-04-06T00:00:00.000Z</x:v>
      </x:c>
      <x:c r="C1846" s="14" t="d">
        <x:v>2026-04-01T00:00:00.000Z</x:v>
      </x:c>
      <x:c r="D1846" s="34" t="str">
        <x:v>0002</x:v>
      </x:c>
      <x:c r="E1846" s="7" t="str">
        <x:v>West</x:v>
      </x:c>
      <x:c r="F1846" s="7" t="n">
        <x:v>3</x:v>
      </x:c>
      <x:c r="G1846" s="7" t="n">
        <x:v>180</x:v>
      </x:c>
      <x:c r="H1846" s="9" t="n">
        <x:v>0.05</x:v>
      </x:c>
      <x:c r="I1846" s="7" t="n">
        <x:v>513</x:v>
      </x:c>
    </x:row>
    <x:row r="1847" ht="23" customHeight="1">
      <x:c r="A1847" s="7" t="str">
        <x:v>INV01842</x:v>
      </x:c>
      <x:c r="B1847" s="15" t="d">
        <x:v>2026-04-07T00:00:00.000Z</x:v>
      </x:c>
      <x:c r="C1847" s="14" t="d">
        <x:v>2026-04-01T00:00:00.000Z</x:v>
      </x:c>
      <x:c r="D1847" s="34" t="str">
        <x:v>0003</x:v>
      </x:c>
      <x:c r="E1847" s="7" t="str">
        <x:v>West</x:v>
      </x:c>
      <x:c r="F1847" s="7" t="n">
        <x:v>5</x:v>
      </x:c>
      <x:c r="G1847" s="7" t="n">
        <x:v>200</x:v>
      </x:c>
      <x:c r="H1847" s="9" t="n">
        <x:v>0</x:v>
      </x:c>
      <x:c r="I1847" s="7" t="n">
        <x:v>1000</x:v>
      </x:c>
    </x:row>
    <x:row r="1848" ht="23" customHeight="1">
      <x:c r="A1848" s="7" t="str">
        <x:v>INV01843</x:v>
      </x:c>
      <x:c r="B1848" s="15" t="d">
        <x:v>2026-04-08T00:00:00.000Z</x:v>
      </x:c>
      <x:c r="C1848" s="14" t="d">
        <x:v>2026-04-01T00:00:00.000Z</x:v>
      </x:c>
      <x:c r="D1848" s="34" t="str">
        <x:v>0004</x:v>
      </x:c>
      <x:c r="E1848" s="7" t="str">
        <x:v>West</x:v>
      </x:c>
      <x:c r="F1848" s="7" t="n">
        <x:v>2</x:v>
      </x:c>
      <x:c r="G1848" s="7" t="n">
        <x:v>220</x:v>
      </x:c>
      <x:c r="H1848" s="9" t="n">
        <x:v>0.02</x:v>
      </x:c>
      <x:c r="I1848" s="7" t="n">
        <x:v>431.2</x:v>
      </x:c>
    </x:row>
    <x:row r="1849" ht="23" customHeight="1">
      <x:c r="A1849" s="7" t="str">
        <x:v>INV01844</x:v>
      </x:c>
      <x:c r="B1849" s="15" t="d">
        <x:v>2026-04-09T00:00:00.000Z</x:v>
      </x:c>
      <x:c r="C1849" s="14" t="d">
        <x:v>2026-04-01T00:00:00.000Z</x:v>
      </x:c>
      <x:c r="D1849" s="34" t="str">
        <x:v>0005</x:v>
      </x:c>
      <x:c r="E1849" s="7" t="str">
        <x:v>West</x:v>
      </x:c>
      <x:c r="F1849" s="7" t="n">
        <x:v>7</x:v>
      </x:c>
      <x:c r="G1849" s="7" t="n">
        <x:v>240</x:v>
      </x:c>
      <x:c r="H1849" s="9" t="n">
        <x:v>0.05</x:v>
      </x:c>
      <x:c r="I1849" s="7" t="n">
        <x:v>1596</x:v>
      </x:c>
    </x:row>
    <x:row r="1850" ht="23" customHeight="1">
      <x:c r="A1850" s="7" t="str">
        <x:v>INV01845</x:v>
      </x:c>
      <x:c r="B1850" s="15" t="d">
        <x:v>2026-04-10T00:00:00.000Z</x:v>
      </x:c>
      <x:c r="C1850" s="14" t="d">
        <x:v>2026-04-01T00:00:00.000Z</x:v>
      </x:c>
      <x:c r="D1850" s="34" t="str">
        <x:v>0006</x:v>
      </x:c>
      <x:c r="E1850" s="7" t="str">
        <x:v>West</x:v>
      </x:c>
      <x:c r="F1850" s="7" t="n">
        <x:v>-2</x:v>
      </x:c>
      <x:c r="G1850" s="7" t="n">
        <x:v>260</x:v>
      </x:c>
      <x:c r="H1850" s="9" t="n">
        <x:v>0</x:v>
      </x:c>
      <x:c r="I1850" s="7" t="n">
        <x:v>-520</x:v>
      </x:c>
    </x:row>
    <x:row r="1851" ht="23" customHeight="1">
      <x:c r="A1851" s="7" t="str">
        <x:v>INV01846</x:v>
      </x:c>
      <x:c r="B1851" s="15" t="d">
        <x:v>2026-04-11T00:00:00.000Z</x:v>
      </x:c>
      <x:c r="C1851" s="14" t="d">
        <x:v>2026-04-01T00:00:00.000Z</x:v>
      </x:c>
      <x:c r="D1851" s="34" t="str">
        <x:v>0007</x:v>
      </x:c>
      <x:c r="E1851" s="7" t="str">
        <x:v>West</x:v>
      </x:c>
      <x:c r="F1851" s="7" t="n">
        <x:v>6</x:v>
      </x:c>
      <x:c r="G1851" s="7" t="n">
        <x:v>280</x:v>
      </x:c>
      <x:c r="H1851" s="9" t="n">
        <x:v>0.02</x:v>
      </x:c>
      <x:c r="I1851" s="7" t="n">
        <x:v>1646.4</x:v>
      </x:c>
    </x:row>
    <x:row r="1852" ht="23" customHeight="1">
      <x:c r="A1852" s="7" t="str">
        <x:v>INV01847</x:v>
      </x:c>
      <x:c r="B1852" s="15" t="d">
        <x:v>2026-04-12T00:00:00.000Z</x:v>
      </x:c>
      <x:c r="C1852" s="14" t="d">
        <x:v>2026-04-01T00:00:00.000Z</x:v>
      </x:c>
      <x:c r="D1852" s="34" t="str">
        <x:v>0008</x:v>
      </x:c>
      <x:c r="E1852" s="7" t="str">
        <x:v>West</x:v>
      </x:c>
      <x:c r="F1852" s="7" t="n">
        <x:v>3</x:v>
      </x:c>
      <x:c r="G1852" s="7" t="n">
        <x:v>300</x:v>
      </x:c>
      <x:c r="H1852" s="9" t="n">
        <x:v>0.05</x:v>
      </x:c>
      <x:c r="I1852" s="7" t="n">
        <x:v>855</x:v>
      </x:c>
    </x:row>
    <x:row r="1853" ht="23" customHeight="1">
      <x:c r="A1853" s="7" t="str">
        <x:v>INV01848</x:v>
      </x:c>
      <x:c r="B1853" s="15" t="d">
        <x:v>2026-04-13T00:00:00.000Z</x:v>
      </x:c>
      <x:c r="C1853" s="14" t="d">
        <x:v>2026-04-01T00:00:00.000Z</x:v>
      </x:c>
      <x:c r="D1853" s="34" t="str">
        <x:v>0001</x:v>
      </x:c>
      <x:c r="E1853" s="7" t="str">
        <x:v>North</x:v>
      </x:c>
      <x:c r="F1853" s="7" t="n">
        <x:v>1</x:v>
      </x:c>
      <x:c r="G1853" s="7" t="n">
        <x:v>160</x:v>
      </x:c>
      <x:c r="H1853" s="9" t="n">
        <x:v>0</x:v>
      </x:c>
      <x:c r="I1853" s="7" t="n">
        <x:v>160</x:v>
      </x:c>
    </x:row>
    <x:row r="1854" ht="23" customHeight="1">
      <x:c r="A1854" s="7" t="str">
        <x:v>INV01849</x:v>
      </x:c>
      <x:c r="B1854" s="15" t="d">
        <x:v>2026-04-14T00:00:00.000Z</x:v>
      </x:c>
      <x:c r="C1854" s="14" t="d">
        <x:v>2026-04-01T00:00:00.000Z</x:v>
      </x:c>
      <x:c r="D1854" s="34" t="str">
        <x:v>0002</x:v>
      </x:c>
      <x:c r="E1854" s="7" t="str">
        <x:v>North</x:v>
      </x:c>
      <x:c r="F1854" s="7" t="n">
        <x:v>1</x:v>
      </x:c>
      <x:c r="G1854" s="7" t="n">
        <x:v>180</x:v>
      </x:c>
      <x:c r="H1854" s="9" t="n">
        <x:v>0.02</x:v>
      </x:c>
      <x:c r="I1854" s="7" t="n">
        <x:v>176.4</x:v>
      </x:c>
    </x:row>
    <x:row r="1855" ht="23" customHeight="1">
      <x:c r="A1855" s="7" t="str">
        <x:v>INV01850</x:v>
      </x:c>
      <x:c r="B1855" s="15" t="d">
        <x:v>2026-04-15T00:00:00.000Z</x:v>
      </x:c>
      <x:c r="C1855" s="14" t="d">
        <x:v>2026-04-01T00:00:00.000Z</x:v>
      </x:c>
      <x:c r="D1855" s="34" t="str">
        <x:v>0003</x:v>
      </x:c>
      <x:c r="E1855" s="7" t="str">
        <x:v>North</x:v>
      </x:c>
      <x:c r="F1855" s="7" t="n">
        <x:v>7</x:v>
      </x:c>
      <x:c r="G1855" s="7" t="n">
        <x:v>200</x:v>
      </x:c>
      <x:c r="H1855" s="9" t="n">
        <x:v>0.05</x:v>
      </x:c>
      <x:c r="I1855" s="7" t="n">
        <x:v>1330</x:v>
      </x:c>
    </x:row>
    <x:row r="1856" ht="23" customHeight="1">
      <x:c r="A1856" s="7" t="str">
        <x:v>INV01851</x:v>
      </x:c>
      <x:c r="B1856" s="15" t="d">
        <x:v>2026-04-16T00:00:00.000Z</x:v>
      </x:c>
      <x:c r="C1856" s="14" t="d">
        <x:v>2026-04-01T00:00:00.000Z</x:v>
      </x:c>
      <x:c r="D1856" s="34" t="str">
        <x:v>0004</x:v>
      </x:c>
      <x:c r="E1856" s="7" t="str">
        <x:v>North</x:v>
      </x:c>
      <x:c r="F1856" s="7" t="n">
        <x:v>7</x:v>
      </x:c>
      <x:c r="G1856" s="7" t="n">
        <x:v>220</x:v>
      </x:c>
      <x:c r="H1856" s="9" t="n">
        <x:v>0</x:v>
      </x:c>
      <x:c r="I1856" s="7" t="n">
        <x:v>1540</x:v>
      </x:c>
    </x:row>
    <x:row r="1857" ht="23" customHeight="1">
      <x:c r="A1857" s="7" t="str">
        <x:v>INV01852</x:v>
      </x:c>
      <x:c r="B1857" s="15" t="d">
        <x:v>2026-04-17T00:00:00.000Z</x:v>
      </x:c>
      <x:c r="C1857" s="14" t="d">
        <x:v>2026-04-01T00:00:00.000Z</x:v>
      </x:c>
      <x:c r="D1857" s="34" t="str">
        <x:v>0005</x:v>
      </x:c>
      <x:c r="E1857" s="7" t="str">
        <x:v>North</x:v>
      </x:c>
      <x:c r="F1857" s="7" t="n">
        <x:v>2</x:v>
      </x:c>
      <x:c r="G1857" s="7" t="n">
        <x:v>240</x:v>
      </x:c>
      <x:c r="H1857" s="9" t="n">
        <x:v>0.02</x:v>
      </x:c>
      <x:c r="I1857" s="7" t="n">
        <x:v>470.4</x:v>
      </x:c>
    </x:row>
    <x:row r="1858" ht="23" customHeight="1">
      <x:c r="A1858" s="7" t="str">
        <x:v>INV01853</x:v>
      </x:c>
      <x:c r="B1858" s="15" t="d">
        <x:v>2026-04-18T00:00:00.000Z</x:v>
      </x:c>
      <x:c r="C1858" s="14" t="d">
        <x:v>2026-04-01T00:00:00.000Z</x:v>
      </x:c>
      <x:c r="D1858" s="34" t="str">
        <x:v>0006</x:v>
      </x:c>
      <x:c r="E1858" s="7" t="str">
        <x:v>North</x:v>
      </x:c>
      <x:c r="F1858" s="7" t="n">
        <x:v>4</x:v>
      </x:c>
      <x:c r="G1858" s="7" t="n">
        <x:v>260</x:v>
      </x:c>
      <x:c r="H1858" s="9" t="n">
        <x:v>0.05</x:v>
      </x:c>
      <x:c r="I1858" s="7" t="n">
        <x:v>988</x:v>
      </x:c>
    </x:row>
    <x:row r="1859" ht="23" customHeight="1">
      <x:c r="A1859" s="7" t="str">
        <x:v>INV01854</x:v>
      </x:c>
      <x:c r="B1859" s="15" t="d">
        <x:v>2026-04-19T00:00:00.000Z</x:v>
      </x:c>
      <x:c r="C1859" s="14" t="d">
        <x:v>2026-04-01T00:00:00.000Z</x:v>
      </x:c>
      <x:c r="D1859" s="34" t="str">
        <x:v>0007</x:v>
      </x:c>
      <x:c r="E1859" s="7" t="str">
        <x:v>North</x:v>
      </x:c>
      <x:c r="F1859" s="7" t="n">
        <x:v>6</x:v>
      </x:c>
      <x:c r="G1859" s="7" t="n">
        <x:v>280</x:v>
      </x:c>
      <x:c r="H1859" s="9" t="n">
        <x:v>0</x:v>
      </x:c>
      <x:c r="I1859" s="7" t="n">
        <x:v>1680</x:v>
      </x:c>
    </x:row>
    <x:row r="1860" ht="23" customHeight="1">
      <x:c r="A1860" s="7" t="str">
        <x:v>INV01855</x:v>
      </x:c>
      <x:c r="B1860" s="15" t="d">
        <x:v>2026-04-20T00:00:00.000Z</x:v>
      </x:c>
      <x:c r="C1860" s="14" t="d">
        <x:v>2026-04-01T00:00:00.000Z</x:v>
      </x:c>
      <x:c r="D1860" s="34" t="str">
        <x:v>0008</x:v>
      </x:c>
      <x:c r="E1860" s="7" t="str">
        <x:v>North</x:v>
      </x:c>
      <x:c r="F1860" s="7" t="n">
        <x:v>4</x:v>
      </x:c>
      <x:c r="G1860" s="7" t="n">
        <x:v>300</x:v>
      </x:c>
      <x:c r="H1860" s="9" t="n">
        <x:v>0.02</x:v>
      </x:c>
      <x:c r="I1860" s="7" t="n">
        <x:v>1176</x:v>
      </x:c>
    </x:row>
    <x:row r="1861" ht="23" customHeight="1">
      <x:c r="A1861" s="7" t="str">
        <x:v>INV01856</x:v>
      </x:c>
      <x:c r="B1861" s="15" t="d">
        <x:v>2026-05-21T00:00:00.000Z</x:v>
      </x:c>
      <x:c r="C1861" s="14" t="d">
        <x:v>2026-05-01T00:00:00.000Z</x:v>
      </x:c>
      <x:c r="D1861" s="34" t="str">
        <x:v>0001</x:v>
      </x:c>
      <x:c r="E1861" s="7" t="str">
        <x:v>Central</x:v>
      </x:c>
      <x:c r="F1861" s="7" t="n">
        <x:v>1</x:v>
      </x:c>
      <x:c r="G1861" s="7" t="n">
        <x:v>160</x:v>
      </x:c>
      <x:c r="H1861" s="9" t="n">
        <x:v>0.05</x:v>
      </x:c>
      <x:c r="I1861" s="7" t="n">
        <x:v>152</x:v>
      </x:c>
    </x:row>
    <x:row r="1862" ht="23" customHeight="1">
      <x:c r="A1862" s="7" t="str">
        <x:v>INV01857</x:v>
      </x:c>
      <x:c r="B1862" s="15" t="d">
        <x:v>2026-05-22T00:00:00.000Z</x:v>
      </x:c>
      <x:c r="C1862" s="14" t="d">
        <x:v>2026-05-01T00:00:00.000Z</x:v>
      </x:c>
      <x:c r="D1862" s="34" t="str">
        <x:v>0002</x:v>
      </x:c>
      <x:c r="E1862" s="7" t="str">
        <x:v>Central</x:v>
      </x:c>
      <x:c r="F1862" s="7" t="n">
        <x:v>4</x:v>
      </x:c>
      <x:c r="G1862" s="7" t="n">
        <x:v>180</x:v>
      </x:c>
      <x:c r="H1862" s="9" t="n">
        <x:v>0</x:v>
      </x:c>
      <x:c r="I1862" s="7" t="n">
        <x:v>720</x:v>
      </x:c>
    </x:row>
    <x:row r="1863" ht="23" customHeight="1">
      <x:c r="A1863" s="7" t="str">
        <x:v>INV01858</x:v>
      </x:c>
      <x:c r="B1863" s="15" t="d">
        <x:v>2026-05-23T00:00:00.000Z</x:v>
      </x:c>
      <x:c r="C1863" s="14" t="d">
        <x:v>2026-05-01T00:00:00.000Z</x:v>
      </x:c>
      <x:c r="D1863" s="34" t="str">
        <x:v>0003</x:v>
      </x:c>
      <x:c r="E1863" s="7" t="str">
        <x:v>Central</x:v>
      </x:c>
      <x:c r="F1863" s="7" t="n">
        <x:v>4</x:v>
      </x:c>
      <x:c r="G1863" s="7" t="n">
        <x:v>200</x:v>
      </x:c>
      <x:c r="H1863" s="9" t="n">
        <x:v>0.02</x:v>
      </x:c>
      <x:c r="I1863" s="7" t="n">
        <x:v>784</x:v>
      </x:c>
    </x:row>
    <x:row r="1864" ht="23" customHeight="1">
      <x:c r="A1864" s="7" t="str">
        <x:v>INV01859</x:v>
      </x:c>
      <x:c r="B1864" s="15" t="d">
        <x:v>2026-05-24T00:00:00.000Z</x:v>
      </x:c>
      <x:c r="C1864" s="14" t="d">
        <x:v>2026-05-01T00:00:00.000Z</x:v>
      </x:c>
      <x:c r="D1864" s="34" t="str">
        <x:v>0004</x:v>
      </x:c>
      <x:c r="E1864" s="7" t="str">
        <x:v>Central</x:v>
      </x:c>
      <x:c r="F1864" s="7" t="n">
        <x:v>5</x:v>
      </x:c>
      <x:c r="G1864" s="7" t="n">
        <x:v>220</x:v>
      </x:c>
      <x:c r="H1864" s="9" t="n">
        <x:v>0.05</x:v>
      </x:c>
      <x:c r="I1864" s="7" t="n">
        <x:v>1045</x:v>
      </x:c>
    </x:row>
    <x:row r="1865" ht="23" customHeight="1">
      <x:c r="A1865" s="7" t="str">
        <x:v>INV01860</x:v>
      </x:c>
      <x:c r="B1865" s="15" t="d">
        <x:v>2026-05-25T00:00:00.000Z</x:v>
      </x:c>
      <x:c r="C1865" s="14" t="d">
        <x:v>2026-05-01T00:00:00.000Z</x:v>
      </x:c>
      <x:c r="D1865" s="34" t="str">
        <x:v>0005</x:v>
      </x:c>
      <x:c r="E1865" s="7" t="str">
        <x:v>Central</x:v>
      </x:c>
      <x:c r="F1865" s="7" t="n">
        <x:v>7</x:v>
      </x:c>
      <x:c r="G1865" s="7" t="n">
        <x:v>240</x:v>
      </x:c>
      <x:c r="H1865" s="9" t="n">
        <x:v>0</x:v>
      </x:c>
      <x:c r="I1865" s="7" t="n">
        <x:v>1680</x:v>
      </x:c>
    </x:row>
    <x:row r="1866" ht="23" customHeight="1">
      <x:c r="A1866" s="7" t="str">
        <x:v>INV01861</x:v>
      </x:c>
      <x:c r="B1866" s="15" t="d">
        <x:v>2026-05-26T00:00:00.000Z</x:v>
      </x:c>
      <x:c r="C1866" s="14" t="d">
        <x:v>2026-05-01T00:00:00.000Z</x:v>
      </x:c>
      <x:c r="D1866" s="34" t="str">
        <x:v>0006</x:v>
      </x:c>
      <x:c r="E1866" s="7" t="str">
        <x:v>Central</x:v>
      </x:c>
      <x:c r="F1866" s="7" t="n">
        <x:v>3</x:v>
      </x:c>
      <x:c r="G1866" s="7" t="n">
        <x:v>260</x:v>
      </x:c>
      <x:c r="H1866" s="9" t="n">
        <x:v>0.02</x:v>
      </x:c>
      <x:c r="I1866" s="7" t="n">
        <x:v>764.4</x:v>
      </x:c>
    </x:row>
    <x:row r="1867" ht="23" customHeight="1">
      <x:c r="A1867" s="7" t="str">
        <x:v>INV01862</x:v>
      </x:c>
      <x:c r="B1867" s="15" t="d">
        <x:v>2026-05-27T00:00:00.000Z</x:v>
      </x:c>
      <x:c r="C1867" s="14" t="d">
        <x:v>2026-05-01T00:00:00.000Z</x:v>
      </x:c>
      <x:c r="D1867" s="34" t="str">
        <x:v>0007</x:v>
      </x:c>
      <x:c r="E1867" s="7" t="str">
        <x:v>Central</x:v>
      </x:c>
      <x:c r="F1867" s="7" t="n">
        <x:v>1</x:v>
      </x:c>
      <x:c r="G1867" s="7" t="n">
        <x:v>280</x:v>
      </x:c>
      <x:c r="H1867" s="9" t="n">
        <x:v>0.05</x:v>
      </x:c>
      <x:c r="I1867" s="7" t="n">
        <x:v>266</x:v>
      </x:c>
    </x:row>
    <x:row r="1868" ht="23" customHeight="1">
      <x:c r="A1868" s="7" t="str">
        <x:v>INV01863</x:v>
      </x:c>
      <x:c r="B1868" s="15" t="d">
        <x:v>2026-05-01T00:00:00.000Z</x:v>
      </x:c>
      <x:c r="C1868" s="14" t="d">
        <x:v>2026-05-01T00:00:00.000Z</x:v>
      </x:c>
      <x:c r="D1868" s="34" t="str">
        <x:v>0008</x:v>
      </x:c>
      <x:c r="E1868" s="7" t="str">
        <x:v>Central</x:v>
      </x:c>
      <x:c r="F1868" s="7" t="n">
        <x:v>7</x:v>
      </x:c>
      <x:c r="G1868" s="7" t="n">
        <x:v>300</x:v>
      </x:c>
      <x:c r="H1868" s="9" t="n">
        <x:v>0</x:v>
      </x:c>
      <x:c r="I1868" s="7" t="n">
        <x:v>2100</x:v>
      </x:c>
    </x:row>
    <x:row r="1869" ht="23" customHeight="1">
      <x:c r="A1869" s="7" t="str">
        <x:v>INV01864</x:v>
      </x:c>
      <x:c r="B1869" s="15" t="d">
        <x:v>2026-05-02T00:00:00.000Z</x:v>
      </x:c>
      <x:c r="C1869" s="14" t="d">
        <x:v>2026-05-01T00:00:00.000Z</x:v>
      </x:c>
      <x:c r="D1869" s="34" t="str">
        <x:v>0001</x:v>
      </x:c>
      <x:c r="E1869" s="7" t="str">
        <x:v>East</x:v>
      </x:c>
      <x:c r="F1869" s="7" t="n">
        <x:v>1</x:v>
      </x:c>
      <x:c r="G1869" s="7" t="n">
        <x:v>160</x:v>
      </x:c>
      <x:c r="H1869" s="9" t="n">
        <x:v>0.02</x:v>
      </x:c>
      <x:c r="I1869" s="7" t="n">
        <x:v>156.8</x:v>
      </x:c>
    </x:row>
    <x:row r="1870" ht="23" customHeight="1">
      <x:c r="A1870" s="7" t="str">
        <x:v>INV01865</x:v>
      </x:c>
      <x:c r="B1870" s="15" t="d">
        <x:v>2026-05-03T00:00:00.000Z</x:v>
      </x:c>
      <x:c r="C1870" s="14" t="d">
        <x:v>2026-05-01T00:00:00.000Z</x:v>
      </x:c>
      <x:c r="D1870" s="34" t="str">
        <x:v>0002</x:v>
      </x:c>
      <x:c r="E1870" s="7" t="str">
        <x:v>East</x:v>
      </x:c>
      <x:c r="F1870" s="7" t="n">
        <x:v>7</x:v>
      </x:c>
      <x:c r="G1870" s="7" t="n">
        <x:v>180</x:v>
      </x:c>
      <x:c r="H1870" s="9" t="n">
        <x:v>0.05</x:v>
      </x:c>
      <x:c r="I1870" s="7" t="n">
        <x:v>1197</x:v>
      </x:c>
    </x:row>
    <x:row r="1871" ht="23" customHeight="1">
      <x:c r="A1871" s="7" t="str">
        <x:v>INV01866</x:v>
      </x:c>
      <x:c r="B1871" s="15" t="d">
        <x:v>2026-05-04T00:00:00.000Z</x:v>
      </x:c>
      <x:c r="C1871" s="14" t="d">
        <x:v>2026-05-01T00:00:00.000Z</x:v>
      </x:c>
      <x:c r="D1871" s="34" t="str">
        <x:v>0003</x:v>
      </x:c>
      <x:c r="E1871" s="7" t="str">
        <x:v>East</x:v>
      </x:c>
      <x:c r="F1871" s="7" t="n">
        <x:v>3</x:v>
      </x:c>
      <x:c r="G1871" s="7" t="n">
        <x:v>200</x:v>
      </x:c>
      <x:c r="H1871" s="9" t="n">
        <x:v>0</x:v>
      </x:c>
      <x:c r="I1871" s="7" t="n">
        <x:v>600</x:v>
      </x:c>
    </x:row>
    <x:row r="1872" ht="23" customHeight="1">
      <x:c r="A1872" s="7" t="str">
        <x:v>INV01867</x:v>
      </x:c>
      <x:c r="B1872" s="15" t="d">
        <x:v>2026-05-05T00:00:00.000Z</x:v>
      </x:c>
      <x:c r="C1872" s="14" t="d">
        <x:v>2026-05-01T00:00:00.000Z</x:v>
      </x:c>
      <x:c r="D1872" s="34" t="str">
        <x:v>0004</x:v>
      </x:c>
      <x:c r="E1872" s="7" t="str">
        <x:v>East</x:v>
      </x:c>
      <x:c r="F1872" s="7" t="n">
        <x:v>5</x:v>
      </x:c>
      <x:c r="G1872" s="7" t="n">
        <x:v>220</x:v>
      </x:c>
      <x:c r="H1872" s="9" t="n">
        <x:v>0.02</x:v>
      </x:c>
      <x:c r="I1872" s="7" t="n">
        <x:v>1078</x:v>
      </x:c>
    </x:row>
    <x:row r="1873" ht="23" customHeight="1">
      <x:c r="A1873" s="7" t="str">
        <x:v>INV01868</x:v>
      </x:c>
      <x:c r="B1873" s="15" t="d">
        <x:v>2026-05-06T00:00:00.000Z</x:v>
      </x:c>
      <x:c r="C1873" s="14" t="d">
        <x:v>2026-05-01T00:00:00.000Z</x:v>
      </x:c>
      <x:c r="D1873" s="34" t="str">
        <x:v>0005</x:v>
      </x:c>
      <x:c r="E1873" s="7" t="str">
        <x:v>East</x:v>
      </x:c>
      <x:c r="F1873" s="7" t="n">
        <x:v>5</x:v>
      </x:c>
      <x:c r="G1873" s="7" t="n">
        <x:v>240</x:v>
      </x:c>
      <x:c r="H1873" s="9" t="n">
        <x:v>0.05</x:v>
      </x:c>
      <x:c r="I1873" s="7" t="n">
        <x:v>1140</x:v>
      </x:c>
    </x:row>
    <x:row r="1874" ht="23" customHeight="1">
      <x:c r="A1874" s="7" t="str">
        <x:v>INV01869</x:v>
      </x:c>
      <x:c r="B1874" s="15" t="d">
        <x:v>2026-05-07T00:00:00.000Z</x:v>
      </x:c>
      <x:c r="C1874" s="14" t="d">
        <x:v>2026-05-01T00:00:00.000Z</x:v>
      </x:c>
      <x:c r="D1874" s="34" t="str">
        <x:v>0006</x:v>
      </x:c>
      <x:c r="E1874" s="7" t="str">
        <x:v>East</x:v>
      </x:c>
      <x:c r="F1874" s="7" t="n">
        <x:v>4</x:v>
      </x:c>
      <x:c r="G1874" s="7" t="n">
        <x:v>260</x:v>
      </x:c>
      <x:c r="H1874" s="9" t="n">
        <x:v>0</x:v>
      </x:c>
      <x:c r="I1874" s="7" t="n">
        <x:v>1040</x:v>
      </x:c>
    </x:row>
    <x:row r="1875" ht="23" customHeight="1">
      <x:c r="A1875" s="7" t="str">
        <x:v>INV01870</x:v>
      </x:c>
      <x:c r="B1875" s="15" t="d">
        <x:v>2026-05-08T00:00:00.000Z</x:v>
      </x:c>
      <x:c r="C1875" s="14" t="d">
        <x:v>2026-05-01T00:00:00.000Z</x:v>
      </x:c>
      <x:c r="D1875" s="34" t="str">
        <x:v>0007</x:v>
      </x:c>
      <x:c r="E1875" s="7" t="str">
        <x:v>East</x:v>
      </x:c>
      <x:c r="F1875" s="7" t="n">
        <x:v>6</x:v>
      </x:c>
      <x:c r="G1875" s="7" t="n">
        <x:v>280</x:v>
      </x:c>
      <x:c r="H1875" s="9" t="n">
        <x:v>0.02</x:v>
      </x:c>
      <x:c r="I1875" s="7" t="n">
        <x:v>1646.4</x:v>
      </x:c>
    </x:row>
    <x:row r="1876" ht="23" customHeight="1">
      <x:c r="A1876" s="7" t="str">
        <x:v>INV01871</x:v>
      </x:c>
      <x:c r="B1876" s="15" t="d">
        <x:v>2026-05-09T00:00:00.000Z</x:v>
      </x:c>
      <x:c r="C1876" s="14" t="d">
        <x:v>2026-05-01T00:00:00.000Z</x:v>
      </x:c>
      <x:c r="D1876" s="34" t="str">
        <x:v>0008</x:v>
      </x:c>
      <x:c r="E1876" s="7" t="str">
        <x:v>East</x:v>
      </x:c>
      <x:c r="F1876" s="7" t="n">
        <x:v>5</x:v>
      </x:c>
      <x:c r="G1876" s="7" t="n">
        <x:v>300</x:v>
      </x:c>
      <x:c r="H1876" s="9" t="n">
        <x:v>0.05</x:v>
      </x:c>
      <x:c r="I1876" s="7" t="n">
        <x:v>1425</x:v>
      </x:c>
    </x:row>
    <x:row r="1877" ht="23" customHeight="1">
      <x:c r="A1877" s="7" t="str">
        <x:v>INV01872</x:v>
      </x:c>
      <x:c r="B1877" s="15" t="d">
        <x:v>2026-05-10T00:00:00.000Z</x:v>
      </x:c>
      <x:c r="C1877" s="14" t="d">
        <x:v>2026-05-01T00:00:00.000Z</x:v>
      </x:c>
      <x:c r="D1877" s="34" t="str">
        <x:v>0001</x:v>
      </x:c>
      <x:c r="E1877" s="7" t="str">
        <x:v>West</x:v>
      </x:c>
      <x:c r="F1877" s="7" t="n">
        <x:v>1</x:v>
      </x:c>
      <x:c r="G1877" s="7" t="n">
        <x:v>160</x:v>
      </x:c>
      <x:c r="H1877" s="9" t="n">
        <x:v>0</x:v>
      </x:c>
      <x:c r="I1877" s="7" t="n">
        <x:v>160</x:v>
      </x:c>
    </x:row>
    <x:row r="1878" ht="23" customHeight="1">
      <x:c r="A1878" s="7" t="str">
        <x:v>INV01873</x:v>
      </x:c>
      <x:c r="B1878" s="15" t="d">
        <x:v>2026-05-11T00:00:00.000Z</x:v>
      </x:c>
      <x:c r="C1878" s="14" t="d">
        <x:v>2026-05-01T00:00:00.000Z</x:v>
      </x:c>
      <x:c r="D1878" s="34" t="str">
        <x:v>0002</x:v>
      </x:c>
      <x:c r="E1878" s="7" t="str">
        <x:v>West</x:v>
      </x:c>
      <x:c r="F1878" s="7" t="n">
        <x:v>3</x:v>
      </x:c>
      <x:c r="G1878" s="7" t="n">
        <x:v>180</x:v>
      </x:c>
      <x:c r="H1878" s="9" t="n">
        <x:v>0.02</x:v>
      </x:c>
      <x:c r="I1878" s="7" t="n">
        <x:v>529.2</x:v>
      </x:c>
    </x:row>
    <x:row r="1879" ht="23" customHeight="1">
      <x:c r="A1879" s="7" t="str">
        <x:v>INV01874</x:v>
      </x:c>
      <x:c r="B1879" s="15" t="d">
        <x:v>2026-05-12T00:00:00.000Z</x:v>
      </x:c>
      <x:c r="C1879" s="14" t="d">
        <x:v>2026-05-01T00:00:00.000Z</x:v>
      </x:c>
      <x:c r="D1879" s="34" t="str">
        <x:v>0003</x:v>
      </x:c>
      <x:c r="E1879" s="7" t="str">
        <x:v>West</x:v>
      </x:c>
      <x:c r="F1879" s="7" t="n">
        <x:v>7</x:v>
      </x:c>
      <x:c r="G1879" s="7" t="n">
        <x:v>200</x:v>
      </x:c>
      <x:c r="H1879" s="9" t="n">
        <x:v>0.05</x:v>
      </x:c>
      <x:c r="I1879" s="7" t="n">
        <x:v>1330</x:v>
      </x:c>
    </x:row>
    <x:row r="1880" ht="23" customHeight="1">
      <x:c r="A1880" s="7" t="str">
        <x:v>INV01875</x:v>
      </x:c>
      <x:c r="B1880" s="15" t="d">
        <x:v>2026-05-13T00:00:00.000Z</x:v>
      </x:c>
      <x:c r="C1880" s="14" t="d">
        <x:v>2026-05-01T00:00:00.000Z</x:v>
      </x:c>
      <x:c r="D1880" s="34" t="str">
        <x:v>0004</x:v>
      </x:c>
      <x:c r="E1880" s="7" t="str">
        <x:v>West</x:v>
      </x:c>
      <x:c r="F1880" s="7" t="n">
        <x:v>5</x:v>
      </x:c>
      <x:c r="G1880" s="7" t="n">
        <x:v>220</x:v>
      </x:c>
      <x:c r="H1880" s="9" t="n">
        <x:v>0</x:v>
      </x:c>
      <x:c r="I1880" s="7" t="n">
        <x:v>1100</x:v>
      </x:c>
    </x:row>
    <x:row r="1881" ht="23" customHeight="1">
      <x:c r="A1881" s="7" t="str">
        <x:v>INV01876</x:v>
      </x:c>
      <x:c r="B1881" s="15" t="d">
        <x:v>2026-05-14T00:00:00.000Z</x:v>
      </x:c>
      <x:c r="C1881" s="14" t="d">
        <x:v>2026-05-01T00:00:00.000Z</x:v>
      </x:c>
      <x:c r="D1881" s="34" t="str">
        <x:v>0005</x:v>
      </x:c>
      <x:c r="E1881" s="7" t="str">
        <x:v>West</x:v>
      </x:c>
      <x:c r="F1881" s="7" t="n">
        <x:v>3</x:v>
      </x:c>
      <x:c r="G1881" s="7" t="n">
        <x:v>240</x:v>
      </x:c>
      <x:c r="H1881" s="9" t="n">
        <x:v>0.02</x:v>
      </x:c>
      <x:c r="I1881" s="7" t="n">
        <x:v>705.6</x:v>
      </x:c>
    </x:row>
    <x:row r="1882" ht="23" customHeight="1">
      <x:c r="A1882" s="7" t="str">
        <x:v>INV01877</x:v>
      </x:c>
      <x:c r="B1882" s="15" t="d">
        <x:v>2026-05-15T00:00:00.000Z</x:v>
      </x:c>
      <x:c r="C1882" s="14" t="d">
        <x:v>2026-05-01T00:00:00.000Z</x:v>
      </x:c>
      <x:c r="D1882" s="34" t="str">
        <x:v>0006</x:v>
      </x:c>
      <x:c r="E1882" s="7" t="str">
        <x:v>West</x:v>
      </x:c>
      <x:c r="F1882" s="7" t="n">
        <x:v>7</x:v>
      </x:c>
      <x:c r="G1882" s="7" t="n">
        <x:v>260</x:v>
      </x:c>
      <x:c r="H1882" s="9" t="n">
        <x:v>0.05</x:v>
      </x:c>
      <x:c r="I1882" s="7" t="n">
        <x:v>1729</x:v>
      </x:c>
    </x:row>
    <x:row r="1883" ht="23" customHeight="1">
      <x:c r="A1883" s="7" t="str">
        <x:v>INV01878</x:v>
      </x:c>
      <x:c r="B1883" s="15" t="d">
        <x:v>2026-05-16T00:00:00.000Z</x:v>
      </x:c>
      <x:c r="C1883" s="14" t="d">
        <x:v>2026-05-01T00:00:00.000Z</x:v>
      </x:c>
      <x:c r="D1883" s="34" t="str">
        <x:v>0007</x:v>
      </x:c>
      <x:c r="E1883" s="7" t="str">
        <x:v>West</x:v>
      </x:c>
      <x:c r="F1883" s="7" t="n">
        <x:v>7</x:v>
      </x:c>
      <x:c r="G1883" s="7" t="n">
        <x:v>280</x:v>
      </x:c>
      <x:c r="H1883" s="9" t="n">
        <x:v>0</x:v>
      </x:c>
      <x:c r="I1883" s="7" t="n">
        <x:v>1960</x:v>
      </x:c>
    </x:row>
    <x:row r="1884" ht="23" customHeight="1">
      <x:c r="A1884" s="7" t="str">
        <x:v>INV01879</x:v>
      </x:c>
      <x:c r="B1884" s="15" t="d">
        <x:v>2026-05-17T00:00:00.000Z</x:v>
      </x:c>
      <x:c r="C1884" s="14" t="d">
        <x:v>2026-05-01T00:00:00.000Z</x:v>
      </x:c>
      <x:c r="D1884" s="34" t="str">
        <x:v>0008</x:v>
      </x:c>
      <x:c r="E1884" s="7" t="str">
        <x:v>West</x:v>
      </x:c>
      <x:c r="F1884" s="7" t="n">
        <x:v>5</x:v>
      </x:c>
      <x:c r="G1884" s="7" t="n">
        <x:v>300</x:v>
      </x:c>
      <x:c r="H1884" s="9" t="n">
        <x:v>0.02</x:v>
      </x:c>
      <x:c r="I1884" s="7" t="n">
        <x:v>1470</x:v>
      </x:c>
    </x:row>
    <x:row r="1885" ht="23" customHeight="1">
      <x:c r="A1885" s="7" t="str">
        <x:v>INV01880</x:v>
      </x:c>
      <x:c r="B1885" s="15" t="d">
        <x:v>2026-05-18T00:00:00.000Z</x:v>
      </x:c>
      <x:c r="C1885" s="14" t="d">
        <x:v>2026-05-01T00:00:00.000Z</x:v>
      </x:c>
      <x:c r="D1885" s="34" t="str">
        <x:v>0001</x:v>
      </x:c>
      <x:c r="E1885" s="7" t="str">
        <x:v>North</x:v>
      </x:c>
      <x:c r="F1885" s="7" t="n">
        <x:v>5</x:v>
      </x:c>
      <x:c r="G1885" s="7" t="n">
        <x:v>160</x:v>
      </x:c>
      <x:c r="H1885" s="9" t="n">
        <x:v>0.05</x:v>
      </x:c>
      <x:c r="I1885" s="7" t="n">
        <x:v>760</x:v>
      </x:c>
    </x:row>
    <x:row r="1886" ht="23" customHeight="1">
      <x:c r="A1886" s="7" t="str">
        <x:v>INV01881</x:v>
      </x:c>
      <x:c r="B1886" s="15" t="d">
        <x:v>2026-05-19T00:00:00.000Z</x:v>
      </x:c>
      <x:c r="C1886" s="14" t="d">
        <x:v>2026-05-01T00:00:00.000Z</x:v>
      </x:c>
      <x:c r="D1886" s="34" t="str">
        <x:v>0002</x:v>
      </x:c>
      <x:c r="E1886" s="7" t="str">
        <x:v>North</x:v>
      </x:c>
      <x:c r="F1886" s="7" t="n">
        <x:v>6</x:v>
      </x:c>
      <x:c r="G1886" s="7" t="n">
        <x:v>180</x:v>
      </x:c>
      <x:c r="H1886" s="9" t="n">
        <x:v>0</x:v>
      </x:c>
      <x:c r="I1886" s="7" t="n">
        <x:v>1080</x:v>
      </x:c>
    </x:row>
    <x:row r="1887" ht="23" customHeight="1">
      <x:c r="A1887" s="7" t="str">
        <x:v>INV01882</x:v>
      </x:c>
      <x:c r="B1887" s="15" t="d">
        <x:v>2026-05-20T00:00:00.000Z</x:v>
      </x:c>
      <x:c r="C1887" s="14" t="d">
        <x:v>2026-05-01T00:00:00.000Z</x:v>
      </x:c>
      <x:c r="D1887" s="34" t="str">
        <x:v>0003</x:v>
      </x:c>
      <x:c r="E1887" s="7" t="str">
        <x:v>North</x:v>
      </x:c>
      <x:c r="F1887" s="7" t="n">
        <x:v>2</x:v>
      </x:c>
      <x:c r="G1887" s="7" t="n">
        <x:v>200</x:v>
      </x:c>
      <x:c r="H1887" s="9" t="n">
        <x:v>0.02</x:v>
      </x:c>
      <x:c r="I1887" s="7" t="n">
        <x:v>392</x:v>
      </x:c>
    </x:row>
    <x:row r="1888" ht="23" customHeight="1">
      <x:c r="A1888" s="7" t="str">
        <x:v>INV01883</x:v>
      </x:c>
      <x:c r="B1888" s="15" t="d">
        <x:v>2026-05-21T00:00:00.000Z</x:v>
      </x:c>
      <x:c r="C1888" s="14" t="d">
        <x:v>2026-05-01T00:00:00.000Z</x:v>
      </x:c>
      <x:c r="D1888" s="34" t="str">
        <x:v>0004</x:v>
      </x:c>
      <x:c r="E1888" s="7" t="str">
        <x:v>North</x:v>
      </x:c>
      <x:c r="F1888" s="7" t="n">
        <x:v>1</x:v>
      </x:c>
      <x:c r="G1888" s="7" t="n">
        <x:v>220</x:v>
      </x:c>
      <x:c r="H1888" s="9" t="n">
        <x:v>0.05</x:v>
      </x:c>
      <x:c r="I1888" s="7" t="n">
        <x:v>209</x:v>
      </x:c>
    </x:row>
    <x:row r="1889" ht="23" customHeight="1">
      <x:c r="A1889" s="7" t="str">
        <x:v>INV01884</x:v>
      </x:c>
      <x:c r="B1889" s="15" t="d">
        <x:v>2026-05-22T00:00:00.000Z</x:v>
      </x:c>
      <x:c r="C1889" s="14" t="d">
        <x:v>2026-05-01T00:00:00.000Z</x:v>
      </x:c>
      <x:c r="D1889" s="34" t="str">
        <x:v>0005</x:v>
      </x:c>
      <x:c r="E1889" s="7" t="str">
        <x:v>North</x:v>
      </x:c>
      <x:c r="F1889" s="7" t="n">
        <x:v>5</x:v>
      </x:c>
      <x:c r="G1889" s="7" t="n">
        <x:v>240</x:v>
      </x:c>
      <x:c r="H1889" s="9" t="n">
        <x:v>0</x:v>
      </x:c>
      <x:c r="I1889" s="7" t="n">
        <x:v>1200</x:v>
      </x:c>
    </x:row>
    <x:row r="1890" ht="23" customHeight="1">
      <x:c r="A1890" s="7" t="str">
        <x:v>INV01885</x:v>
      </x:c>
      <x:c r="B1890" s="15" t="d">
        <x:v>2026-05-23T00:00:00.000Z</x:v>
      </x:c>
      <x:c r="C1890" s="14" t="d">
        <x:v>2026-05-01T00:00:00.000Z</x:v>
      </x:c>
      <x:c r="D1890" s="34" t="str">
        <x:v>0006</x:v>
      </x:c>
      <x:c r="E1890" s="7" t="str">
        <x:v>North</x:v>
      </x:c>
      <x:c r="F1890" s="7" t="n">
        <x:v>4</x:v>
      </x:c>
      <x:c r="G1890" s="7" t="n">
        <x:v>260</x:v>
      </x:c>
      <x:c r="H1890" s="9" t="n">
        <x:v>0.02</x:v>
      </x:c>
      <x:c r="I1890" s="7" t="n">
        <x:v>1019.2</x:v>
      </x:c>
    </x:row>
    <x:row r="1891" ht="23" customHeight="1">
      <x:c r="A1891" s="7" t="str">
        <x:v>INV01886</x:v>
      </x:c>
      <x:c r="B1891" s="15" t="d">
        <x:v>2026-05-24T00:00:00.000Z</x:v>
      </x:c>
      <x:c r="C1891" s="14" t="d">
        <x:v>2026-05-01T00:00:00.000Z</x:v>
      </x:c>
      <x:c r="D1891" s="34" t="str">
        <x:v>0007</x:v>
      </x:c>
      <x:c r="E1891" s="7" t="str">
        <x:v>North</x:v>
      </x:c>
      <x:c r="F1891" s="7" t="n">
        <x:v>-2</x:v>
      </x:c>
      <x:c r="G1891" s="7" t="n">
        <x:v>280</x:v>
      </x:c>
      <x:c r="H1891" s="9" t="n">
        <x:v>0.05</x:v>
      </x:c>
      <x:c r="I1891" s="7" t="n">
        <x:v>-532</x:v>
      </x:c>
    </x:row>
    <x:row r="1892" ht="23" customHeight="1">
      <x:c r="A1892" s="7" t="str">
        <x:v>INV01887</x:v>
      </x:c>
      <x:c r="B1892" s="15" t="d">
        <x:v>2026-05-25T00:00:00.000Z</x:v>
      </x:c>
      <x:c r="C1892" s="14" t="d">
        <x:v>2026-05-01T00:00:00.000Z</x:v>
      </x:c>
      <x:c r="D1892" s="34" t="str">
        <x:v>0008</x:v>
      </x:c>
      <x:c r="E1892" s="7" t="str">
        <x:v>North</x:v>
      </x:c>
      <x:c r="F1892" s="7" t="n">
        <x:v>3</x:v>
      </x:c>
      <x:c r="G1892" s="7" t="n">
        <x:v>300</x:v>
      </x:c>
      <x:c r="H1892" s="9" t="n">
        <x:v>0</x:v>
      </x:c>
      <x:c r="I1892" s="7" t="n">
        <x:v>900</x:v>
      </x:c>
    </x:row>
    <x:row r="1893" ht="23" customHeight="1">
      <x:c r="A1893" s="7" t="str">
        <x:v>INV01888</x:v>
      </x:c>
      <x:c r="B1893" s="15" t="d">
        <x:v>2026-06-26T00:00:00.000Z</x:v>
      </x:c>
      <x:c r="C1893" s="14" t="d">
        <x:v>2026-06-01T00:00:00.000Z</x:v>
      </x:c>
      <x:c r="D1893" s="34" t="str">
        <x:v>0001</x:v>
      </x:c>
      <x:c r="E1893" s="7" t="str">
        <x:v>Central</x:v>
      </x:c>
      <x:c r="F1893" s="7" t="n">
        <x:v>6</x:v>
      </x:c>
      <x:c r="G1893" s="7" t="n">
        <x:v>160</x:v>
      </x:c>
      <x:c r="H1893" s="9" t="n">
        <x:v>0.02</x:v>
      </x:c>
      <x:c r="I1893" s="7" t="n">
        <x:v>940.8</x:v>
      </x:c>
    </x:row>
    <x:row r="1894" ht="23" customHeight="1">
      <x:c r="A1894" s="7" t="str">
        <x:v>INV01889</x:v>
      </x:c>
      <x:c r="B1894" s="15" t="d">
        <x:v>2026-06-27T00:00:00.000Z</x:v>
      </x:c>
      <x:c r="C1894" s="14" t="d">
        <x:v>2026-06-01T00:00:00.000Z</x:v>
      </x:c>
      <x:c r="D1894" s="34" t="str">
        <x:v>0002</x:v>
      </x:c>
      <x:c r="E1894" s="7" t="str">
        <x:v>Central</x:v>
      </x:c>
      <x:c r="F1894" s="7" t="n">
        <x:v>4</x:v>
      </x:c>
      <x:c r="G1894" s="7" t="n">
        <x:v>180</x:v>
      </x:c>
      <x:c r="H1894" s="9" t="n">
        <x:v>0.05</x:v>
      </x:c>
      <x:c r="I1894" s="7" t="n">
        <x:v>684</x:v>
      </x:c>
    </x:row>
    <x:row r="1895" ht="23" customHeight="1">
      <x:c r="A1895" s="7" t="str">
        <x:v>INV01890</x:v>
      </x:c>
      <x:c r="B1895" s="15" t="d">
        <x:v>2026-06-01T00:00:00.000Z</x:v>
      </x:c>
      <x:c r="C1895" s="14" t="d">
        <x:v>2026-06-01T00:00:00.000Z</x:v>
      </x:c>
      <x:c r="D1895" s="34" t="str">
        <x:v>0003</x:v>
      </x:c>
      <x:c r="E1895" s="7" t="str">
        <x:v>Central</x:v>
      </x:c>
      <x:c r="F1895" s="7" t="n">
        <x:v>7</x:v>
      </x:c>
      <x:c r="G1895" s="7" t="n">
        <x:v>200</x:v>
      </x:c>
      <x:c r="H1895" s="9" t="n">
        <x:v>0</x:v>
      </x:c>
      <x:c r="I1895" s="7" t="n">
        <x:v>1400</x:v>
      </x:c>
    </x:row>
    <x:row r="1896" ht="23" customHeight="1">
      <x:c r="A1896" s="7" t="str">
        <x:v>INV01891</x:v>
      </x:c>
      <x:c r="B1896" s="15" t="d">
        <x:v>2026-06-02T00:00:00.000Z</x:v>
      </x:c>
      <x:c r="C1896" s="14" t="d">
        <x:v>2026-06-01T00:00:00.000Z</x:v>
      </x:c>
      <x:c r="D1896" s="34" t="str">
        <x:v>0004</x:v>
      </x:c>
      <x:c r="E1896" s="7" t="str">
        <x:v>Central</x:v>
      </x:c>
      <x:c r="F1896" s="7" t="n">
        <x:v>4</x:v>
      </x:c>
      <x:c r="G1896" s="7" t="n">
        <x:v>220</x:v>
      </x:c>
      <x:c r="H1896" s="9" t="n">
        <x:v>0.02</x:v>
      </x:c>
      <x:c r="I1896" s="7" t="n">
        <x:v>862.4</x:v>
      </x:c>
    </x:row>
    <x:row r="1897" ht="23" customHeight="1">
      <x:c r="A1897" s="7" t="str">
        <x:v>INV01892</x:v>
      </x:c>
      <x:c r="B1897" s="15" t="d">
        <x:v>2026-06-03T00:00:00.000Z</x:v>
      </x:c>
      <x:c r="C1897" s="14" t="d">
        <x:v>2026-06-01T00:00:00.000Z</x:v>
      </x:c>
      <x:c r="D1897" s="34" t="str">
        <x:v>0005</x:v>
      </x:c>
      <x:c r="E1897" s="7" t="str">
        <x:v>Central</x:v>
      </x:c>
      <x:c r="F1897" s="7" t="n">
        <x:v>3</x:v>
      </x:c>
      <x:c r="G1897" s="7" t="n">
        <x:v>240</x:v>
      </x:c>
      <x:c r="H1897" s="9" t="n">
        <x:v>0.05</x:v>
      </x:c>
      <x:c r="I1897" s="7" t="n">
        <x:v>684</x:v>
      </x:c>
    </x:row>
    <x:row r="1898" ht="23" customHeight="1">
      <x:c r="A1898" s="7" t="str">
        <x:v>INV01893</x:v>
      </x:c>
      <x:c r="B1898" s="15" t="d">
        <x:v>2026-06-04T00:00:00.000Z</x:v>
      </x:c>
      <x:c r="C1898" s="14" t="d">
        <x:v>2026-06-01T00:00:00.000Z</x:v>
      </x:c>
      <x:c r="D1898" s="34" t="str">
        <x:v>0006</x:v>
      </x:c>
      <x:c r="E1898" s="7" t="str">
        <x:v>Central</x:v>
      </x:c>
      <x:c r="F1898" s="7" t="n">
        <x:v>7</x:v>
      </x:c>
      <x:c r="G1898" s="7" t="n">
        <x:v>260</x:v>
      </x:c>
      <x:c r="H1898" s="9" t="n">
        <x:v>0</x:v>
      </x:c>
      <x:c r="I1898" s="7" t="n">
        <x:v>1820</x:v>
      </x:c>
    </x:row>
    <x:row r="1899" ht="23" customHeight="1">
      <x:c r="A1899" s="7" t="str">
        <x:v>INV01894</x:v>
      </x:c>
      <x:c r="B1899" s="15" t="d">
        <x:v>2026-06-05T00:00:00.000Z</x:v>
      </x:c>
      <x:c r="C1899" s="14" t="d">
        <x:v>2026-06-01T00:00:00.000Z</x:v>
      </x:c>
      <x:c r="D1899" s="34" t="str">
        <x:v>0007</x:v>
      </x:c>
      <x:c r="E1899" s="7" t="str">
        <x:v>Central</x:v>
      </x:c>
      <x:c r="F1899" s="7" t="n">
        <x:v>1</x:v>
      </x:c>
      <x:c r="G1899" s="7" t="n">
        <x:v>280</x:v>
      </x:c>
      <x:c r="H1899" s="9" t="n">
        <x:v>0.02</x:v>
      </x:c>
      <x:c r="I1899" s="7" t="n">
        <x:v>274.4</x:v>
      </x:c>
    </x:row>
    <x:row r="1900" ht="23" customHeight="1">
      <x:c r="A1900" s="7" t="str">
        <x:v>INV01895</x:v>
      </x:c>
      <x:c r="B1900" s="15" t="d">
        <x:v>2026-06-06T00:00:00.000Z</x:v>
      </x:c>
      <x:c r="C1900" s="14" t="d">
        <x:v>2026-06-01T00:00:00.000Z</x:v>
      </x:c>
      <x:c r="D1900" s="34" t="str">
        <x:v>0008</x:v>
      </x:c>
      <x:c r="E1900" s="7" t="str">
        <x:v>Central</x:v>
      </x:c>
      <x:c r="F1900" s="7" t="n">
        <x:v>6</x:v>
      </x:c>
      <x:c r="G1900" s="7" t="n">
        <x:v>300</x:v>
      </x:c>
      <x:c r="H1900" s="9" t="n">
        <x:v>0.05</x:v>
      </x:c>
      <x:c r="I1900" s="7" t="n">
        <x:v>1710</x:v>
      </x:c>
    </x:row>
    <x:row r="1901" ht="23" customHeight="1">
      <x:c r="A1901" s="7" t="str">
        <x:v>INV01896</x:v>
      </x:c>
      <x:c r="B1901" s="15" t="d">
        <x:v>2026-06-07T00:00:00.000Z</x:v>
      </x:c>
      <x:c r="C1901" s="14" t="d">
        <x:v>2026-06-01T00:00:00.000Z</x:v>
      </x:c>
      <x:c r="D1901" s="34" t="str">
        <x:v>0001</x:v>
      </x:c>
      <x:c r="E1901" s="7" t="str">
        <x:v>East</x:v>
      </x:c>
      <x:c r="F1901" s="7" t="n">
        <x:v>1</x:v>
      </x:c>
      <x:c r="G1901" s="7" t="n">
        <x:v>160</x:v>
      </x:c>
      <x:c r="H1901" s="9" t="n">
        <x:v>0</x:v>
      </x:c>
      <x:c r="I1901" s="7" t="n">
        <x:v>160</x:v>
      </x:c>
    </x:row>
    <x:row r="1902" ht="23" customHeight="1">
      <x:c r="A1902" s="7" t="str">
        <x:v>INV01897</x:v>
      </x:c>
      <x:c r="B1902" s="15" t="d">
        <x:v>2026-06-08T00:00:00.000Z</x:v>
      </x:c>
      <x:c r="C1902" s="14" t="d">
        <x:v>2026-06-01T00:00:00.000Z</x:v>
      </x:c>
      <x:c r="D1902" s="34" t="str">
        <x:v>0002</x:v>
      </x:c>
      <x:c r="E1902" s="7" t="str">
        <x:v>East</x:v>
      </x:c>
      <x:c r="F1902" s="7" t="n">
        <x:v>6</x:v>
      </x:c>
      <x:c r="G1902" s="7" t="n">
        <x:v>180</x:v>
      </x:c>
      <x:c r="H1902" s="9" t="n">
        <x:v>0.02</x:v>
      </x:c>
      <x:c r="I1902" s="7" t="n">
        <x:v>1058.4</x:v>
      </x:c>
    </x:row>
    <x:row r="1903" ht="23" customHeight="1">
      <x:c r="A1903" s="7" t="str">
        <x:v>INV01898</x:v>
      </x:c>
      <x:c r="B1903" s="15" t="d">
        <x:v>2026-06-09T00:00:00.000Z</x:v>
      </x:c>
      <x:c r="C1903" s="14" t="d">
        <x:v>2026-06-01T00:00:00.000Z</x:v>
      </x:c>
      <x:c r="D1903" s="34" t="str">
        <x:v>0003</x:v>
      </x:c>
      <x:c r="E1903" s="7" t="str">
        <x:v>East</x:v>
      </x:c>
      <x:c r="F1903" s="7" t="n">
        <x:v>5</x:v>
      </x:c>
      <x:c r="G1903" s="7" t="n">
        <x:v>200</x:v>
      </x:c>
      <x:c r="H1903" s="9" t="n">
        <x:v>0.05</x:v>
      </x:c>
      <x:c r="I1903" s="7" t="n">
        <x:v>950</x:v>
      </x:c>
    </x:row>
    <x:row r="1904" ht="23" customHeight="1">
      <x:c r="A1904" s="7" t="str">
        <x:v>INV01899</x:v>
      </x:c>
      <x:c r="B1904" s="15" t="d">
        <x:v>2026-06-10T00:00:00.000Z</x:v>
      </x:c>
      <x:c r="C1904" s="14" t="d">
        <x:v>2026-06-01T00:00:00.000Z</x:v>
      </x:c>
      <x:c r="D1904" s="34" t="str">
        <x:v>0004</x:v>
      </x:c>
      <x:c r="E1904" s="7" t="str">
        <x:v>East</x:v>
      </x:c>
      <x:c r="F1904" s="7" t="n">
        <x:v>3</x:v>
      </x:c>
      <x:c r="G1904" s="7" t="n">
        <x:v>220</x:v>
      </x:c>
      <x:c r="H1904" s="9" t="n">
        <x:v>0</x:v>
      </x:c>
      <x:c r="I1904" s="7" t="n">
        <x:v>660</x:v>
      </x:c>
    </x:row>
    <x:row r="1905" ht="23" customHeight="1">
      <x:c r="A1905" s="7" t="str">
        <x:v>INV01900</x:v>
      </x:c>
      <x:c r="B1905" s="15" t="d">
        <x:v>2026-06-11T00:00:00.000Z</x:v>
      </x:c>
      <x:c r="C1905" s="14" t="d">
        <x:v>2026-06-01T00:00:00.000Z</x:v>
      </x:c>
      <x:c r="D1905" s="34" t="str">
        <x:v>0005</x:v>
      </x:c>
      <x:c r="E1905" s="7" t="str">
        <x:v>East</x:v>
      </x:c>
      <x:c r="F1905" s="7" t="n">
        <x:v>2</x:v>
      </x:c>
      <x:c r="G1905" s="7" t="n">
        <x:v>240</x:v>
      </x:c>
      <x:c r="H1905" s="9" t="n">
        <x:v>0.02</x:v>
      </x:c>
      <x:c r="I1905" s="7" t="n">
        <x:v>470.4</x:v>
      </x:c>
    </x:row>
    <x:row r="1906" ht="23" customHeight="1">
      <x:c r="A1906" s="7" t="str">
        <x:v>INV01901</x:v>
      </x:c>
      <x:c r="B1906" s="15" t="d">
        <x:v>2026-06-12T00:00:00.000Z</x:v>
      </x:c>
      <x:c r="C1906" s="14" t="d">
        <x:v>2026-06-01T00:00:00.000Z</x:v>
      </x:c>
      <x:c r="D1906" s="34" t="str">
        <x:v>0006</x:v>
      </x:c>
      <x:c r="E1906" s="7" t="str">
        <x:v>East</x:v>
      </x:c>
      <x:c r="F1906" s="7" t="n">
        <x:v>7</x:v>
      </x:c>
      <x:c r="G1906" s="7" t="n">
        <x:v>260</x:v>
      </x:c>
      <x:c r="H1906" s="9" t="n">
        <x:v>0.05</x:v>
      </x:c>
      <x:c r="I1906" s="7" t="n">
        <x:v>1729</x:v>
      </x:c>
    </x:row>
    <x:row r="1907" ht="23" customHeight="1">
      <x:c r="A1907" s="7" t="str">
        <x:v>INV01902</x:v>
      </x:c>
      <x:c r="B1907" s="15" t="d">
        <x:v>2026-06-13T00:00:00.000Z</x:v>
      </x:c>
      <x:c r="C1907" s="14" t="d">
        <x:v>2026-06-01T00:00:00.000Z</x:v>
      </x:c>
      <x:c r="D1907" s="34" t="str">
        <x:v>0007</x:v>
      </x:c>
      <x:c r="E1907" s="7" t="str">
        <x:v>East</x:v>
      </x:c>
      <x:c r="F1907" s="7" t="n">
        <x:v>4</x:v>
      </x:c>
      <x:c r="G1907" s="7" t="n">
        <x:v>280</x:v>
      </x:c>
      <x:c r="H1907" s="9" t="n">
        <x:v>0</x:v>
      </x:c>
      <x:c r="I1907" s="7" t="n">
        <x:v>1120</x:v>
      </x:c>
    </x:row>
    <x:row r="1908" ht="23" customHeight="1">
      <x:c r="A1908" s="7" t="str">
        <x:v>INV01903</x:v>
      </x:c>
      <x:c r="B1908" s="15" t="d">
        <x:v>2026-06-14T00:00:00.000Z</x:v>
      </x:c>
      <x:c r="C1908" s="14" t="d">
        <x:v>2026-06-01T00:00:00.000Z</x:v>
      </x:c>
      <x:c r="D1908" s="34" t="str">
        <x:v>0008</x:v>
      </x:c>
      <x:c r="E1908" s="7" t="str">
        <x:v>East</x:v>
      </x:c>
      <x:c r="F1908" s="7" t="n">
        <x:v>4</x:v>
      </x:c>
      <x:c r="G1908" s="7" t="n">
        <x:v>300</x:v>
      </x:c>
      <x:c r="H1908" s="9" t="n">
        <x:v>0.02</x:v>
      </x:c>
      <x:c r="I1908" s="7" t="n">
        <x:v>1176</x:v>
      </x:c>
    </x:row>
    <x:row r="1909" ht="23" customHeight="1">
      <x:c r="A1909" s="7" t="str">
        <x:v>INV01904</x:v>
      </x:c>
      <x:c r="B1909" s="15" t="d">
        <x:v>2026-06-15T00:00:00.000Z</x:v>
      </x:c>
      <x:c r="C1909" s="14" t="d">
        <x:v>2026-06-01T00:00:00.000Z</x:v>
      </x:c>
      <x:c r="D1909" s="34" t="str">
        <x:v>0001</x:v>
      </x:c>
      <x:c r="E1909" s="7" t="str">
        <x:v>West</x:v>
      </x:c>
      <x:c r="F1909" s="7" t="n">
        <x:v>4</x:v>
      </x:c>
      <x:c r="G1909" s="7" t="n">
        <x:v>160</x:v>
      </x:c>
      <x:c r="H1909" s="9" t="n">
        <x:v>0.05</x:v>
      </x:c>
      <x:c r="I1909" s="7" t="n">
        <x:v>608</x:v>
      </x:c>
    </x:row>
    <x:row r="1910" ht="23" customHeight="1">
      <x:c r="A1910" s="7" t="str">
        <x:v>INV01905</x:v>
      </x:c>
      <x:c r="B1910" s="15" t="d">
        <x:v>2026-06-16T00:00:00.000Z</x:v>
      </x:c>
      <x:c r="C1910" s="14" t="d">
        <x:v>2026-06-01T00:00:00.000Z</x:v>
      </x:c>
      <x:c r="D1910" s="34" t="str">
        <x:v>0002</x:v>
      </x:c>
      <x:c r="E1910" s="7" t="str">
        <x:v>West</x:v>
      </x:c>
      <x:c r="F1910" s="7" t="n">
        <x:v>6</x:v>
      </x:c>
      <x:c r="G1910" s="7" t="n">
        <x:v>180</x:v>
      </x:c>
      <x:c r="H1910" s="9" t="n">
        <x:v>0</x:v>
      </x:c>
      <x:c r="I1910" s="7" t="n">
        <x:v>1080</x:v>
      </x:c>
    </x:row>
    <x:row r="1911" ht="23" customHeight="1">
      <x:c r="A1911" s="7" t="str">
        <x:v>INV01906</x:v>
      </x:c>
      <x:c r="B1911" s="15" t="d">
        <x:v>2026-06-17T00:00:00.000Z</x:v>
      </x:c>
      <x:c r="C1911" s="14" t="d">
        <x:v>2026-06-01T00:00:00.000Z</x:v>
      </x:c>
      <x:c r="D1911" s="34" t="str">
        <x:v>0003</x:v>
      </x:c>
      <x:c r="E1911" s="7" t="str">
        <x:v>West</x:v>
      </x:c>
      <x:c r="F1911" s="7" t="n">
        <x:v>1</x:v>
      </x:c>
      <x:c r="G1911" s="7" t="n">
        <x:v>200</x:v>
      </x:c>
      <x:c r="H1911" s="9" t="n">
        <x:v>0.02</x:v>
      </x:c>
      <x:c r="I1911" s="7" t="n">
        <x:v>196</x:v>
      </x:c>
    </x:row>
    <x:row r="1912" ht="23" customHeight="1">
      <x:c r="A1912" s="7" t="str">
        <x:v>INV01907</x:v>
      </x:c>
      <x:c r="B1912" s="15" t="d">
        <x:v>2026-06-18T00:00:00.000Z</x:v>
      </x:c>
      <x:c r="C1912" s="14" t="d">
        <x:v>2026-06-01T00:00:00.000Z</x:v>
      </x:c>
      <x:c r="D1912" s="34" t="str">
        <x:v>0004</x:v>
      </x:c>
      <x:c r="E1912" s="7" t="str">
        <x:v>West</x:v>
      </x:c>
      <x:c r="F1912" s="7" t="n">
        <x:v>3</x:v>
      </x:c>
      <x:c r="G1912" s="7" t="n">
        <x:v>220</x:v>
      </x:c>
      <x:c r="H1912" s="9" t="n">
        <x:v>0.05</x:v>
      </x:c>
      <x:c r="I1912" s="7" t="n">
        <x:v>627</x:v>
      </x:c>
    </x:row>
    <x:row r="1913" ht="23" customHeight="1">
      <x:c r="A1913" s="7" t="str">
        <x:v>INV01908</x:v>
      </x:c>
      <x:c r="B1913" s="15" t="d">
        <x:v>2026-06-19T00:00:00.000Z</x:v>
      </x:c>
      <x:c r="C1913" s="14" t="d">
        <x:v>2026-06-01T00:00:00.000Z</x:v>
      </x:c>
      <x:c r="D1913" s="34" t="str">
        <x:v>0005</x:v>
      </x:c>
      <x:c r="E1913" s="7" t="str">
        <x:v>West</x:v>
      </x:c>
      <x:c r="F1913" s="7" t="n">
        <x:v>2</x:v>
      </x:c>
      <x:c r="G1913" s="7" t="n">
        <x:v>240</x:v>
      </x:c>
      <x:c r="H1913" s="9" t="n">
        <x:v>0</x:v>
      </x:c>
      <x:c r="I1913" s="7" t="n">
        <x:v>480</x:v>
      </x:c>
    </x:row>
    <x:row r="1914" ht="23" customHeight="1">
      <x:c r="A1914" s="7" t="str">
        <x:v>INV01909</x:v>
      </x:c>
      <x:c r="B1914" s="15" t="d">
        <x:v>2026-06-20T00:00:00.000Z</x:v>
      </x:c>
      <x:c r="C1914" s="14" t="d">
        <x:v>2026-06-01T00:00:00.000Z</x:v>
      </x:c>
      <x:c r="D1914" s="34" t="str">
        <x:v>0006</x:v>
      </x:c>
      <x:c r="E1914" s="7" t="str">
        <x:v>West</x:v>
      </x:c>
      <x:c r="F1914" s="7" t="n">
        <x:v>1</x:v>
      </x:c>
      <x:c r="G1914" s="7" t="n">
        <x:v>260</x:v>
      </x:c>
      <x:c r="H1914" s="9" t="n">
        <x:v>0.02</x:v>
      </x:c>
      <x:c r="I1914" s="7" t="n">
        <x:v>254.8</x:v>
      </x:c>
    </x:row>
    <x:row r="1915" ht="23" customHeight="1">
      <x:c r="A1915" s="7" t="str">
        <x:v>INV01910</x:v>
      </x:c>
      <x:c r="B1915" s="15" t="d">
        <x:v>2026-06-21T00:00:00.000Z</x:v>
      </x:c>
      <x:c r="C1915" s="14" t="d">
        <x:v>2026-06-01T00:00:00.000Z</x:v>
      </x:c>
      <x:c r="D1915" s="34" t="str">
        <x:v>0007</x:v>
      </x:c>
      <x:c r="E1915" s="7" t="str">
        <x:v>West</x:v>
      </x:c>
      <x:c r="F1915" s="7" t="n">
        <x:v>3</x:v>
      </x:c>
      <x:c r="G1915" s="7" t="n">
        <x:v>280</x:v>
      </x:c>
      <x:c r="H1915" s="9" t="n">
        <x:v>0.05</x:v>
      </x:c>
      <x:c r="I1915" s="7" t="n">
        <x:v>798</x:v>
      </x:c>
    </x:row>
    <x:row r="1916" ht="23" customHeight="1">
      <x:c r="A1916" s="7" t="str">
        <x:v>INV01911</x:v>
      </x:c>
      <x:c r="B1916" s="15" t="d">
        <x:v>2026-06-22T00:00:00.000Z</x:v>
      </x:c>
      <x:c r="C1916" s="14" t="d">
        <x:v>2026-06-01T00:00:00.000Z</x:v>
      </x:c>
      <x:c r="D1916" s="34" t="str">
        <x:v>0008</x:v>
      </x:c>
      <x:c r="E1916" s="7" t="str">
        <x:v>West</x:v>
      </x:c>
      <x:c r="F1916" s="7" t="n">
        <x:v>1</x:v>
      </x:c>
      <x:c r="G1916" s="7" t="n">
        <x:v>300</x:v>
      </x:c>
      <x:c r="H1916" s="9" t="n">
        <x:v>0</x:v>
      </x:c>
      <x:c r="I1916" s="7" t="n">
        <x:v>300</x:v>
      </x:c>
    </x:row>
    <x:row r="1917" ht="23" customHeight="1">
      <x:c r="A1917" s="7" t="str">
        <x:v>INV01912</x:v>
      </x:c>
      <x:c r="B1917" s="15" t="d">
        <x:v>2026-06-23T00:00:00.000Z</x:v>
      </x:c>
      <x:c r="C1917" s="14" t="d">
        <x:v>2026-06-01T00:00:00.000Z</x:v>
      </x:c>
      <x:c r="D1917" s="34" t="str">
        <x:v>0001</x:v>
      </x:c>
      <x:c r="E1917" s="7" t="str">
        <x:v>North</x:v>
      </x:c>
      <x:c r="F1917" s="7" t="n">
        <x:v>7</x:v>
      </x:c>
      <x:c r="G1917" s="7" t="n">
        <x:v>160</x:v>
      </x:c>
      <x:c r="H1917" s="9" t="n">
        <x:v>0.02</x:v>
      </x:c>
      <x:c r="I1917" s="7" t="n">
        <x:v>1097.6</x:v>
      </x:c>
    </x:row>
    <x:row r="1918" ht="23" customHeight="1">
      <x:c r="A1918" s="7" t="str">
        <x:v>INV01913</x:v>
      </x:c>
      <x:c r="B1918" s="15" t="d">
        <x:v>2026-06-24T00:00:00.000Z</x:v>
      </x:c>
      <x:c r="C1918" s="14" t="d">
        <x:v>2026-06-01T00:00:00.000Z</x:v>
      </x:c>
      <x:c r="D1918" s="34" t="str">
        <x:v>0002</x:v>
      </x:c>
      <x:c r="E1918" s="7" t="str">
        <x:v>North</x:v>
      </x:c>
      <x:c r="F1918" s="7" t="n">
        <x:v>7</x:v>
      </x:c>
      <x:c r="G1918" s="7" t="n">
        <x:v>180</x:v>
      </x:c>
      <x:c r="H1918" s="9" t="n">
        <x:v>0.05</x:v>
      </x:c>
      <x:c r="I1918" s="7" t="n">
        <x:v>1197</x:v>
      </x:c>
    </x:row>
    <x:row r="1919" ht="23" customHeight="1">
      <x:c r="A1919" s="7" t="str">
        <x:v>INV01914</x:v>
      </x:c>
      <x:c r="B1919" s="15" t="d">
        <x:v>2026-06-25T00:00:00.000Z</x:v>
      </x:c>
      <x:c r="C1919" s="14" t="d">
        <x:v>2026-06-01T00:00:00.000Z</x:v>
      </x:c>
      <x:c r="D1919" s="34" t="str">
        <x:v>0003</x:v>
      </x:c>
      <x:c r="E1919" s="7" t="str">
        <x:v>North</x:v>
      </x:c>
      <x:c r="F1919" s="7" t="n">
        <x:v>1</x:v>
      </x:c>
      <x:c r="G1919" s="7" t="n">
        <x:v>200</x:v>
      </x:c>
      <x:c r="H1919" s="9" t="n">
        <x:v>0</x:v>
      </x:c>
      <x:c r="I1919" s="7" t="n">
        <x:v>200</x:v>
      </x:c>
    </x:row>
    <x:row r="1920" ht="23" customHeight="1">
      <x:c r="A1920" s="7" t="str">
        <x:v>INV01915</x:v>
      </x:c>
      <x:c r="B1920" s="15" t="d">
        <x:v>2026-06-26T00:00:00.000Z</x:v>
      </x:c>
      <x:c r="C1920" s="14" t="d">
        <x:v>2026-06-01T00:00:00.000Z</x:v>
      </x:c>
      <x:c r="D1920" s="34" t="str">
        <x:v>0004</x:v>
      </x:c>
      <x:c r="E1920" s="7" t="str">
        <x:v>North</x:v>
      </x:c>
      <x:c r="F1920" s="7" t="n">
        <x:v>7</x:v>
      </x:c>
      <x:c r="G1920" s="7" t="n">
        <x:v>220</x:v>
      </x:c>
      <x:c r="H1920" s="9" t="n">
        <x:v>0.02</x:v>
      </x:c>
      <x:c r="I1920" s="7" t="n">
        <x:v>1509.2</x:v>
      </x:c>
    </x:row>
    <x:row r="1921" ht="23" customHeight="1">
      <x:c r="A1921" s="7" t="str">
        <x:v>INV01916</x:v>
      </x:c>
      <x:c r="B1921" s="15" t="d">
        <x:v>2026-06-27T00:00:00.000Z</x:v>
      </x:c>
      <x:c r="C1921" s="14" t="d">
        <x:v>2026-06-01T00:00:00.000Z</x:v>
      </x:c>
      <x:c r="D1921" s="34" t="str">
        <x:v>0005</x:v>
      </x:c>
      <x:c r="E1921" s="7" t="str">
        <x:v>North</x:v>
      </x:c>
      <x:c r="F1921" s="7" t="n">
        <x:v>7</x:v>
      </x:c>
      <x:c r="G1921" s="7" t="n">
        <x:v>240</x:v>
      </x:c>
      <x:c r="H1921" s="9" t="n">
        <x:v>0.05</x:v>
      </x:c>
      <x:c r="I1921" s="7" t="n">
        <x:v>1596</x:v>
      </x:c>
    </x:row>
    <x:row r="1922" ht="23" customHeight="1">
      <x:c r="A1922" s="7" t="str">
        <x:v>INV01917</x:v>
      </x:c>
      <x:c r="B1922" s="15" t="d">
        <x:v>2026-06-01T00:00:00.000Z</x:v>
      </x:c>
      <x:c r="C1922" s="14" t="d">
        <x:v>2026-06-01T00:00:00.000Z</x:v>
      </x:c>
      <x:c r="D1922" s="34" t="str">
        <x:v>0006</x:v>
      </x:c>
      <x:c r="E1922" s="7" t="str">
        <x:v>North</x:v>
      </x:c>
      <x:c r="F1922" s="7" t="n">
        <x:v>4</x:v>
      </x:c>
      <x:c r="G1922" s="7" t="n">
        <x:v>260</x:v>
      </x:c>
      <x:c r="H1922" s="9" t="n">
        <x:v>0</x:v>
      </x:c>
      <x:c r="I1922" s="7" t="n">
        <x:v>1040</x:v>
      </x:c>
    </x:row>
    <x:row r="1923" ht="23" customHeight="1">
      <x:c r="A1923" s="7" t="str">
        <x:v>INV01918</x:v>
      </x:c>
      <x:c r="B1923" s="15" t="d">
        <x:v>2026-06-02T00:00:00.000Z</x:v>
      </x:c>
      <x:c r="C1923" s="14" t="d">
        <x:v>2026-06-01T00:00:00.000Z</x:v>
      </x:c>
      <x:c r="D1923" s="34" t="str">
        <x:v>0007</x:v>
      </x:c>
      <x:c r="E1923" s="7" t="str">
        <x:v>North</x:v>
      </x:c>
      <x:c r="F1923" s="7" t="n">
        <x:v>1</x:v>
      </x:c>
      <x:c r="G1923" s="7" t="n">
        <x:v>280</x:v>
      </x:c>
      <x:c r="H1923" s="9" t="n">
        <x:v>0.02</x:v>
      </x:c>
      <x:c r="I1923" s="7" t="n">
        <x:v>274.4</x:v>
      </x:c>
    </x:row>
    <x:row r="1924" ht="23" customHeight="1">
      <x:c r="A1924" s="7" t="str">
        <x:v>INV01919</x:v>
      </x:c>
      <x:c r="B1924" s="15" t="d">
        <x:v>2026-06-03T00:00:00.000Z</x:v>
      </x:c>
      <x:c r="C1924" s="14" t="d">
        <x:v>2026-06-01T00:00:00.000Z</x:v>
      </x:c>
      <x:c r="D1924" s="34" t="str">
        <x:v>0008</x:v>
      </x:c>
      <x:c r="E1924" s="7" t="str">
        <x:v>North</x:v>
      </x:c>
      <x:c r="F1924" s="7" t="n">
        <x:v>3</x:v>
      </x:c>
      <x:c r="G1924" s="7" t="n">
        <x:v>300</x:v>
      </x:c>
      <x:c r="H1924" s="9" t="n">
        <x:v>0.05</x:v>
      </x:c>
      <x:c r="I1924" s="7" t="n">
        <x:v>855</x:v>
      </x:c>
    </x:row>
    <x:row r="1925" ht="23" customHeight="1">
      <x:c r="A1925" s="7" t="str">
        <x:v>INV01920</x:v>
      </x:c>
      <x:c r="B1925" s="15" t="d">
        <x:v>2026-01-04T00:00:00.000Z</x:v>
      </x:c>
      <x:c r="C1925" s="14" t="d">
        <x:v>2026-01-01T00:00:00.000Z</x:v>
      </x:c>
      <x:c r="D1925" s="34" t="str">
        <x:v>0001</x:v>
      </x:c>
      <x:c r="E1925" s="7" t="str">
        <x:v>Central</x:v>
      </x:c>
      <x:c r="F1925" s="7" t="n">
        <x:v>3</x:v>
      </x:c>
      <x:c r="G1925" s="7" t="n">
        <x:v>160</x:v>
      </x:c>
      <x:c r="H1925" s="9" t="n">
        <x:v>0</x:v>
      </x:c>
      <x:c r="I1925" s="7" t="n">
        <x:v>480</x:v>
      </x:c>
    </x:row>
    <x:row r="1926" ht="23" customHeight="1">
      <x:c r="A1926" s="7" t="str">
        <x:v>INV01921</x:v>
      </x:c>
      <x:c r="B1926" s="15" t="d">
        <x:v>2026-01-05T00:00:00.000Z</x:v>
      </x:c>
      <x:c r="C1926" s="14" t="d">
        <x:v>2026-01-01T00:00:00.000Z</x:v>
      </x:c>
      <x:c r="D1926" s="34" t="str">
        <x:v>0002</x:v>
      </x:c>
      <x:c r="E1926" s="7" t="str">
        <x:v>Central</x:v>
      </x:c>
      <x:c r="F1926" s="7" t="n">
        <x:v>7</x:v>
      </x:c>
      <x:c r="G1926" s="7" t="n">
        <x:v>180</x:v>
      </x:c>
      <x:c r="H1926" s="9" t="n">
        <x:v>0.02</x:v>
      </x:c>
      <x:c r="I1926" s="7" t="n">
        <x:v>1234.8</x:v>
      </x:c>
    </x:row>
    <x:row r="1927" ht="23" customHeight="1">
      <x:c r="A1927" s="7" t="str">
        <x:v>INV01922</x:v>
      </x:c>
      <x:c r="B1927" s="15" t="d">
        <x:v>2026-01-06T00:00:00.000Z</x:v>
      </x:c>
      <x:c r="C1927" s="14" t="d">
        <x:v>2026-01-01T00:00:00.000Z</x:v>
      </x:c>
      <x:c r="D1927" s="34" t="str">
        <x:v>0003</x:v>
      </x:c>
      <x:c r="E1927" s="7" t="str">
        <x:v>Central</x:v>
      </x:c>
      <x:c r="F1927" s="7" t="n">
        <x:v>4</x:v>
      </x:c>
      <x:c r="G1927" s="7" t="n">
        <x:v>200</x:v>
      </x:c>
      <x:c r="H1927" s="9" t="n">
        <x:v>0.05</x:v>
      </x:c>
      <x:c r="I1927" s="7" t="n">
        <x:v>760</x:v>
      </x:c>
    </x:row>
    <x:row r="1928" ht="23" customHeight="1">
      <x:c r="A1928" s="7" t="str">
        <x:v>INV01923</x:v>
      </x:c>
      <x:c r="B1928" s="15" t="d">
        <x:v>2026-01-07T00:00:00.000Z</x:v>
      </x:c>
      <x:c r="C1928" s="14" t="d">
        <x:v>2026-01-01T00:00:00.000Z</x:v>
      </x:c>
      <x:c r="D1928" s="34" t="str">
        <x:v>0004</x:v>
      </x:c>
      <x:c r="E1928" s="7" t="str">
        <x:v>Central</x:v>
      </x:c>
      <x:c r="F1928" s="7" t="n">
        <x:v>6</x:v>
      </x:c>
      <x:c r="G1928" s="7" t="n">
        <x:v>220</x:v>
      </x:c>
      <x:c r="H1928" s="9" t="n">
        <x:v>0</x:v>
      </x:c>
      <x:c r="I1928" s="7" t="n">
        <x:v>1320</x:v>
      </x:c>
    </x:row>
    <x:row r="1929" ht="23" customHeight="1">
      <x:c r="A1929" s="7" t="str">
        <x:v>INV01924</x:v>
      </x:c>
      <x:c r="B1929" s="15" t="d">
        <x:v>2026-01-08T00:00:00.000Z</x:v>
      </x:c>
      <x:c r="C1929" s="14" t="d">
        <x:v>2026-01-01T00:00:00.000Z</x:v>
      </x:c>
      <x:c r="D1929" s="34" t="str">
        <x:v>0005</x:v>
      </x:c>
      <x:c r="E1929" s="7" t="str">
        <x:v>Central</x:v>
      </x:c>
      <x:c r="F1929" s="7" t="n">
        <x:v>6</x:v>
      </x:c>
      <x:c r="G1929" s="7" t="n">
        <x:v>240</x:v>
      </x:c>
      <x:c r="H1929" s="9" t="n">
        <x:v>0.02</x:v>
      </x:c>
      <x:c r="I1929" s="7" t="n">
        <x:v>1411.2</x:v>
      </x:c>
    </x:row>
    <x:row r="1930" ht="23" customHeight="1">
      <x:c r="A1930" s="7" t="str">
        <x:v>INV01925</x:v>
      </x:c>
      <x:c r="B1930" s="15" t="d">
        <x:v>2026-01-09T00:00:00.000Z</x:v>
      </x:c>
      <x:c r="C1930" s="14" t="d">
        <x:v>2026-01-01T00:00:00.000Z</x:v>
      </x:c>
      <x:c r="D1930" s="34" t="str">
        <x:v>0006</x:v>
      </x:c>
      <x:c r="E1930" s="7" t="str">
        <x:v>Central</x:v>
      </x:c>
      <x:c r="F1930" s="7" t="n">
        <x:v>4</x:v>
      </x:c>
      <x:c r="G1930" s="7" t="n">
        <x:v>260</x:v>
      </x:c>
      <x:c r="H1930" s="9" t="n">
        <x:v>0.05</x:v>
      </x:c>
      <x:c r="I1930" s="7" t="n">
        <x:v>988</x:v>
      </x:c>
    </x:row>
    <x:row r="1931" ht="23" customHeight="1">
      <x:c r="A1931" s="7" t="str">
        <x:v>INV01926</x:v>
      </x:c>
      <x:c r="B1931" s="15" t="d">
        <x:v>2026-01-10T00:00:00.000Z</x:v>
      </x:c>
      <x:c r="C1931" s="14" t="d">
        <x:v>2026-01-01T00:00:00.000Z</x:v>
      </x:c>
      <x:c r="D1931" s="34" t="str">
        <x:v>0007</x:v>
      </x:c>
      <x:c r="E1931" s="7" t="str">
        <x:v>Central</x:v>
      </x:c>
      <x:c r="F1931" s="7" t="n">
        <x:v>4</x:v>
      </x:c>
      <x:c r="G1931" s="7" t="n">
        <x:v>280</x:v>
      </x:c>
      <x:c r="H1931" s="9" t="n">
        <x:v>0</x:v>
      </x:c>
      <x:c r="I1931" s="7" t="n">
        <x:v>1120</x:v>
      </x:c>
    </x:row>
    <x:row r="1932" ht="23" customHeight="1">
      <x:c r="A1932" s="7" t="str">
        <x:v>INV01927</x:v>
      </x:c>
      <x:c r="B1932" s="15" t="d">
        <x:v>2026-01-11T00:00:00.000Z</x:v>
      </x:c>
      <x:c r="C1932" s="14" t="d">
        <x:v>2026-01-01T00:00:00.000Z</x:v>
      </x:c>
      <x:c r="D1932" s="34" t="str">
        <x:v>0008</x:v>
      </x:c>
      <x:c r="E1932" s="7" t="str">
        <x:v>Central</x:v>
      </x:c>
      <x:c r="F1932" s="7" t="n">
        <x:v>-1</x:v>
      </x:c>
      <x:c r="G1932" s="7" t="n">
        <x:v>300</x:v>
      </x:c>
      <x:c r="H1932" s="9" t="n">
        <x:v>0.02</x:v>
      </x:c>
      <x:c r="I1932" s="7" t="n">
        <x:v>-294</x:v>
      </x:c>
    </x:row>
    <x:row r="1933" ht="23" customHeight="1">
      <x:c r="A1933" s="7" t="str">
        <x:v>INV01928</x:v>
      </x:c>
      <x:c r="B1933" s="15" t="d">
        <x:v>2026-01-12T00:00:00.000Z</x:v>
      </x:c>
      <x:c r="C1933" s="14" t="d">
        <x:v>2026-01-01T00:00:00.000Z</x:v>
      </x:c>
      <x:c r="D1933" s="34" t="str">
        <x:v>0001</x:v>
      </x:c>
      <x:c r="E1933" s="7" t="str">
        <x:v>East</x:v>
      </x:c>
      <x:c r="F1933" s="7" t="n">
        <x:v>7</x:v>
      </x:c>
      <x:c r="G1933" s="7" t="n">
        <x:v>160</x:v>
      </x:c>
      <x:c r="H1933" s="9" t="n">
        <x:v>0.05</x:v>
      </x:c>
      <x:c r="I1933" s="7" t="n">
        <x:v>1064</x:v>
      </x:c>
    </x:row>
    <x:row r="1934" ht="23" customHeight="1">
      <x:c r="A1934" s="7" t="str">
        <x:v>INV01929</x:v>
      </x:c>
      <x:c r="B1934" s="15" t="d">
        <x:v>2026-01-13T00:00:00.000Z</x:v>
      </x:c>
      <x:c r="C1934" s="14" t="d">
        <x:v>2026-01-01T00:00:00.000Z</x:v>
      </x:c>
      <x:c r="D1934" s="34" t="str">
        <x:v>0002</x:v>
      </x:c>
      <x:c r="E1934" s="7" t="str">
        <x:v>East</x:v>
      </x:c>
      <x:c r="F1934" s="7" t="n">
        <x:v>7</x:v>
      </x:c>
      <x:c r="G1934" s="7" t="n">
        <x:v>180</x:v>
      </x:c>
      <x:c r="H1934" s="9" t="n">
        <x:v>0</x:v>
      </x:c>
      <x:c r="I1934" s="7" t="n">
        <x:v>1260</x:v>
      </x:c>
    </x:row>
    <x:row r="1935" ht="23" customHeight="1">
      <x:c r="A1935" s="7" t="str">
        <x:v>INV01930</x:v>
      </x:c>
      <x:c r="B1935" s="15" t="d">
        <x:v>2026-01-14T00:00:00.000Z</x:v>
      </x:c>
      <x:c r="C1935" s="14" t="d">
        <x:v>2026-01-01T00:00:00.000Z</x:v>
      </x:c>
      <x:c r="D1935" s="34" t="str">
        <x:v>0003</x:v>
      </x:c>
      <x:c r="E1935" s="7" t="str">
        <x:v>East</x:v>
      </x:c>
      <x:c r="F1935" s="7" t="n">
        <x:v>3</x:v>
      </x:c>
      <x:c r="G1935" s="7" t="n">
        <x:v>200</x:v>
      </x:c>
      <x:c r="H1935" s="9" t="n">
        <x:v>0.02</x:v>
      </x:c>
      <x:c r="I1935" s="7" t="n">
        <x:v>588</x:v>
      </x:c>
    </x:row>
    <x:row r="1936" ht="23" customHeight="1">
      <x:c r="A1936" s="7" t="str">
        <x:v>INV01931</x:v>
      </x:c>
      <x:c r="B1936" s="15" t="d">
        <x:v>2026-01-15T00:00:00.000Z</x:v>
      </x:c>
      <x:c r="C1936" s="14" t="d">
        <x:v>2026-01-01T00:00:00.000Z</x:v>
      </x:c>
      <x:c r="D1936" s="34" t="str">
        <x:v>0004</x:v>
      </x:c>
      <x:c r="E1936" s="7" t="str">
        <x:v>East</x:v>
      </x:c>
      <x:c r="F1936" s="7" t="n">
        <x:v>7</x:v>
      </x:c>
      <x:c r="G1936" s="7" t="n">
        <x:v>220</x:v>
      </x:c>
      <x:c r="H1936" s="9" t="n">
        <x:v>0.05</x:v>
      </x:c>
      <x:c r="I1936" s="7" t="n">
        <x:v>1463</x:v>
      </x:c>
    </x:row>
    <x:row r="1937" ht="23" customHeight="1">
      <x:c r="A1937" s="7" t="str">
        <x:v>INV01932</x:v>
      </x:c>
      <x:c r="B1937" s="15" t="d">
        <x:v>2026-01-16T00:00:00.000Z</x:v>
      </x:c>
      <x:c r="C1937" s="14" t="d">
        <x:v>2026-01-01T00:00:00.000Z</x:v>
      </x:c>
      <x:c r="D1937" s="34" t="str">
        <x:v>0005</x:v>
      </x:c>
      <x:c r="E1937" s="7" t="str">
        <x:v>East</x:v>
      </x:c>
      <x:c r="F1937" s="7" t="n">
        <x:v>1</x:v>
      </x:c>
      <x:c r="G1937" s="7" t="n">
        <x:v>240</x:v>
      </x:c>
      <x:c r="H1937" s="9" t="n">
        <x:v>0</x:v>
      </x:c>
      <x:c r="I1937" s="7" t="n">
        <x:v>240</x:v>
      </x:c>
    </x:row>
    <x:row r="1938" ht="23" customHeight="1">
      <x:c r="A1938" s="7" t="str">
        <x:v>INV01933</x:v>
      </x:c>
      <x:c r="B1938" s="15" t="d">
        <x:v>2026-01-17T00:00:00.000Z</x:v>
      </x:c>
      <x:c r="C1938" s="14" t="d">
        <x:v>2026-01-01T00:00:00.000Z</x:v>
      </x:c>
      <x:c r="D1938" s="34" t="str">
        <x:v>0006</x:v>
      </x:c>
      <x:c r="E1938" s="7" t="str">
        <x:v>East</x:v>
      </x:c>
      <x:c r="F1938" s="7" t="n">
        <x:v>4</x:v>
      </x:c>
      <x:c r="G1938" s="7" t="n">
        <x:v>260</x:v>
      </x:c>
      <x:c r="H1938" s="9" t="n">
        <x:v>0.02</x:v>
      </x:c>
      <x:c r="I1938" s="7" t="n">
        <x:v>1019.2</x:v>
      </x:c>
    </x:row>
    <x:row r="1939" ht="23" customHeight="1">
      <x:c r="A1939" s="7" t="str">
        <x:v>INV01934</x:v>
      </x:c>
      <x:c r="B1939" s="15" t="d">
        <x:v>2026-01-18T00:00:00.000Z</x:v>
      </x:c>
      <x:c r="C1939" s="14" t="d">
        <x:v>2026-01-01T00:00:00.000Z</x:v>
      </x:c>
      <x:c r="D1939" s="34" t="str">
        <x:v>0007</x:v>
      </x:c>
      <x:c r="E1939" s="7" t="str">
        <x:v>East</x:v>
      </x:c>
      <x:c r="F1939" s="7" t="n">
        <x:v>6</x:v>
      </x:c>
      <x:c r="G1939" s="7" t="n">
        <x:v>280</x:v>
      </x:c>
      <x:c r="H1939" s="9" t="n">
        <x:v>0.05</x:v>
      </x:c>
      <x:c r="I1939" s="7" t="n">
        <x:v>1596</x:v>
      </x:c>
    </x:row>
    <x:row r="1940" ht="23" customHeight="1">
      <x:c r="A1940" s="7" t="str">
        <x:v>INV01935</x:v>
      </x:c>
      <x:c r="B1940" s="15" t="d">
        <x:v>2026-01-19T00:00:00.000Z</x:v>
      </x:c>
      <x:c r="C1940" s="14" t="d">
        <x:v>2026-01-01T00:00:00.000Z</x:v>
      </x:c>
      <x:c r="D1940" s="34" t="str">
        <x:v>0008</x:v>
      </x:c>
      <x:c r="E1940" s="7" t="str">
        <x:v>East</x:v>
      </x:c>
      <x:c r="F1940" s="7" t="n">
        <x:v>5</x:v>
      </x:c>
      <x:c r="G1940" s="7" t="n">
        <x:v>300</x:v>
      </x:c>
      <x:c r="H1940" s="9" t="n">
        <x:v>0</x:v>
      </x:c>
      <x:c r="I1940" s="7" t="n">
        <x:v>1500</x:v>
      </x:c>
    </x:row>
    <x:row r="1941" ht="23" customHeight="1">
      <x:c r="A1941" s="7" t="str">
        <x:v>INV01936</x:v>
      </x:c>
      <x:c r="B1941" s="15" t="d">
        <x:v>2026-01-20T00:00:00.000Z</x:v>
      </x:c>
      <x:c r="C1941" s="14" t="d">
        <x:v>2026-01-01T00:00:00.000Z</x:v>
      </x:c>
      <x:c r="D1941" s="34" t="str">
        <x:v>0001</x:v>
      </x:c>
      <x:c r="E1941" s="7" t="str">
        <x:v>West</x:v>
      </x:c>
      <x:c r="F1941" s="7" t="n">
        <x:v>6</x:v>
      </x:c>
      <x:c r="G1941" s="7" t="n">
        <x:v>160</x:v>
      </x:c>
      <x:c r="H1941" s="9" t="n">
        <x:v>0.02</x:v>
      </x:c>
      <x:c r="I1941" s="7" t="n">
        <x:v>940.8</x:v>
      </x:c>
    </x:row>
    <x:row r="1942" ht="23" customHeight="1">
      <x:c r="A1942" s="7" t="str">
        <x:v>INV01937</x:v>
      </x:c>
      <x:c r="B1942" s="15" t="d">
        <x:v>2026-01-21T00:00:00.000Z</x:v>
      </x:c>
      <x:c r="C1942" s="14" t="d">
        <x:v>2026-01-01T00:00:00.000Z</x:v>
      </x:c>
      <x:c r="D1942" s="34" t="str">
        <x:v>0002</x:v>
      </x:c>
      <x:c r="E1942" s="7" t="str">
        <x:v>West</x:v>
      </x:c>
      <x:c r="F1942" s="7" t="n">
        <x:v>7</x:v>
      </x:c>
      <x:c r="G1942" s="7" t="n">
        <x:v>180</x:v>
      </x:c>
      <x:c r="H1942" s="9" t="n">
        <x:v>0.05</x:v>
      </x:c>
      <x:c r="I1942" s="7" t="n">
        <x:v>1197</x:v>
      </x:c>
    </x:row>
    <x:row r="1943" ht="23" customHeight="1">
      <x:c r="A1943" s="7" t="str">
        <x:v>INV01938</x:v>
      </x:c>
      <x:c r="B1943" s="15" t="d">
        <x:v>2026-01-22T00:00:00.000Z</x:v>
      </x:c>
      <x:c r="C1943" s="14" t="d">
        <x:v>2026-01-01T00:00:00.000Z</x:v>
      </x:c>
      <x:c r="D1943" s="34" t="str">
        <x:v>0003</x:v>
      </x:c>
      <x:c r="E1943" s="7" t="str">
        <x:v>West</x:v>
      </x:c>
      <x:c r="F1943" s="7" t="n">
        <x:v>3</x:v>
      </x:c>
      <x:c r="G1943" s="7" t="n">
        <x:v>200</x:v>
      </x:c>
      <x:c r="H1943" s="9" t="n">
        <x:v>0</x:v>
      </x:c>
      <x:c r="I1943" s="7" t="n">
        <x:v>600</x:v>
      </x:c>
    </x:row>
    <x:row r="1944" ht="23" customHeight="1">
      <x:c r="A1944" s="7" t="str">
        <x:v>INV01939</x:v>
      </x:c>
      <x:c r="B1944" s="15" t="d">
        <x:v>2026-01-23T00:00:00.000Z</x:v>
      </x:c>
      <x:c r="C1944" s="14" t="d">
        <x:v>2026-01-01T00:00:00.000Z</x:v>
      </x:c>
      <x:c r="D1944" s="34" t="str">
        <x:v>0004</x:v>
      </x:c>
      <x:c r="E1944" s="7" t="str">
        <x:v>West</x:v>
      </x:c>
      <x:c r="F1944" s="7" t="n">
        <x:v>5</x:v>
      </x:c>
      <x:c r="G1944" s="7" t="n">
        <x:v>220</x:v>
      </x:c>
      <x:c r="H1944" s="9" t="n">
        <x:v>0.02</x:v>
      </x:c>
      <x:c r="I1944" s="7" t="n">
        <x:v>1078</x:v>
      </x:c>
    </x:row>
    <x:row r="1945" ht="23" customHeight="1">
      <x:c r="A1945" s="7" t="str">
        <x:v>INV01940</x:v>
      </x:c>
      <x:c r="B1945" s="15" t="d">
        <x:v>2026-01-24T00:00:00.000Z</x:v>
      </x:c>
      <x:c r="C1945" s="14" t="d">
        <x:v>2026-01-01T00:00:00.000Z</x:v>
      </x:c>
      <x:c r="D1945" s="34" t="str">
        <x:v>0005</x:v>
      </x:c>
      <x:c r="E1945" s="7" t="str">
        <x:v>West</x:v>
      </x:c>
      <x:c r="F1945" s="7" t="n">
        <x:v>2</x:v>
      </x:c>
      <x:c r="G1945" s="7" t="n">
        <x:v>240</x:v>
      </x:c>
      <x:c r="H1945" s="9" t="n">
        <x:v>0.05</x:v>
      </x:c>
      <x:c r="I1945" s="7" t="n">
        <x:v>456</x:v>
      </x:c>
    </x:row>
    <x:row r="1946" ht="23" customHeight="1">
      <x:c r="A1946" s="7" t="str">
        <x:v>INV01941</x:v>
      </x:c>
      <x:c r="B1946" s="15" t="d">
        <x:v>2026-01-25T00:00:00.000Z</x:v>
      </x:c>
      <x:c r="C1946" s="14" t="d">
        <x:v>2026-01-01T00:00:00.000Z</x:v>
      </x:c>
      <x:c r="D1946" s="34" t="str">
        <x:v>0006</x:v>
      </x:c>
      <x:c r="E1946" s="7" t="str">
        <x:v>West</x:v>
      </x:c>
      <x:c r="F1946" s="7" t="n">
        <x:v>3</x:v>
      </x:c>
      <x:c r="G1946" s="7" t="n">
        <x:v>260</x:v>
      </x:c>
      <x:c r="H1946" s="9" t="n">
        <x:v>0</x:v>
      </x:c>
      <x:c r="I1946" s="7" t="n">
        <x:v>780</x:v>
      </x:c>
    </x:row>
    <x:row r="1947" ht="23" customHeight="1">
      <x:c r="A1947" s="7" t="str">
        <x:v>INV01942</x:v>
      </x:c>
      <x:c r="B1947" s="15" t="d">
        <x:v>2026-01-26T00:00:00.000Z</x:v>
      </x:c>
      <x:c r="C1947" s="14" t="d">
        <x:v>2026-01-01T00:00:00.000Z</x:v>
      </x:c>
      <x:c r="D1947" s="34" t="str">
        <x:v>0007</x:v>
      </x:c>
      <x:c r="E1947" s="7" t="str">
        <x:v>West</x:v>
      </x:c>
      <x:c r="F1947" s="7" t="n">
        <x:v>4</x:v>
      </x:c>
      <x:c r="G1947" s="7" t="n">
        <x:v>280</x:v>
      </x:c>
      <x:c r="H1947" s="9" t="n">
        <x:v>0.02</x:v>
      </x:c>
      <x:c r="I1947" s="7" t="n">
        <x:v>1097.6</x:v>
      </x:c>
    </x:row>
    <x:row r="1948" ht="23" customHeight="1">
      <x:c r="A1948" s="7" t="str">
        <x:v>INV01943</x:v>
      </x:c>
      <x:c r="B1948" s="15" t="d">
        <x:v>2026-01-27T00:00:00.000Z</x:v>
      </x:c>
      <x:c r="C1948" s="14" t="d">
        <x:v>2026-01-01T00:00:00.000Z</x:v>
      </x:c>
      <x:c r="D1948" s="34" t="str">
        <x:v>0008</x:v>
      </x:c>
      <x:c r="E1948" s="7" t="str">
        <x:v>West</x:v>
      </x:c>
      <x:c r="F1948" s="7" t="n">
        <x:v>5</x:v>
      </x:c>
      <x:c r="G1948" s="7" t="n">
        <x:v>300</x:v>
      </x:c>
      <x:c r="H1948" s="9" t="n">
        <x:v>0.05</x:v>
      </x:c>
      <x:c r="I1948" s="7" t="n">
        <x:v>1425</x:v>
      </x:c>
    </x:row>
    <x:row r="1949" ht="23" customHeight="1">
      <x:c r="A1949" s="7" t="str">
        <x:v>INV01944</x:v>
      </x:c>
      <x:c r="B1949" s="15" t="d">
        <x:v>2026-01-01T00:00:00.000Z</x:v>
      </x:c>
      <x:c r="C1949" s="14" t="d">
        <x:v>2026-01-01T00:00:00.000Z</x:v>
      </x:c>
      <x:c r="D1949" s="34" t="str">
        <x:v>0001</x:v>
      </x:c>
      <x:c r="E1949" s="7" t="str">
        <x:v>North</x:v>
      </x:c>
      <x:c r="F1949" s="7" t="n">
        <x:v>5</x:v>
      </x:c>
      <x:c r="G1949" s="7" t="n">
        <x:v>160</x:v>
      </x:c>
      <x:c r="H1949" s="9" t="n">
        <x:v>0</x:v>
      </x:c>
      <x:c r="I1949" s="7" t="n">
        <x:v>800</x:v>
      </x:c>
    </x:row>
    <x:row r="1950" ht="23" customHeight="1">
      <x:c r="A1950" s="7" t="str">
        <x:v>INV01945</x:v>
      </x:c>
      <x:c r="B1950" s="15" t="d">
        <x:v>2026-01-02T00:00:00.000Z</x:v>
      </x:c>
      <x:c r="C1950" s="14" t="d">
        <x:v>2026-01-01T00:00:00.000Z</x:v>
      </x:c>
      <x:c r="D1950" s="34" t="str">
        <x:v>0002</x:v>
      </x:c>
      <x:c r="E1950" s="7" t="str">
        <x:v>North</x:v>
      </x:c>
      <x:c r="F1950" s="7" t="n">
        <x:v>4</x:v>
      </x:c>
      <x:c r="G1950" s="7" t="n">
        <x:v>180</x:v>
      </x:c>
      <x:c r="H1950" s="9" t="n">
        <x:v>0.02</x:v>
      </x:c>
      <x:c r="I1950" s="7" t="n">
        <x:v>705.6</x:v>
      </x:c>
    </x:row>
    <x:row r="1951" ht="23" customHeight="1">
      <x:c r="A1951" s="7" t="str">
        <x:v>INV01946</x:v>
      </x:c>
      <x:c r="B1951" s="15" t="d">
        <x:v>2026-01-03T00:00:00.000Z</x:v>
      </x:c>
      <x:c r="C1951" s="14" t="d">
        <x:v>2026-01-01T00:00:00.000Z</x:v>
      </x:c>
      <x:c r="D1951" s="34" t="str">
        <x:v>0003</x:v>
      </x:c>
      <x:c r="E1951" s="7" t="str">
        <x:v>North</x:v>
      </x:c>
      <x:c r="F1951" s="7" t="n">
        <x:v>6</x:v>
      </x:c>
      <x:c r="G1951" s="7" t="n">
        <x:v>200</x:v>
      </x:c>
      <x:c r="H1951" s="9" t="n">
        <x:v>0.05</x:v>
      </x:c>
      <x:c r="I1951" s="7" t="n">
        <x:v>1140</x:v>
      </x:c>
    </x:row>
    <x:row r="1952" ht="23" customHeight="1">
      <x:c r="A1952" s="7" t="str">
        <x:v>INV01947</x:v>
      </x:c>
      <x:c r="B1952" s="15" t="d">
        <x:v>2026-01-04T00:00:00.000Z</x:v>
      </x:c>
      <x:c r="C1952" s="14" t="d">
        <x:v>2026-01-01T00:00:00.000Z</x:v>
      </x:c>
      <x:c r="D1952" s="34" t="str">
        <x:v>0004</x:v>
      </x:c>
      <x:c r="E1952" s="7" t="str">
        <x:v>North</x:v>
      </x:c>
      <x:c r="F1952" s="7" t="n">
        <x:v>4</x:v>
      </x:c>
      <x:c r="G1952" s="7" t="n">
        <x:v>220</x:v>
      </x:c>
      <x:c r="H1952" s="9" t="n">
        <x:v>0</x:v>
      </x:c>
      <x:c r="I1952" s="7" t="n">
        <x:v>880</x:v>
      </x:c>
    </x:row>
    <x:row r="1953" ht="23" customHeight="1">
      <x:c r="A1953" s="7" t="str">
        <x:v>INV01948</x:v>
      </x:c>
      <x:c r="B1953" s="15" t="d">
        <x:v>2026-01-05T00:00:00.000Z</x:v>
      </x:c>
      <x:c r="C1953" s="14" t="d">
        <x:v>2026-01-01T00:00:00.000Z</x:v>
      </x:c>
      <x:c r="D1953" s="34" t="str">
        <x:v>0005</x:v>
      </x:c>
      <x:c r="E1953" s="7" t="str">
        <x:v>North</x:v>
      </x:c>
      <x:c r="F1953" s="7" t="n">
        <x:v>4</x:v>
      </x:c>
      <x:c r="G1953" s="7" t="n">
        <x:v>240</x:v>
      </x:c>
      <x:c r="H1953" s="9" t="n">
        <x:v>0.02</x:v>
      </x:c>
      <x:c r="I1953" s="7" t="n">
        <x:v>940.8</x:v>
      </x:c>
    </x:row>
    <x:row r="1954" ht="23" customHeight="1">
      <x:c r="A1954" s="7" t="str">
        <x:v>INV01949</x:v>
      </x:c>
      <x:c r="B1954" s="15" t="d">
        <x:v>2026-01-06T00:00:00.000Z</x:v>
      </x:c>
      <x:c r="C1954" s="14" t="d">
        <x:v>2026-01-01T00:00:00.000Z</x:v>
      </x:c>
      <x:c r="D1954" s="34" t="str">
        <x:v>0006</x:v>
      </x:c>
      <x:c r="E1954" s="7" t="str">
        <x:v>North</x:v>
      </x:c>
      <x:c r="F1954" s="7" t="n">
        <x:v>3</x:v>
      </x:c>
      <x:c r="G1954" s="7" t="n">
        <x:v>260</x:v>
      </x:c>
      <x:c r="H1954" s="9" t="n">
        <x:v>0.05</x:v>
      </x:c>
      <x:c r="I1954" s="7" t="n">
        <x:v>741</x:v>
      </x:c>
    </x:row>
    <x:row r="1955" ht="23" customHeight="1">
      <x:c r="A1955" s="7" t="str">
        <x:v>INV01950</x:v>
      </x:c>
      <x:c r="B1955" s="15" t="d">
        <x:v>2026-01-07T00:00:00.000Z</x:v>
      </x:c>
      <x:c r="C1955" s="14" t="d">
        <x:v>2026-01-01T00:00:00.000Z</x:v>
      </x:c>
      <x:c r="D1955" s="34" t="str">
        <x:v>0007</x:v>
      </x:c>
      <x:c r="E1955" s="7" t="str">
        <x:v>North</x:v>
      </x:c>
      <x:c r="F1955" s="7" t="n">
        <x:v>5</x:v>
      </x:c>
      <x:c r="G1955" s="7" t="n">
        <x:v>280</x:v>
      </x:c>
      <x:c r="H1955" s="9" t="n">
        <x:v>0</x:v>
      </x:c>
      <x:c r="I1955" s="7" t="n">
        <x:v>1400</x:v>
      </x:c>
    </x:row>
    <x:row r="1956" ht="23" customHeight="1">
      <x:c r="A1956" s="7" t="str">
        <x:v>INV01951</x:v>
      </x:c>
      <x:c r="B1956" s="15" t="d">
        <x:v>2026-01-08T00:00:00.000Z</x:v>
      </x:c>
      <x:c r="C1956" s="14" t="d">
        <x:v>2026-01-01T00:00:00.000Z</x:v>
      </x:c>
      <x:c r="D1956" s="34" t="str">
        <x:v>0008</x:v>
      </x:c>
      <x:c r="E1956" s="7" t="str">
        <x:v>North</x:v>
      </x:c>
      <x:c r="F1956" s="7" t="n">
        <x:v>6</x:v>
      </x:c>
      <x:c r="G1956" s="7" t="n">
        <x:v>300</x:v>
      </x:c>
      <x:c r="H1956" s="9" t="n">
        <x:v>0.02</x:v>
      </x:c>
      <x:c r="I1956" s="7" t="n">
        <x:v>1764</x:v>
      </x:c>
    </x:row>
    <x:row r="1957" ht="23" customHeight="1">
      <x:c r="A1957" s="7" t="str">
        <x:v>INV01952</x:v>
      </x:c>
      <x:c r="B1957" s="15" t="d">
        <x:v>2026-02-09T00:00:00.000Z</x:v>
      </x:c>
      <x:c r="C1957" s="14" t="d">
        <x:v>2026-02-01T00:00:00.000Z</x:v>
      </x:c>
      <x:c r="D1957" s="34" t="str">
        <x:v>0001</x:v>
      </x:c>
      <x:c r="E1957" s="7" t="str">
        <x:v>Central</x:v>
      </x:c>
      <x:c r="F1957" s="7" t="n">
        <x:v>4</x:v>
      </x:c>
      <x:c r="G1957" s="7" t="n">
        <x:v>160</x:v>
      </x:c>
      <x:c r="H1957" s="9" t="n">
        <x:v>0.05</x:v>
      </x:c>
      <x:c r="I1957" s="7" t="n">
        <x:v>608</x:v>
      </x:c>
    </x:row>
    <x:row r="1958" ht="23" customHeight="1">
      <x:c r="A1958" s="7" t="str">
        <x:v>INV01953</x:v>
      </x:c>
      <x:c r="B1958" s="15" t="d">
        <x:v>2026-02-10T00:00:00.000Z</x:v>
      </x:c>
      <x:c r="C1958" s="14" t="d">
        <x:v>2026-02-01T00:00:00.000Z</x:v>
      </x:c>
      <x:c r="D1958" s="34" t="str">
        <x:v>0002</x:v>
      </x:c>
      <x:c r="E1958" s="7" t="str">
        <x:v>Central</x:v>
      </x:c>
      <x:c r="F1958" s="7" t="n">
        <x:v>2</x:v>
      </x:c>
      <x:c r="G1958" s="7" t="n">
        <x:v>180</x:v>
      </x:c>
      <x:c r="H1958" s="9" t="n">
        <x:v>0</x:v>
      </x:c>
      <x:c r="I1958" s="7" t="n">
        <x:v>360</x:v>
      </x:c>
    </x:row>
    <x:row r="1959" ht="23" customHeight="1">
      <x:c r="A1959" s="7" t="str">
        <x:v>INV01954</x:v>
      </x:c>
      <x:c r="B1959" s="15" t="d">
        <x:v>2026-02-11T00:00:00.000Z</x:v>
      </x:c>
      <x:c r="C1959" s="14" t="d">
        <x:v>2026-02-01T00:00:00.000Z</x:v>
      </x:c>
      <x:c r="D1959" s="34" t="str">
        <x:v>0003</x:v>
      </x:c>
      <x:c r="E1959" s="7" t="str">
        <x:v>Central</x:v>
      </x:c>
      <x:c r="F1959" s="7" t="n">
        <x:v>7</x:v>
      </x:c>
      <x:c r="G1959" s="7" t="n">
        <x:v>200</x:v>
      </x:c>
      <x:c r="H1959" s="9" t="n">
        <x:v>0.02</x:v>
      </x:c>
      <x:c r="I1959" s="7" t="n">
        <x:v>1372</x:v>
      </x:c>
    </x:row>
    <x:row r="1960" ht="23" customHeight="1">
      <x:c r="A1960" s="7" t="str">
        <x:v>INV01955</x:v>
      </x:c>
      <x:c r="B1960" s="15" t="d">
        <x:v>2026-02-12T00:00:00.000Z</x:v>
      </x:c>
      <x:c r="C1960" s="14" t="d">
        <x:v>2026-02-01T00:00:00.000Z</x:v>
      </x:c>
      <x:c r="D1960" s="34" t="str">
        <x:v>0004</x:v>
      </x:c>
      <x:c r="E1960" s="7" t="str">
        <x:v>Central</x:v>
      </x:c>
      <x:c r="F1960" s="7" t="n">
        <x:v>2</x:v>
      </x:c>
      <x:c r="G1960" s="7" t="n">
        <x:v>220</x:v>
      </x:c>
      <x:c r="H1960" s="9" t="n">
        <x:v>0.05</x:v>
      </x:c>
      <x:c r="I1960" s="7" t="n">
        <x:v>418</x:v>
      </x:c>
    </x:row>
    <x:row r="1961" ht="23" customHeight="1">
      <x:c r="A1961" s="7" t="str">
        <x:v>INV01956</x:v>
      </x:c>
      <x:c r="B1961" s="15" t="d">
        <x:v>2026-02-13T00:00:00.000Z</x:v>
      </x:c>
      <x:c r="C1961" s="14" t="d">
        <x:v>2026-02-01T00:00:00.000Z</x:v>
      </x:c>
      <x:c r="D1961" s="34" t="str">
        <x:v>0005</x:v>
      </x:c>
      <x:c r="E1961" s="7" t="str">
        <x:v>Central</x:v>
      </x:c>
      <x:c r="F1961" s="7" t="n">
        <x:v>3</x:v>
      </x:c>
      <x:c r="G1961" s="7" t="n">
        <x:v>240</x:v>
      </x:c>
      <x:c r="H1961" s="9" t="n">
        <x:v>0</x:v>
      </x:c>
      <x:c r="I1961" s="7" t="n">
        <x:v>720</x:v>
      </x:c>
    </x:row>
    <x:row r="1962" ht="23" customHeight="1">
      <x:c r="A1962" s="7" t="str">
        <x:v>INV01957</x:v>
      </x:c>
      <x:c r="B1962" s="15" t="d">
        <x:v>2026-02-14T00:00:00.000Z</x:v>
      </x:c>
      <x:c r="C1962" s="14" t="d">
        <x:v>2026-02-01T00:00:00.000Z</x:v>
      </x:c>
      <x:c r="D1962" s="34" t="str">
        <x:v>0006</x:v>
      </x:c>
      <x:c r="E1962" s="7" t="str">
        <x:v>Central</x:v>
      </x:c>
      <x:c r="F1962" s="7" t="n">
        <x:v>1</x:v>
      </x:c>
      <x:c r="G1962" s="7" t="n">
        <x:v>260</x:v>
      </x:c>
      <x:c r="H1962" s="9" t="n">
        <x:v>0.02</x:v>
      </x:c>
      <x:c r="I1962" s="7" t="n">
        <x:v>254.8</x:v>
      </x:c>
    </x:row>
    <x:row r="1963" ht="23" customHeight="1">
      <x:c r="A1963" s="7" t="str">
        <x:v>INV01958</x:v>
      </x:c>
      <x:c r="B1963" s="15" t="d">
        <x:v>2026-02-15T00:00:00.000Z</x:v>
      </x:c>
      <x:c r="C1963" s="14" t="d">
        <x:v>2026-02-01T00:00:00.000Z</x:v>
      </x:c>
      <x:c r="D1963" s="34" t="str">
        <x:v>0007</x:v>
      </x:c>
      <x:c r="E1963" s="7" t="str">
        <x:v>Central</x:v>
      </x:c>
      <x:c r="F1963" s="7" t="n">
        <x:v>3</x:v>
      </x:c>
      <x:c r="G1963" s="7" t="n">
        <x:v>280</x:v>
      </x:c>
      <x:c r="H1963" s="9" t="n">
        <x:v>0.05</x:v>
      </x:c>
      <x:c r="I1963" s="7" t="n">
        <x:v>798</x:v>
      </x:c>
    </x:row>
    <x:row r="1964" ht="23" customHeight="1">
      <x:c r="A1964" s="7" t="str">
        <x:v>INV01959</x:v>
      </x:c>
      <x:c r="B1964" s="15" t="d">
        <x:v>2026-02-16T00:00:00.000Z</x:v>
      </x:c>
      <x:c r="C1964" s="14" t="d">
        <x:v>2026-02-01T00:00:00.000Z</x:v>
      </x:c>
      <x:c r="D1964" s="34" t="str">
        <x:v>0008</x:v>
      </x:c>
      <x:c r="E1964" s="7" t="str">
        <x:v>Central</x:v>
      </x:c>
      <x:c r="F1964" s="7" t="n">
        <x:v>5</x:v>
      </x:c>
      <x:c r="G1964" s="7" t="n">
        <x:v>300</x:v>
      </x:c>
      <x:c r="H1964" s="9" t="n">
        <x:v>0</x:v>
      </x:c>
      <x:c r="I1964" s="7" t="n">
        <x:v>1500</x:v>
      </x:c>
    </x:row>
    <x:row r="1965" ht="23" customHeight="1">
      <x:c r="A1965" s="7" t="str">
        <x:v>INV01960</x:v>
      </x:c>
      <x:c r="B1965" s="15" t="d">
        <x:v>2026-02-17T00:00:00.000Z</x:v>
      </x:c>
      <x:c r="C1965" s="14" t="d">
        <x:v>2026-02-01T00:00:00.000Z</x:v>
      </x:c>
      <x:c r="D1965" s="34" t="str">
        <x:v>0001</x:v>
      </x:c>
      <x:c r="E1965" s="7" t="str">
        <x:v>East</x:v>
      </x:c>
      <x:c r="F1965" s="7" t="n">
        <x:v>7</x:v>
      </x:c>
      <x:c r="G1965" s="7" t="n">
        <x:v>160</x:v>
      </x:c>
      <x:c r="H1965" s="9" t="n">
        <x:v>0.02</x:v>
      </x:c>
      <x:c r="I1965" s="7" t="n">
        <x:v>1097.6</x:v>
      </x:c>
    </x:row>
    <x:row r="1966" ht="23" customHeight="1">
      <x:c r="A1966" s="7" t="str">
        <x:v>INV01961</x:v>
      </x:c>
      <x:c r="B1966" s="15" t="d">
        <x:v>2026-02-18T00:00:00.000Z</x:v>
      </x:c>
      <x:c r="C1966" s="14" t="d">
        <x:v>2026-02-01T00:00:00.000Z</x:v>
      </x:c>
      <x:c r="D1966" s="34" t="str">
        <x:v>0002</x:v>
      </x:c>
      <x:c r="E1966" s="7" t="str">
        <x:v>East</x:v>
      </x:c>
      <x:c r="F1966" s="7" t="n">
        <x:v>1</x:v>
      </x:c>
      <x:c r="G1966" s="7" t="n">
        <x:v>180</x:v>
      </x:c>
      <x:c r="H1966" s="9" t="n">
        <x:v>0.05</x:v>
      </x:c>
      <x:c r="I1966" s="7" t="n">
        <x:v>171</x:v>
      </x:c>
    </x:row>
    <x:row r="1967" ht="23" customHeight="1">
      <x:c r="A1967" s="7" t="str">
        <x:v>INV01962</x:v>
      </x:c>
      <x:c r="B1967" s="15" t="d">
        <x:v>2026-02-19T00:00:00.000Z</x:v>
      </x:c>
      <x:c r="C1967" s="14" t="d">
        <x:v>2026-02-01T00:00:00.000Z</x:v>
      </x:c>
      <x:c r="D1967" s="34" t="str">
        <x:v>0003</x:v>
      </x:c>
      <x:c r="E1967" s="7" t="str">
        <x:v>East</x:v>
      </x:c>
      <x:c r="F1967" s="7" t="n">
        <x:v>7</x:v>
      </x:c>
      <x:c r="G1967" s="7" t="n">
        <x:v>200</x:v>
      </x:c>
      <x:c r="H1967" s="9" t="n">
        <x:v>0</x:v>
      </x:c>
      <x:c r="I1967" s="7" t="n">
        <x:v>1400</x:v>
      </x:c>
    </x:row>
    <x:row r="1968" ht="23" customHeight="1">
      <x:c r="A1968" s="7" t="str">
        <x:v>INV01963</x:v>
      </x:c>
      <x:c r="B1968" s="15" t="d">
        <x:v>2026-02-20T00:00:00.000Z</x:v>
      </x:c>
      <x:c r="C1968" s="14" t="d">
        <x:v>2026-02-01T00:00:00.000Z</x:v>
      </x:c>
      <x:c r="D1968" s="34" t="str">
        <x:v>0004</x:v>
      </x:c>
      <x:c r="E1968" s="7" t="str">
        <x:v>East</x:v>
      </x:c>
      <x:c r="F1968" s="7" t="n">
        <x:v>2</x:v>
      </x:c>
      <x:c r="G1968" s="7" t="n">
        <x:v>220</x:v>
      </x:c>
      <x:c r="H1968" s="9" t="n">
        <x:v>0.02</x:v>
      </x:c>
      <x:c r="I1968" s="7" t="n">
        <x:v>431.2</x:v>
      </x:c>
    </x:row>
    <x:row r="1969" ht="23" customHeight="1">
      <x:c r="A1969" s="7" t="str">
        <x:v>INV01964</x:v>
      </x:c>
      <x:c r="B1969" s="15" t="d">
        <x:v>2026-02-21T00:00:00.000Z</x:v>
      </x:c>
      <x:c r="C1969" s="14" t="d">
        <x:v>2026-02-01T00:00:00.000Z</x:v>
      </x:c>
      <x:c r="D1969" s="34" t="str">
        <x:v>0005</x:v>
      </x:c>
      <x:c r="E1969" s="7" t="str">
        <x:v>East</x:v>
      </x:c>
      <x:c r="F1969" s="7" t="n">
        <x:v>1</x:v>
      </x:c>
      <x:c r="G1969" s="7" t="n">
        <x:v>240</x:v>
      </x:c>
      <x:c r="H1969" s="9" t="n">
        <x:v>0.05</x:v>
      </x:c>
      <x:c r="I1969" s="7" t="n">
        <x:v>228</x:v>
      </x:c>
    </x:row>
    <x:row r="1970" ht="23" customHeight="1">
      <x:c r="A1970" s="7" t="str">
        <x:v>INV01965</x:v>
      </x:c>
      <x:c r="B1970" s="15" t="d">
        <x:v>2026-02-22T00:00:00.000Z</x:v>
      </x:c>
      <x:c r="C1970" s="14" t="d">
        <x:v>2026-02-01T00:00:00.000Z</x:v>
      </x:c>
      <x:c r="D1970" s="34" t="str">
        <x:v>0006</x:v>
      </x:c>
      <x:c r="E1970" s="7" t="str">
        <x:v>East</x:v>
      </x:c>
      <x:c r="F1970" s="7" t="n">
        <x:v>3</x:v>
      </x:c>
      <x:c r="G1970" s="7" t="n">
        <x:v>260</x:v>
      </x:c>
      <x:c r="H1970" s="9" t="n">
        <x:v>0</x:v>
      </x:c>
      <x:c r="I1970" s="7" t="n">
        <x:v>780</x:v>
      </x:c>
    </x:row>
    <x:row r="1971" ht="23" customHeight="1">
      <x:c r="A1971" s="7" t="str">
        <x:v>INV01966</x:v>
      </x:c>
      <x:c r="B1971" s="15" t="d">
        <x:v>2026-02-23T00:00:00.000Z</x:v>
      </x:c>
      <x:c r="C1971" s="14" t="d">
        <x:v>2026-02-01T00:00:00.000Z</x:v>
      </x:c>
      <x:c r="D1971" s="34" t="str">
        <x:v>0007</x:v>
      </x:c>
      <x:c r="E1971" s="7" t="str">
        <x:v>East</x:v>
      </x:c>
      <x:c r="F1971" s="7" t="n">
        <x:v>4</x:v>
      </x:c>
      <x:c r="G1971" s="7" t="n">
        <x:v>280</x:v>
      </x:c>
      <x:c r="H1971" s="9" t="n">
        <x:v>0.02</x:v>
      </x:c>
      <x:c r="I1971" s="7" t="n">
        <x:v>1097.6</x:v>
      </x:c>
    </x:row>
    <x:row r="1972" ht="23" customHeight="1">
      <x:c r="A1972" s="7" t="str">
        <x:v>INV01967</x:v>
      </x:c>
      <x:c r="B1972" s="15" t="d">
        <x:v>2026-02-24T00:00:00.000Z</x:v>
      </x:c>
      <x:c r="C1972" s="14" t="d">
        <x:v>2026-02-01T00:00:00.000Z</x:v>
      </x:c>
      <x:c r="D1972" s="34" t="str">
        <x:v>0008</x:v>
      </x:c>
      <x:c r="E1972" s="7" t="str">
        <x:v>East</x:v>
      </x:c>
      <x:c r="F1972" s="7" t="n">
        <x:v>7</x:v>
      </x:c>
      <x:c r="G1972" s="7" t="n">
        <x:v>300</x:v>
      </x:c>
      <x:c r="H1972" s="9" t="n">
        <x:v>0.05</x:v>
      </x:c>
      <x:c r="I1972" s="7" t="n">
        <x:v>1995</x:v>
      </x:c>
    </x:row>
    <x:row r="1973" ht="23" customHeight="1">
      <x:c r="A1973" s="7" t="str">
        <x:v>INV01968</x:v>
      </x:c>
      <x:c r="B1973" s="15" t="d">
        <x:v>2026-02-25T00:00:00.000Z</x:v>
      </x:c>
      <x:c r="C1973" s="14" t="d">
        <x:v>2026-02-01T00:00:00.000Z</x:v>
      </x:c>
      <x:c r="D1973" s="34" t="str">
        <x:v>0001</x:v>
      </x:c>
      <x:c r="E1973" s="7" t="str">
        <x:v>West</x:v>
      </x:c>
      <x:c r="F1973" s="7" t="n">
        <x:v>-5</x:v>
      </x:c>
      <x:c r="G1973" s="7" t="n">
        <x:v>160</x:v>
      </x:c>
      <x:c r="H1973" s="9" t="n">
        <x:v>0</x:v>
      </x:c>
      <x:c r="I1973" s="7" t="n">
        <x:v>-800</x:v>
      </x:c>
    </x:row>
    <x:row r="1974" ht="23" customHeight="1">
      <x:c r="A1974" s="7" t="str">
        <x:v>INV01969</x:v>
      </x:c>
      <x:c r="B1974" s="15" t="d">
        <x:v>2026-02-26T00:00:00.000Z</x:v>
      </x:c>
      <x:c r="C1974" s="14" t="d">
        <x:v>2026-02-01T00:00:00.000Z</x:v>
      </x:c>
      <x:c r="D1974" s="34" t="str">
        <x:v>0002</x:v>
      </x:c>
      <x:c r="E1974" s="7" t="str">
        <x:v>West</x:v>
      </x:c>
      <x:c r="F1974" s="7" t="n">
        <x:v>5</x:v>
      </x:c>
      <x:c r="G1974" s="7" t="n">
        <x:v>180</x:v>
      </x:c>
      <x:c r="H1974" s="9" t="n">
        <x:v>0.02</x:v>
      </x:c>
      <x:c r="I1974" s="7" t="n">
        <x:v>882</x:v>
      </x:c>
    </x:row>
    <x:row r="1975" ht="23" customHeight="1">
      <x:c r="A1975" s="7" t="str">
        <x:v>INV01970</x:v>
      </x:c>
      <x:c r="B1975" s="15" t="d">
        <x:v>2026-02-27T00:00:00.000Z</x:v>
      </x:c>
      <x:c r="C1975" s="14" t="d">
        <x:v>2026-02-01T00:00:00.000Z</x:v>
      </x:c>
      <x:c r="D1975" s="34" t="str">
        <x:v>0003</x:v>
      </x:c>
      <x:c r="E1975" s="7" t="str">
        <x:v>West</x:v>
      </x:c>
      <x:c r="F1975" s="7" t="n">
        <x:v>4</x:v>
      </x:c>
      <x:c r="G1975" s="7" t="n">
        <x:v>200</x:v>
      </x:c>
      <x:c r="H1975" s="9" t="n">
        <x:v>0.05</x:v>
      </x:c>
      <x:c r="I1975" s="7" t="n">
        <x:v>760</x:v>
      </x:c>
    </x:row>
    <x:row r="1976" ht="23" customHeight="1">
      <x:c r="A1976" s="7" t="str">
        <x:v>INV01971</x:v>
      </x:c>
      <x:c r="B1976" s="15" t="d">
        <x:v>2026-02-01T00:00:00.000Z</x:v>
      </x:c>
      <x:c r="C1976" s="14" t="d">
        <x:v>2026-02-01T00:00:00.000Z</x:v>
      </x:c>
      <x:c r="D1976" s="34" t="str">
        <x:v>0004</x:v>
      </x:c>
      <x:c r="E1976" s="7" t="str">
        <x:v>West</x:v>
      </x:c>
      <x:c r="F1976" s="7" t="n">
        <x:v>1</x:v>
      </x:c>
      <x:c r="G1976" s="7" t="n">
        <x:v>220</x:v>
      </x:c>
      <x:c r="H1976" s="9" t="n">
        <x:v>0</x:v>
      </x:c>
      <x:c r="I1976" s="7" t="n">
        <x:v>220</x:v>
      </x:c>
    </x:row>
    <x:row r="1977" ht="23" customHeight="1">
      <x:c r="A1977" s="7" t="str">
        <x:v>INV01972</x:v>
      </x:c>
      <x:c r="B1977" s="15" t="d">
        <x:v>2026-02-02T00:00:00.000Z</x:v>
      </x:c>
      <x:c r="C1977" s="14" t="d">
        <x:v>2026-02-01T00:00:00.000Z</x:v>
      </x:c>
      <x:c r="D1977" s="34" t="str">
        <x:v>0005</x:v>
      </x:c>
      <x:c r="E1977" s="7" t="str">
        <x:v>West</x:v>
      </x:c>
      <x:c r="F1977" s="7" t="n">
        <x:v>5</x:v>
      </x:c>
      <x:c r="G1977" s="7" t="n">
        <x:v>240</x:v>
      </x:c>
      <x:c r="H1977" s="9" t="n">
        <x:v>0.02</x:v>
      </x:c>
      <x:c r="I1977" s="7" t="n">
        <x:v>1176</x:v>
      </x:c>
    </x:row>
    <x:row r="1978" ht="23" customHeight="1">
      <x:c r="A1978" s="7" t="str">
        <x:v>INV01973</x:v>
      </x:c>
      <x:c r="B1978" s="15" t="d">
        <x:v>2026-02-03T00:00:00.000Z</x:v>
      </x:c>
      <x:c r="C1978" s="14" t="d">
        <x:v>2026-02-01T00:00:00.000Z</x:v>
      </x:c>
      <x:c r="D1978" s="34" t="str">
        <x:v>0006</x:v>
      </x:c>
      <x:c r="E1978" s="7" t="str">
        <x:v>West</x:v>
      </x:c>
      <x:c r="F1978" s="7" t="n">
        <x:v>6</x:v>
      </x:c>
      <x:c r="G1978" s="7" t="n">
        <x:v>260</x:v>
      </x:c>
      <x:c r="H1978" s="9" t="n">
        <x:v>0.05</x:v>
      </x:c>
      <x:c r="I1978" s="7" t="n">
        <x:v>1482</x:v>
      </x:c>
    </x:row>
    <x:row r="1979" ht="23" customHeight="1">
      <x:c r="A1979" s="7" t="str">
        <x:v>INV01974</x:v>
      </x:c>
      <x:c r="B1979" s="15" t="d">
        <x:v>2026-02-04T00:00:00.000Z</x:v>
      </x:c>
      <x:c r="C1979" s="14" t="d">
        <x:v>2026-02-01T00:00:00.000Z</x:v>
      </x:c>
      <x:c r="D1979" s="34" t="str">
        <x:v>0007</x:v>
      </x:c>
      <x:c r="E1979" s="7" t="str">
        <x:v>West</x:v>
      </x:c>
      <x:c r="F1979" s="7" t="n">
        <x:v>5</x:v>
      </x:c>
      <x:c r="G1979" s="7" t="n">
        <x:v>280</x:v>
      </x:c>
      <x:c r="H1979" s="9" t="n">
        <x:v>0</x:v>
      </x:c>
      <x:c r="I1979" s="7" t="n">
        <x:v>1400</x:v>
      </x:c>
    </x:row>
    <x:row r="1980" ht="23" customHeight="1">
      <x:c r="A1980" s="7" t="str">
        <x:v>INV01975</x:v>
      </x:c>
      <x:c r="B1980" s="15" t="d">
        <x:v>2026-02-05T00:00:00.000Z</x:v>
      </x:c>
      <x:c r="C1980" s="14" t="d">
        <x:v>2026-02-01T00:00:00.000Z</x:v>
      </x:c>
      <x:c r="D1980" s="34" t="str">
        <x:v>0008</x:v>
      </x:c>
      <x:c r="E1980" s="7" t="str">
        <x:v>West</x:v>
      </x:c>
      <x:c r="F1980" s="7" t="n">
        <x:v>1</x:v>
      </x:c>
      <x:c r="G1980" s="7" t="n">
        <x:v>300</x:v>
      </x:c>
      <x:c r="H1980" s="9" t="n">
        <x:v>0.02</x:v>
      </x:c>
      <x:c r="I1980" s="7" t="n">
        <x:v>294</x:v>
      </x:c>
    </x:row>
    <x:row r="1981" ht="23" customHeight="1">
      <x:c r="A1981" s="7" t="str">
        <x:v>INV01976</x:v>
      </x:c>
      <x:c r="B1981" s="15" t="d">
        <x:v>2026-02-06T00:00:00.000Z</x:v>
      </x:c>
      <x:c r="C1981" s="14" t="d">
        <x:v>2026-02-01T00:00:00.000Z</x:v>
      </x:c>
      <x:c r="D1981" s="34" t="str">
        <x:v>0001</x:v>
      </x:c>
      <x:c r="E1981" s="7" t="str">
        <x:v>North</x:v>
      </x:c>
      <x:c r="F1981" s="7" t="n">
        <x:v>6</x:v>
      </x:c>
      <x:c r="G1981" s="7" t="n">
        <x:v>160</x:v>
      </x:c>
      <x:c r="H1981" s="9" t="n">
        <x:v>0.05</x:v>
      </x:c>
      <x:c r="I1981" s="7" t="n">
        <x:v>912</x:v>
      </x:c>
    </x:row>
    <x:row r="1982" ht="23" customHeight="1">
      <x:c r="A1982" s="7" t="str">
        <x:v>INV01977</x:v>
      </x:c>
      <x:c r="B1982" s="15" t="d">
        <x:v>2026-02-07T00:00:00.000Z</x:v>
      </x:c>
      <x:c r="C1982" s="14" t="d">
        <x:v>2026-02-01T00:00:00.000Z</x:v>
      </x:c>
      <x:c r="D1982" s="34" t="str">
        <x:v>0002</x:v>
      </x:c>
      <x:c r="E1982" s="7" t="str">
        <x:v>North</x:v>
      </x:c>
      <x:c r="F1982" s="7" t="n">
        <x:v>2</x:v>
      </x:c>
      <x:c r="G1982" s="7" t="n">
        <x:v>180</x:v>
      </x:c>
      <x:c r="H1982" s="9" t="n">
        <x:v>0</x:v>
      </x:c>
      <x:c r="I1982" s="7" t="n">
        <x:v>360</x:v>
      </x:c>
    </x:row>
    <x:row r="1983" ht="23" customHeight="1">
      <x:c r="A1983" s="7" t="str">
        <x:v>INV01978</x:v>
      </x:c>
      <x:c r="B1983" s="15" t="d">
        <x:v>2026-02-08T00:00:00.000Z</x:v>
      </x:c>
      <x:c r="C1983" s="14" t="d">
        <x:v>2026-02-01T00:00:00.000Z</x:v>
      </x:c>
      <x:c r="D1983" s="34" t="str">
        <x:v>0003</x:v>
      </x:c>
      <x:c r="E1983" s="7" t="str">
        <x:v>North</x:v>
      </x:c>
      <x:c r="F1983" s="7" t="n">
        <x:v>2</x:v>
      </x:c>
      <x:c r="G1983" s="7" t="n">
        <x:v>200</x:v>
      </x:c>
      <x:c r="H1983" s="9" t="n">
        <x:v>0.02</x:v>
      </x:c>
      <x:c r="I1983" s="7" t="n">
        <x:v>392</x:v>
      </x:c>
    </x:row>
    <x:row r="1984" ht="23" customHeight="1">
      <x:c r="A1984" s="7" t="str">
        <x:v>INV01979</x:v>
      </x:c>
      <x:c r="B1984" s="15" t="d">
        <x:v>2026-02-09T00:00:00.000Z</x:v>
      </x:c>
      <x:c r="C1984" s="14" t="d">
        <x:v>2026-02-01T00:00:00.000Z</x:v>
      </x:c>
      <x:c r="D1984" s="34" t="str">
        <x:v>0004</x:v>
      </x:c>
      <x:c r="E1984" s="7" t="str">
        <x:v>North</x:v>
      </x:c>
      <x:c r="F1984" s="7" t="n">
        <x:v>6</x:v>
      </x:c>
      <x:c r="G1984" s="7" t="n">
        <x:v>220</x:v>
      </x:c>
      <x:c r="H1984" s="9" t="n">
        <x:v>0.05</x:v>
      </x:c>
      <x:c r="I1984" s="7" t="n">
        <x:v>1254</x:v>
      </x:c>
    </x:row>
    <x:row r="1985" ht="23" customHeight="1">
      <x:c r="A1985" s="7" t="str">
        <x:v>INV01980</x:v>
      </x:c>
      <x:c r="B1985" s="15" t="d">
        <x:v>2026-02-10T00:00:00.000Z</x:v>
      </x:c>
      <x:c r="C1985" s="14" t="d">
        <x:v>2026-02-01T00:00:00.000Z</x:v>
      </x:c>
      <x:c r="D1985" s="34" t="str">
        <x:v>0005</x:v>
      </x:c>
      <x:c r="E1985" s="7" t="str">
        <x:v>North</x:v>
      </x:c>
      <x:c r="F1985" s="7" t="n">
        <x:v>6</x:v>
      </x:c>
      <x:c r="G1985" s="7" t="n">
        <x:v>240</x:v>
      </x:c>
      <x:c r="H1985" s="9" t="n">
        <x:v>0</x:v>
      </x:c>
      <x:c r="I1985" s="7" t="n">
        <x:v>1440</x:v>
      </x:c>
    </x:row>
    <x:row r="1986" ht="23" customHeight="1">
      <x:c r="A1986" s="7" t="str">
        <x:v>INV01981</x:v>
      </x:c>
      <x:c r="B1986" s="15" t="d">
        <x:v>2026-02-11T00:00:00.000Z</x:v>
      </x:c>
      <x:c r="C1986" s="14" t="d">
        <x:v>2026-02-01T00:00:00.000Z</x:v>
      </x:c>
      <x:c r="D1986" s="34" t="str">
        <x:v>0006</x:v>
      </x:c>
      <x:c r="E1986" s="7" t="str">
        <x:v>North</x:v>
      </x:c>
      <x:c r="F1986" s="7" t="n">
        <x:v>5</x:v>
      </x:c>
      <x:c r="G1986" s="7" t="n">
        <x:v>260</x:v>
      </x:c>
      <x:c r="H1986" s="9" t="n">
        <x:v>0.02</x:v>
      </x:c>
      <x:c r="I1986" s="7" t="n">
        <x:v>1274</x:v>
      </x:c>
    </x:row>
    <x:row r="1987" ht="23" customHeight="1">
      <x:c r="A1987" s="7" t="str">
        <x:v>INV01982</x:v>
      </x:c>
      <x:c r="B1987" s="15" t="d">
        <x:v>2026-02-12T00:00:00.000Z</x:v>
      </x:c>
      <x:c r="C1987" s="14" t="d">
        <x:v>2026-02-01T00:00:00.000Z</x:v>
      </x:c>
      <x:c r="D1987" s="34" t="str">
        <x:v>0007</x:v>
      </x:c>
      <x:c r="E1987" s="7" t="str">
        <x:v>North</x:v>
      </x:c>
      <x:c r="F1987" s="7" t="n">
        <x:v>4</x:v>
      </x:c>
      <x:c r="G1987" s="7" t="n">
        <x:v>280</x:v>
      </x:c>
      <x:c r="H1987" s="9" t="n">
        <x:v>0.05</x:v>
      </x:c>
      <x:c r="I1987" s="7" t="n">
        <x:v>1064</x:v>
      </x:c>
    </x:row>
    <x:row r="1988" ht="23" customHeight="1">
      <x:c r="A1988" s="7" t="str">
        <x:v>INV01983</x:v>
      </x:c>
      <x:c r="B1988" s="15" t="d">
        <x:v>2026-02-13T00:00:00.000Z</x:v>
      </x:c>
      <x:c r="C1988" s="14" t="d">
        <x:v>2026-02-01T00:00:00.000Z</x:v>
      </x:c>
      <x:c r="D1988" s="34" t="str">
        <x:v>0008</x:v>
      </x:c>
      <x:c r="E1988" s="7" t="str">
        <x:v>North</x:v>
      </x:c>
      <x:c r="F1988" s="7" t="n">
        <x:v>5</x:v>
      </x:c>
      <x:c r="G1988" s="7" t="n">
        <x:v>300</x:v>
      </x:c>
      <x:c r="H1988" s="9" t="n">
        <x:v>0</x:v>
      </x:c>
      <x:c r="I1988" s="7" t="n">
        <x:v>1500</x:v>
      </x:c>
    </x:row>
    <x:row r="1989" ht="23" customHeight="1">
      <x:c r="A1989" s="7" t="str">
        <x:v>INV01984</x:v>
      </x:c>
      <x:c r="B1989" s="15" t="d">
        <x:v>2026-03-14T00:00:00.000Z</x:v>
      </x:c>
      <x:c r="C1989" s="14" t="d">
        <x:v>2026-03-01T00:00:00.000Z</x:v>
      </x:c>
      <x:c r="D1989" s="34" t="str">
        <x:v>0001</x:v>
      </x:c>
      <x:c r="E1989" s="7" t="str">
        <x:v>Central</x:v>
      </x:c>
      <x:c r="F1989" s="7" t="n">
        <x:v>6</x:v>
      </x:c>
      <x:c r="G1989" s="7" t="n">
        <x:v>160</x:v>
      </x:c>
      <x:c r="H1989" s="9" t="n">
        <x:v>0.02</x:v>
      </x:c>
      <x:c r="I1989" s="7" t="n">
        <x:v>940.8</x:v>
      </x:c>
    </x:row>
    <x:row r="1990" ht="23" customHeight="1">
      <x:c r="A1990" s="7" t="str">
        <x:v>INV01985</x:v>
      </x:c>
      <x:c r="B1990" s="15" t="d">
        <x:v>2026-03-15T00:00:00.000Z</x:v>
      </x:c>
      <x:c r="C1990" s="14" t="d">
        <x:v>2026-03-01T00:00:00.000Z</x:v>
      </x:c>
      <x:c r="D1990" s="34" t="str">
        <x:v>0002</x:v>
      </x:c>
      <x:c r="E1990" s="7" t="str">
        <x:v>Central</x:v>
      </x:c>
      <x:c r="F1990" s="7" t="n">
        <x:v>2</x:v>
      </x:c>
      <x:c r="G1990" s="7" t="n">
        <x:v>180</x:v>
      </x:c>
      <x:c r="H1990" s="9" t="n">
        <x:v>0.05</x:v>
      </x:c>
      <x:c r="I1990" s="7" t="n">
        <x:v>342</x:v>
      </x:c>
    </x:row>
    <x:row r="1991" ht="23" customHeight="1">
      <x:c r="A1991" s="7" t="str">
        <x:v>INV01986</x:v>
      </x:c>
      <x:c r="B1991" s="15" t="d">
        <x:v>2026-03-16T00:00:00.000Z</x:v>
      </x:c>
      <x:c r="C1991" s="14" t="d">
        <x:v>2026-03-01T00:00:00.000Z</x:v>
      </x:c>
      <x:c r="D1991" s="34" t="str">
        <x:v>0003</x:v>
      </x:c>
      <x:c r="E1991" s="7" t="str">
        <x:v>Central</x:v>
      </x:c>
      <x:c r="F1991" s="7" t="n">
        <x:v>2</x:v>
      </x:c>
      <x:c r="G1991" s="7" t="n">
        <x:v>200</x:v>
      </x:c>
      <x:c r="H1991" s="9" t="n">
        <x:v>0</x:v>
      </x:c>
      <x:c r="I1991" s="7" t="n">
        <x:v>400</x:v>
      </x:c>
    </x:row>
    <x:row r="1992" ht="23" customHeight="1">
      <x:c r="A1992" s="7" t="str">
        <x:v>INV01987</x:v>
      </x:c>
      <x:c r="B1992" s="15" t="d">
        <x:v>2026-03-17T00:00:00.000Z</x:v>
      </x:c>
      <x:c r="C1992" s="14" t="d">
        <x:v>2026-03-01T00:00:00.000Z</x:v>
      </x:c>
      <x:c r="D1992" s="34" t="str">
        <x:v>0004</x:v>
      </x:c>
      <x:c r="E1992" s="7" t="str">
        <x:v>Central</x:v>
      </x:c>
      <x:c r="F1992" s="7" t="n">
        <x:v>6</x:v>
      </x:c>
      <x:c r="G1992" s="7" t="n">
        <x:v>220</x:v>
      </x:c>
      <x:c r="H1992" s="9" t="n">
        <x:v>0.02</x:v>
      </x:c>
      <x:c r="I1992" s="7" t="n">
        <x:v>1293.6</x:v>
      </x:c>
    </x:row>
    <x:row r="1993" ht="23" customHeight="1">
      <x:c r="A1993" s="7" t="str">
        <x:v>INV01988</x:v>
      </x:c>
      <x:c r="B1993" s="15" t="d">
        <x:v>2026-03-18T00:00:00.000Z</x:v>
      </x:c>
      <x:c r="C1993" s="14" t="d">
        <x:v>2026-03-01T00:00:00.000Z</x:v>
      </x:c>
      <x:c r="D1993" s="34" t="str">
        <x:v>0005</x:v>
      </x:c>
      <x:c r="E1993" s="7" t="str">
        <x:v>Central</x:v>
      </x:c>
      <x:c r="F1993" s="7" t="n">
        <x:v>3</x:v>
      </x:c>
      <x:c r="G1993" s="7" t="n">
        <x:v>240</x:v>
      </x:c>
      <x:c r="H1993" s="9" t="n">
        <x:v>0.05</x:v>
      </x:c>
      <x:c r="I1993" s="7" t="n">
        <x:v>684</x:v>
      </x:c>
    </x:row>
    <x:row r="1994" ht="23" customHeight="1">
      <x:c r="A1994" s="7" t="str">
        <x:v>INV01989</x:v>
      </x:c>
      <x:c r="B1994" s="15" t="d">
        <x:v>2026-03-19T00:00:00.000Z</x:v>
      </x:c>
      <x:c r="C1994" s="14" t="d">
        <x:v>2026-03-01T00:00:00.000Z</x:v>
      </x:c>
      <x:c r="D1994" s="34" t="str">
        <x:v>0006</x:v>
      </x:c>
      <x:c r="E1994" s="7" t="str">
        <x:v>Central</x:v>
      </x:c>
      <x:c r="F1994" s="7" t="n">
        <x:v>7</x:v>
      </x:c>
      <x:c r="G1994" s="7" t="n">
        <x:v>260</x:v>
      </x:c>
      <x:c r="H1994" s="9" t="n">
        <x:v>0</x:v>
      </x:c>
      <x:c r="I1994" s="7" t="n">
        <x:v>1820</x:v>
      </x:c>
    </x:row>
    <x:row r="1995" ht="23" customHeight="1">
      <x:c r="A1995" s="7" t="str">
        <x:v>INV01990</x:v>
      </x:c>
      <x:c r="B1995" s="15" t="d">
        <x:v>2026-03-20T00:00:00.000Z</x:v>
      </x:c>
      <x:c r="C1995" s="14" t="d">
        <x:v>2026-03-01T00:00:00.000Z</x:v>
      </x:c>
      <x:c r="D1995" s="34" t="str">
        <x:v>0007</x:v>
      </x:c>
      <x:c r="E1995" s="7" t="str">
        <x:v>Central</x:v>
      </x:c>
      <x:c r="F1995" s="7" t="n">
        <x:v>7</x:v>
      </x:c>
      <x:c r="G1995" s="7" t="n">
        <x:v>280</x:v>
      </x:c>
      <x:c r="H1995" s="9" t="n">
        <x:v>0.02</x:v>
      </x:c>
      <x:c r="I1995" s="7" t="n">
        <x:v>1920.8</x:v>
      </x:c>
    </x:row>
    <x:row r="1996" ht="23" customHeight="1">
      <x:c r="A1996" s="7" t="str">
        <x:v>INV01991</x:v>
      </x:c>
      <x:c r="B1996" s="15" t="d">
        <x:v>2026-03-21T00:00:00.000Z</x:v>
      </x:c>
      <x:c r="C1996" s="14" t="d">
        <x:v>2026-03-01T00:00:00.000Z</x:v>
      </x:c>
      <x:c r="D1996" s="34" t="str">
        <x:v>0008</x:v>
      </x:c>
      <x:c r="E1996" s="7" t="str">
        <x:v>Central</x:v>
      </x:c>
      <x:c r="F1996" s="7" t="n">
        <x:v>2</x:v>
      </x:c>
      <x:c r="G1996" s="7" t="n">
        <x:v>300</x:v>
      </x:c>
      <x:c r="H1996" s="9" t="n">
        <x:v>0.05</x:v>
      </x:c>
      <x:c r="I1996" s="7" t="n">
        <x:v>570</x:v>
      </x:c>
    </x:row>
    <x:row r="1997" ht="23" customHeight="1">
      <x:c r="A1997" s="7" t="str">
        <x:v>INV01992</x:v>
      </x:c>
      <x:c r="B1997" s="15" t="d">
        <x:v>2026-03-22T00:00:00.000Z</x:v>
      </x:c>
      <x:c r="C1997" s="14" t="d">
        <x:v>2026-03-01T00:00:00.000Z</x:v>
      </x:c>
      <x:c r="D1997" s="34" t="str">
        <x:v>0001</x:v>
      </x:c>
      <x:c r="E1997" s="7" t="str">
        <x:v>East</x:v>
      </x:c>
      <x:c r="F1997" s="7" t="n">
        <x:v>3</x:v>
      </x:c>
      <x:c r="G1997" s="7" t="n">
        <x:v>160</x:v>
      </x:c>
      <x:c r="H1997" s="9" t="n">
        <x:v>0</x:v>
      </x:c>
      <x:c r="I1997" s="7" t="n">
        <x:v>480</x:v>
      </x:c>
    </x:row>
    <x:row r="1998" ht="23" customHeight="1">
      <x:c r="A1998" s="7" t="str">
        <x:v>INV01993</x:v>
      </x:c>
      <x:c r="B1998" s="15" t="d">
        <x:v>2026-03-23T00:00:00.000Z</x:v>
      </x:c>
      <x:c r="C1998" s="14" t="d">
        <x:v>2026-03-01T00:00:00.000Z</x:v>
      </x:c>
      <x:c r="D1998" s="34" t="str">
        <x:v>0002</x:v>
      </x:c>
      <x:c r="E1998" s="7" t="str">
        <x:v>East</x:v>
      </x:c>
      <x:c r="F1998" s="7" t="n">
        <x:v>4</x:v>
      </x:c>
      <x:c r="G1998" s="7" t="n">
        <x:v>180</x:v>
      </x:c>
      <x:c r="H1998" s="9" t="n">
        <x:v>0.02</x:v>
      </x:c>
      <x:c r="I1998" s="7" t="n">
        <x:v>705.6</x:v>
      </x:c>
    </x:row>
    <x:row r="1999" ht="23" customHeight="1">
      <x:c r="A1999" s="7" t="str">
        <x:v>INV01994</x:v>
      </x:c>
      <x:c r="B1999" s="15" t="d">
        <x:v>2026-03-24T00:00:00.000Z</x:v>
      </x:c>
      <x:c r="C1999" s="14" t="d">
        <x:v>2026-03-01T00:00:00.000Z</x:v>
      </x:c>
      <x:c r="D1999" s="34" t="str">
        <x:v>0003</x:v>
      </x:c>
      <x:c r="E1999" s="7" t="str">
        <x:v>East</x:v>
      </x:c>
      <x:c r="F1999" s="7" t="n">
        <x:v>4</x:v>
      </x:c>
      <x:c r="G1999" s="7" t="n">
        <x:v>200</x:v>
      </x:c>
      <x:c r="H1999" s="9" t="n">
        <x:v>0.05</x:v>
      </x:c>
      <x:c r="I1999" s="7" t="n">
        <x:v>760</x:v>
      </x:c>
    </x:row>
    <x:row r="2000" ht="23" customHeight="1">
      <x:c r="A2000" s="7" t="str">
        <x:v>INV01995</x:v>
      </x:c>
      <x:c r="B2000" s="15" t="d">
        <x:v>2026-03-25T00:00:00.000Z</x:v>
      </x:c>
      <x:c r="C2000" s="14" t="d">
        <x:v>2026-03-01T00:00:00.000Z</x:v>
      </x:c>
      <x:c r="D2000" s="34" t="str">
        <x:v>0004</x:v>
      </x:c>
      <x:c r="E2000" s="7" t="str">
        <x:v>East</x:v>
      </x:c>
      <x:c r="F2000" s="7" t="n">
        <x:v>3</x:v>
      </x:c>
      <x:c r="G2000" s="7" t="n">
        <x:v>220</x:v>
      </x:c>
      <x:c r="H2000" s="9" t="n">
        <x:v>0</x:v>
      </x:c>
      <x:c r="I2000" s="7" t="n">
        <x:v>660</x:v>
      </x:c>
    </x:row>
    <x:row r="2001" ht="23" customHeight="1">
      <x:c r="A2001" s="7" t="str">
        <x:v>INV01996</x:v>
      </x:c>
      <x:c r="B2001" s="15" t="d">
        <x:v>2026-03-26T00:00:00.000Z</x:v>
      </x:c>
      <x:c r="C2001" s="14" t="d">
        <x:v>2026-03-01T00:00:00.000Z</x:v>
      </x:c>
      <x:c r="D2001" s="34" t="str">
        <x:v>0005</x:v>
      </x:c>
      <x:c r="E2001" s="7" t="str">
        <x:v>East</x:v>
      </x:c>
      <x:c r="F2001" s="7" t="n">
        <x:v>2</x:v>
      </x:c>
      <x:c r="G2001" s="7" t="n">
        <x:v>240</x:v>
      </x:c>
      <x:c r="H2001" s="9" t="n">
        <x:v>0.02</x:v>
      </x:c>
      <x:c r="I2001" s="7" t="n">
        <x:v>470.4</x:v>
      </x:c>
    </x:row>
    <x:row r="2002" ht="23" customHeight="1">
      <x:c r="A2002" s="7" t="str">
        <x:v>INV01997</x:v>
      </x:c>
      <x:c r="B2002" s="15" t="d">
        <x:v>2026-03-27T00:00:00.000Z</x:v>
      </x:c>
      <x:c r="C2002" s="14" t="d">
        <x:v>2026-03-01T00:00:00.000Z</x:v>
      </x:c>
      <x:c r="D2002" s="34" t="str">
        <x:v>0006</x:v>
      </x:c>
      <x:c r="E2002" s="7" t="str">
        <x:v>East</x:v>
      </x:c>
      <x:c r="F2002" s="7" t="n">
        <x:v>5</x:v>
      </x:c>
      <x:c r="G2002" s="7" t="n">
        <x:v>260</x:v>
      </x:c>
      <x:c r="H2002" s="9" t="n">
        <x:v>0.05</x:v>
      </x:c>
      <x:c r="I2002" s="7" t="n">
        <x:v>1235</x:v>
      </x:c>
    </x:row>
    <x:row r="2003" ht="23" customHeight="1">
      <x:c r="A2003" s="7" t="str">
        <x:v>INV01998</x:v>
      </x:c>
      <x:c r="B2003" s="15" t="d">
        <x:v>2026-03-01T00:00:00.000Z</x:v>
      </x:c>
      <x:c r="C2003" s="14" t="d">
        <x:v>2026-03-01T00:00:00.000Z</x:v>
      </x:c>
      <x:c r="D2003" s="34" t="str">
        <x:v>0007</x:v>
      </x:c>
      <x:c r="E2003" s="7" t="str">
        <x:v>East</x:v>
      </x:c>
      <x:c r="F2003" s="7" t="n">
        <x:v>2</x:v>
      </x:c>
      <x:c r="G2003" s="7" t="n">
        <x:v>280</x:v>
      </x:c>
      <x:c r="H2003" s="9" t="n">
        <x:v>0</x:v>
      </x:c>
      <x:c r="I2003" s="7" t="n">
        <x:v>560</x:v>
      </x:c>
    </x:row>
    <x:row r="2004" ht="23" customHeight="1">
      <x:c r="A2004" s="7" t="str">
        <x:v>INV01999</x:v>
      </x:c>
      <x:c r="B2004" s="15" t="d">
        <x:v>2026-03-02T00:00:00.000Z</x:v>
      </x:c>
      <x:c r="C2004" s="14" t="d">
        <x:v>2026-03-01T00:00:00.000Z</x:v>
      </x:c>
      <x:c r="D2004" s="34" t="str">
        <x:v>0008</x:v>
      </x:c>
      <x:c r="E2004" s="7" t="str">
        <x:v>East</x:v>
      </x:c>
      <x:c r="F2004" s="7" t="n">
        <x:v>3</x:v>
      </x:c>
      <x:c r="G2004" s="7" t="n">
        <x:v>300</x:v>
      </x:c>
      <x:c r="H2004" s="9" t="n">
        <x:v>0.02</x:v>
      </x:c>
      <x:c r="I2004" s="7" t="n">
        <x:v>882</x:v>
      </x:c>
    </x:row>
    <x:row r="2005" ht="23" customHeight="1">
      <x:c r="A2005" s="7" t="str">
        <x:v>INV02000</x:v>
      </x:c>
      <x:c r="B2005" s="15" t="d">
        <x:v>2026-03-03T00:00:00.000Z</x:v>
      </x:c>
      <x:c r="C2005" s="14" t="d">
        <x:v>2026-03-01T00:00:00.000Z</x:v>
      </x:c>
      <x:c r="D2005" s="34" t="str">
        <x:v>0001</x:v>
      </x:c>
      <x:c r="E2005" s="7" t="str">
        <x:v>West</x:v>
      </x:c>
      <x:c r="F2005" s="7" t="n">
        <x:v>7</x:v>
      </x:c>
      <x:c r="G2005" s="7" t="n">
        <x:v>160</x:v>
      </x:c>
      <x:c r="H2005" s="9" t="n">
        <x:v>0.05</x:v>
      </x:c>
      <x:c r="I2005" s="7" t="n">
        <x:v>1064</x:v>
      </x:c>
    </x:row>
    <x:row r="2006" ht="23" customHeight="1">
      <x:c r="A2006" s="7" t="str">
        <x:v>INV02001</x:v>
      </x:c>
      <x:c r="B2006" s="15" t="d">
        <x:v>2026-03-04T00:00:00.000Z</x:v>
      </x:c>
      <x:c r="C2006" s="14" t="d">
        <x:v>2026-03-01T00:00:00.000Z</x:v>
      </x:c>
      <x:c r="D2006" s="34" t="str">
        <x:v>0002</x:v>
      </x:c>
      <x:c r="E2006" s="7" t="str">
        <x:v>West</x:v>
      </x:c>
      <x:c r="F2006" s="7" t="n">
        <x:v>3</x:v>
      </x:c>
      <x:c r="G2006" s="7" t="n">
        <x:v>180</x:v>
      </x:c>
      <x:c r="H2006" s="9" t="n">
        <x:v>0</x:v>
      </x:c>
      <x:c r="I2006" s="7" t="n">
        <x:v>540</x:v>
      </x:c>
    </x:row>
    <x:row r="2007" ht="23" customHeight="1">
      <x:c r="A2007" s="7" t="str">
        <x:v>INV02002</x:v>
      </x:c>
      <x:c r="B2007" s="15" t="d">
        <x:v>2026-03-05T00:00:00.000Z</x:v>
      </x:c>
      <x:c r="C2007" s="14" t="d">
        <x:v>2026-03-01T00:00:00.000Z</x:v>
      </x:c>
      <x:c r="D2007" s="34" t="str">
        <x:v>0003</x:v>
      </x:c>
      <x:c r="E2007" s="7" t="str">
        <x:v>West</x:v>
      </x:c>
      <x:c r="F2007" s="7" t="n">
        <x:v>7</x:v>
      </x:c>
      <x:c r="G2007" s="7" t="n">
        <x:v>200</x:v>
      </x:c>
      <x:c r="H2007" s="9" t="n">
        <x:v>0.02</x:v>
      </x:c>
      <x:c r="I2007" s="7" t="n">
        <x:v>1372</x:v>
      </x:c>
    </x:row>
    <x:row r="2008" ht="23" customHeight="1">
      <x:c r="A2008" s="7" t="str">
        <x:v>INV02003</x:v>
      </x:c>
      <x:c r="B2008" s="15" t="d">
        <x:v>2026-03-06T00:00:00.000Z</x:v>
      </x:c>
      <x:c r="C2008" s="14" t="d">
        <x:v>2026-03-01T00:00:00.000Z</x:v>
      </x:c>
      <x:c r="D2008" s="34" t="str">
        <x:v>0004</x:v>
      </x:c>
      <x:c r="E2008" s="7" t="str">
        <x:v>West</x:v>
      </x:c>
      <x:c r="F2008" s="7" t="n">
        <x:v>1</x:v>
      </x:c>
      <x:c r="G2008" s="7" t="n">
        <x:v>220</x:v>
      </x:c>
      <x:c r="H2008" s="9" t="n">
        <x:v>0.05</x:v>
      </x:c>
      <x:c r="I2008" s="7" t="n">
        <x:v>209</x:v>
      </x:c>
    </x:row>
    <x:row r="2009" ht="23" customHeight="1">
      <x:c r="A2009" s="7" t="str">
        <x:v>INV02004</x:v>
      </x:c>
      <x:c r="B2009" s="15" t="d">
        <x:v>2026-03-07T00:00:00.000Z</x:v>
      </x:c>
      <x:c r="C2009" s="14" t="d">
        <x:v>2026-03-01T00:00:00.000Z</x:v>
      </x:c>
      <x:c r="D2009" s="34" t="str">
        <x:v>0005</x:v>
      </x:c>
      <x:c r="E2009" s="7" t="str">
        <x:v>West</x:v>
      </x:c>
      <x:c r="F2009" s="7" t="n">
        <x:v>3</x:v>
      </x:c>
      <x:c r="G2009" s="7" t="n">
        <x:v>240</x:v>
      </x:c>
      <x:c r="H2009" s="9" t="n">
        <x:v>0</x:v>
      </x:c>
      <x:c r="I2009" s="7" t="n">
        <x:v>720</x:v>
      </x:c>
    </x:row>
    <x:row r="2010" ht="23" customHeight="1">
      <x:c r="A2010" s="7" t="str">
        <x:v>INV02005</x:v>
      </x:c>
      <x:c r="B2010" s="15" t="d">
        <x:v>2026-03-08T00:00:00.000Z</x:v>
      </x:c>
      <x:c r="C2010" s="14" t="d">
        <x:v>2026-03-01T00:00:00.000Z</x:v>
      </x:c>
      <x:c r="D2010" s="34" t="str">
        <x:v>0006</x:v>
      </x:c>
      <x:c r="E2010" s="7" t="str">
        <x:v>West</x:v>
      </x:c>
      <x:c r="F2010" s="7" t="n">
        <x:v>3</x:v>
      </x:c>
      <x:c r="G2010" s="7" t="n">
        <x:v>260</x:v>
      </x:c>
      <x:c r="H2010" s="9" t="n">
        <x:v>0.02</x:v>
      </x:c>
      <x:c r="I2010" s="7" t="n">
        <x:v>764.4</x:v>
      </x:c>
    </x:row>
    <x:row r="2011" ht="23" customHeight="1">
      <x:c r="A2011" s="7" t="str">
        <x:v>INV02006</x:v>
      </x:c>
      <x:c r="B2011" s="15" t="d">
        <x:v>2026-03-09T00:00:00.000Z</x:v>
      </x:c>
      <x:c r="C2011" s="14" t="d">
        <x:v>2026-03-01T00:00:00.000Z</x:v>
      </x:c>
      <x:c r="D2011" s="34" t="str">
        <x:v>0007</x:v>
      </x:c>
      <x:c r="E2011" s="7" t="str">
        <x:v>West</x:v>
      </x:c>
      <x:c r="F2011" s="7" t="n">
        <x:v>5</x:v>
      </x:c>
      <x:c r="G2011" s="7" t="n">
        <x:v>280</x:v>
      </x:c>
      <x:c r="H2011" s="9" t="n">
        <x:v>0.05</x:v>
      </x:c>
      <x:c r="I2011" s="7" t="n">
        <x:v>1330</x:v>
      </x:c>
    </x:row>
    <x:row r="2012" ht="23" customHeight="1">
      <x:c r="A2012" s="7" t="str">
        <x:v>INV02007</x:v>
      </x:c>
      <x:c r="B2012" s="15" t="d">
        <x:v>2026-03-10T00:00:00.000Z</x:v>
      </x:c>
      <x:c r="C2012" s="14" t="d">
        <x:v>2026-03-01T00:00:00.000Z</x:v>
      </x:c>
      <x:c r="D2012" s="34" t="str">
        <x:v>0008</x:v>
      </x:c>
      <x:c r="E2012" s="7" t="str">
        <x:v>West</x:v>
      </x:c>
      <x:c r="F2012" s="7" t="n">
        <x:v>5</x:v>
      </x:c>
      <x:c r="G2012" s="7" t="n">
        <x:v>300</x:v>
      </x:c>
      <x:c r="H2012" s="9" t="n">
        <x:v>0</x:v>
      </x:c>
      <x:c r="I2012" s="7" t="n">
        <x:v>1500</x:v>
      </x:c>
    </x:row>
    <x:row r="2013" ht="23" customHeight="1">
      <x:c r="A2013" s="7" t="str">
        <x:v>INV02008</x:v>
      </x:c>
      <x:c r="B2013" s="15" t="d">
        <x:v>2026-03-11T00:00:00.000Z</x:v>
      </x:c>
      <x:c r="C2013" s="14" t="d">
        <x:v>2026-03-01T00:00:00.000Z</x:v>
      </x:c>
      <x:c r="D2013" s="34" t="str">
        <x:v>0001</x:v>
      </x:c>
      <x:c r="E2013" s="7" t="str">
        <x:v>North</x:v>
      </x:c>
      <x:c r="F2013" s="7" t="n">
        <x:v>4</x:v>
      </x:c>
      <x:c r="G2013" s="7" t="n">
        <x:v>160</x:v>
      </x:c>
      <x:c r="H2013" s="9" t="n">
        <x:v>0.02</x:v>
      </x:c>
      <x:c r="I2013" s="7" t="n">
        <x:v>627.2</x:v>
      </x:c>
    </x:row>
    <x:row r="2014" ht="23" customHeight="1">
      <x:c r="A2014" s="7" t="str">
        <x:v>INV02009</x:v>
      </x:c>
      <x:c r="B2014" s="15" t="d">
        <x:v>2026-03-12T00:00:00.000Z</x:v>
      </x:c>
      <x:c r="C2014" s="14" t="d">
        <x:v>2026-03-01T00:00:00.000Z</x:v>
      </x:c>
      <x:c r="D2014" s="34" t="str">
        <x:v>0002</x:v>
      </x:c>
      <x:c r="E2014" s="7" t="str">
        <x:v>North</x:v>
      </x:c>
      <x:c r="F2014" s="7" t="n">
        <x:v>-1</x:v>
      </x:c>
      <x:c r="G2014" s="7" t="n">
        <x:v>180</x:v>
      </x:c>
      <x:c r="H2014" s="9" t="n">
        <x:v>0.05</x:v>
      </x:c>
      <x:c r="I2014" s="7" t="n">
        <x:v>-171</x:v>
      </x:c>
    </x:row>
    <x:row r="2015" ht="23" customHeight="1">
      <x:c r="A2015" s="7" t="str">
        <x:v>INV02010</x:v>
      </x:c>
      <x:c r="B2015" s="15" t="d">
        <x:v>2026-03-13T00:00:00.000Z</x:v>
      </x:c>
      <x:c r="C2015" s="14" t="d">
        <x:v>2026-03-01T00:00:00.000Z</x:v>
      </x:c>
      <x:c r="D2015" s="34" t="str">
        <x:v>0003</x:v>
      </x:c>
      <x:c r="E2015" s="7" t="str">
        <x:v>North</x:v>
      </x:c>
      <x:c r="F2015" s="7" t="n">
        <x:v>4</x:v>
      </x:c>
      <x:c r="G2015" s="7" t="n">
        <x:v>200</x:v>
      </x:c>
      <x:c r="H2015" s="9" t="n">
        <x:v>0</x:v>
      </x:c>
      <x:c r="I2015" s="7" t="n">
        <x:v>800</x:v>
      </x:c>
    </x:row>
    <x:row r="2016" ht="23" customHeight="1">
      <x:c r="A2016" s="7" t="str">
        <x:v>INV02011</x:v>
      </x:c>
      <x:c r="B2016" s="15" t="d">
        <x:v>2026-03-14T00:00:00.000Z</x:v>
      </x:c>
      <x:c r="C2016" s="14" t="d">
        <x:v>2026-03-01T00:00:00.000Z</x:v>
      </x:c>
      <x:c r="D2016" s="34" t="str">
        <x:v>0004</x:v>
      </x:c>
      <x:c r="E2016" s="7" t="str">
        <x:v>North</x:v>
      </x:c>
      <x:c r="F2016" s="7" t="n">
        <x:v>4</x:v>
      </x:c>
      <x:c r="G2016" s="7" t="n">
        <x:v>220</x:v>
      </x:c>
      <x:c r="H2016" s="9" t="n">
        <x:v>0.02</x:v>
      </x:c>
      <x:c r="I2016" s="7" t="n">
        <x:v>862.4</x:v>
      </x:c>
    </x:row>
    <x:row r="2017" ht="23" customHeight="1">
      <x:c r="A2017" s="7" t="str">
        <x:v>INV02012</x:v>
      </x:c>
      <x:c r="B2017" s="15" t="d">
        <x:v>2026-03-15T00:00:00.000Z</x:v>
      </x:c>
      <x:c r="C2017" s="14" t="d">
        <x:v>2026-03-01T00:00:00.000Z</x:v>
      </x:c>
      <x:c r="D2017" s="34" t="str">
        <x:v>0005</x:v>
      </x:c>
      <x:c r="E2017" s="7" t="str">
        <x:v>North</x:v>
      </x:c>
      <x:c r="F2017" s="7" t="n">
        <x:v>7</x:v>
      </x:c>
      <x:c r="G2017" s="7" t="n">
        <x:v>240</x:v>
      </x:c>
      <x:c r="H2017" s="9" t="n">
        <x:v>0.05</x:v>
      </x:c>
      <x:c r="I2017" s="7" t="n">
        <x:v>1596</x:v>
      </x:c>
    </x:row>
    <x:row r="2018" ht="23" customHeight="1">
      <x:c r="A2018" s="7" t="str">
        <x:v>INV02013</x:v>
      </x:c>
      <x:c r="B2018" s="15" t="d">
        <x:v>2026-03-16T00:00:00.000Z</x:v>
      </x:c>
      <x:c r="C2018" s="14" t="d">
        <x:v>2026-03-01T00:00:00.000Z</x:v>
      </x:c>
      <x:c r="D2018" s="34" t="str">
        <x:v>0006</x:v>
      </x:c>
      <x:c r="E2018" s="7" t="str">
        <x:v>North</x:v>
      </x:c>
      <x:c r="F2018" s="7" t="n">
        <x:v>5</x:v>
      </x:c>
      <x:c r="G2018" s="7" t="n">
        <x:v>260</x:v>
      </x:c>
      <x:c r="H2018" s="9" t="n">
        <x:v>0</x:v>
      </x:c>
      <x:c r="I2018" s="7" t="n">
        <x:v>1300</x:v>
      </x:c>
    </x:row>
    <x:row r="2019" ht="23" customHeight="1">
      <x:c r="A2019" s="7" t="str">
        <x:v>INV02014</x:v>
      </x:c>
      <x:c r="B2019" s="15" t="d">
        <x:v>2026-03-17T00:00:00.000Z</x:v>
      </x:c>
      <x:c r="C2019" s="14" t="d">
        <x:v>2026-03-01T00:00:00.000Z</x:v>
      </x:c>
      <x:c r="D2019" s="34" t="str">
        <x:v>0007</x:v>
      </x:c>
      <x:c r="E2019" s="7" t="str">
        <x:v>North</x:v>
      </x:c>
      <x:c r="F2019" s="7" t="n">
        <x:v>7</x:v>
      </x:c>
      <x:c r="G2019" s="7" t="n">
        <x:v>280</x:v>
      </x:c>
      <x:c r="H2019" s="9" t="n">
        <x:v>0.02</x:v>
      </x:c>
      <x:c r="I2019" s="7" t="n">
        <x:v>1920.8</x:v>
      </x:c>
    </x:row>
    <x:row r="2020" ht="23" customHeight="1">
      <x:c r="A2020" s="7" t="str">
        <x:v>INV02015</x:v>
      </x:c>
      <x:c r="B2020" s="15" t="d">
        <x:v>2026-03-18T00:00:00.000Z</x:v>
      </x:c>
      <x:c r="C2020" s="14" t="d">
        <x:v>2026-03-01T00:00:00.000Z</x:v>
      </x:c>
      <x:c r="D2020" s="34" t="str">
        <x:v>0008</x:v>
      </x:c>
      <x:c r="E2020" s="7" t="str">
        <x:v>North</x:v>
      </x:c>
      <x:c r="F2020" s="7" t="n">
        <x:v>2</x:v>
      </x:c>
      <x:c r="G2020" s="7" t="n">
        <x:v>300</x:v>
      </x:c>
      <x:c r="H2020" s="9" t="n">
        <x:v>0.05</x:v>
      </x:c>
      <x:c r="I2020" s="7" t="n">
        <x:v>570</x:v>
      </x:c>
    </x:row>
    <x:row r="2021" ht="23" customHeight="1">
      <x:c r="A2021" s="7" t="str">
        <x:v>INV02016</x:v>
      </x:c>
      <x:c r="B2021" s="15" t="d">
        <x:v>2026-04-19T00:00:00.000Z</x:v>
      </x:c>
      <x:c r="C2021" s="14" t="d">
        <x:v>2026-04-01T00:00:00.000Z</x:v>
      </x:c>
      <x:c r="D2021" s="34" t="str">
        <x:v>0001</x:v>
      </x:c>
      <x:c r="E2021" s="7" t="str">
        <x:v>Central</x:v>
      </x:c>
      <x:c r="F2021" s="7" t="n">
        <x:v>1</x:v>
      </x:c>
      <x:c r="G2021" s="7" t="n">
        <x:v>160</x:v>
      </x:c>
      <x:c r="H2021" s="9" t="n">
        <x:v>0</x:v>
      </x:c>
      <x:c r="I2021" s="7" t="n">
        <x:v>160</x:v>
      </x:c>
    </x:row>
    <x:row r="2022" ht="23" customHeight="1">
      <x:c r="A2022" s="7" t="str">
        <x:v>INV02017</x:v>
      </x:c>
      <x:c r="B2022" s="15" t="d">
        <x:v>2026-04-20T00:00:00.000Z</x:v>
      </x:c>
      <x:c r="C2022" s="14" t="d">
        <x:v>2026-04-01T00:00:00.000Z</x:v>
      </x:c>
      <x:c r="D2022" s="34" t="str">
        <x:v>0002</x:v>
      </x:c>
      <x:c r="E2022" s="7" t="str">
        <x:v>Central</x:v>
      </x:c>
      <x:c r="F2022" s="7" t="n">
        <x:v>7</x:v>
      </x:c>
      <x:c r="G2022" s="7" t="n">
        <x:v>180</x:v>
      </x:c>
      <x:c r="H2022" s="9" t="n">
        <x:v>0.02</x:v>
      </x:c>
      <x:c r="I2022" s="7" t="n">
        <x:v>1234.8</x:v>
      </x:c>
    </x:row>
    <x:row r="2023" ht="23" customHeight="1">
      <x:c r="A2023" s="7" t="str">
        <x:v>INV02018</x:v>
      </x:c>
      <x:c r="B2023" s="15" t="d">
        <x:v>2026-04-21T00:00:00.000Z</x:v>
      </x:c>
      <x:c r="C2023" s="14" t="d">
        <x:v>2026-04-01T00:00:00.000Z</x:v>
      </x:c>
      <x:c r="D2023" s="34" t="str">
        <x:v>0003</x:v>
      </x:c>
      <x:c r="E2023" s="7" t="str">
        <x:v>Central</x:v>
      </x:c>
      <x:c r="F2023" s="7" t="n">
        <x:v>2</x:v>
      </x:c>
      <x:c r="G2023" s="7" t="n">
        <x:v>200</x:v>
      </x:c>
      <x:c r="H2023" s="9" t="n">
        <x:v>0.05</x:v>
      </x:c>
      <x:c r="I2023" s="7" t="n">
        <x:v>380</x:v>
      </x:c>
    </x:row>
    <x:row r="2024" ht="23" customHeight="1">
      <x:c r="A2024" s="7" t="str">
        <x:v>INV02019</x:v>
      </x:c>
      <x:c r="B2024" s="15" t="d">
        <x:v>2026-04-22T00:00:00.000Z</x:v>
      </x:c>
      <x:c r="C2024" s="14" t="d">
        <x:v>2026-04-01T00:00:00.000Z</x:v>
      </x:c>
      <x:c r="D2024" s="34" t="str">
        <x:v>0004</x:v>
      </x:c>
      <x:c r="E2024" s="7" t="str">
        <x:v>Central</x:v>
      </x:c>
      <x:c r="F2024" s="7" t="n">
        <x:v>4</x:v>
      </x:c>
      <x:c r="G2024" s="7" t="n">
        <x:v>220</x:v>
      </x:c>
      <x:c r="H2024" s="9" t="n">
        <x:v>0</x:v>
      </x:c>
      <x:c r="I2024" s="7" t="n">
        <x:v>880</x:v>
      </x:c>
    </x:row>
    <x:row r="2025" ht="23" customHeight="1">
      <x:c r="A2025" s="7" t="str">
        <x:v>INV02020</x:v>
      </x:c>
      <x:c r="B2025" s="15" t="d">
        <x:v>2026-04-23T00:00:00.000Z</x:v>
      </x:c>
      <x:c r="C2025" s="14" t="d">
        <x:v>2026-04-01T00:00:00.000Z</x:v>
      </x:c>
      <x:c r="D2025" s="34" t="str">
        <x:v>0005</x:v>
      </x:c>
      <x:c r="E2025" s="7" t="str">
        <x:v>Central</x:v>
      </x:c>
      <x:c r="F2025" s="7" t="n">
        <x:v>4</x:v>
      </x:c>
      <x:c r="G2025" s="7" t="n">
        <x:v>240</x:v>
      </x:c>
      <x:c r="H2025" s="9" t="n">
        <x:v>0.02</x:v>
      </x:c>
      <x:c r="I2025" s="7" t="n">
        <x:v>940.8</x:v>
      </x:c>
    </x:row>
    <x:row r="2026" ht="23" customHeight="1">
      <x:c r="A2026" s="7" t="str">
        <x:v>INV02021</x:v>
      </x:c>
      <x:c r="B2026" s="15" t="d">
        <x:v>2026-04-24T00:00:00.000Z</x:v>
      </x:c>
      <x:c r="C2026" s="14" t="d">
        <x:v>2026-04-01T00:00:00.000Z</x:v>
      </x:c>
      <x:c r="D2026" s="34" t="str">
        <x:v>0006</x:v>
      </x:c>
      <x:c r="E2026" s="7" t="str">
        <x:v>Central</x:v>
      </x:c>
      <x:c r="F2026" s="7" t="n">
        <x:v>1</x:v>
      </x:c>
      <x:c r="G2026" s="7" t="n">
        <x:v>260</x:v>
      </x:c>
      <x:c r="H2026" s="9" t="n">
        <x:v>0.05</x:v>
      </x:c>
      <x:c r="I2026" s="7" t="n">
        <x:v>247</x:v>
      </x:c>
    </x:row>
    <x:row r="2027" ht="23" customHeight="1">
      <x:c r="A2027" s="7" t="str">
        <x:v>INV02022</x:v>
      </x:c>
      <x:c r="B2027" s="15" t="d">
        <x:v>2026-04-25T00:00:00.000Z</x:v>
      </x:c>
      <x:c r="C2027" s="14" t="d">
        <x:v>2026-04-01T00:00:00.000Z</x:v>
      </x:c>
      <x:c r="D2027" s="34" t="str">
        <x:v>0007</x:v>
      </x:c>
      <x:c r="E2027" s="7" t="str">
        <x:v>Central</x:v>
      </x:c>
      <x:c r="F2027" s="7" t="n">
        <x:v>7</x:v>
      </x:c>
      <x:c r="G2027" s="7" t="n">
        <x:v>280</x:v>
      </x:c>
      <x:c r="H2027" s="9" t="n">
        <x:v>0</x:v>
      </x:c>
      <x:c r="I2027" s="7" t="n">
        <x:v>1960</x:v>
      </x:c>
    </x:row>
    <x:row r="2028" ht="23" customHeight="1">
      <x:c r="A2028" s="7" t="str">
        <x:v>INV02023</x:v>
      </x:c>
      <x:c r="B2028" s="15" t="d">
        <x:v>2026-04-26T00:00:00.000Z</x:v>
      </x:c>
      <x:c r="C2028" s="14" t="d">
        <x:v>2026-04-01T00:00:00.000Z</x:v>
      </x:c>
      <x:c r="D2028" s="34" t="str">
        <x:v>0008</x:v>
      </x:c>
      <x:c r="E2028" s="7" t="str">
        <x:v>Central</x:v>
      </x:c>
      <x:c r="F2028" s="7" t="n">
        <x:v>1</x:v>
      </x:c>
      <x:c r="G2028" s="7" t="n">
        <x:v>300</x:v>
      </x:c>
      <x:c r="H2028" s="9" t="n">
        <x:v>0.02</x:v>
      </x:c>
      <x:c r="I2028" s="7" t="n">
        <x:v>294</x:v>
      </x:c>
    </x:row>
    <x:row r="2029" ht="23" customHeight="1">
      <x:c r="A2029" s="7" t="str">
        <x:v>INV02024</x:v>
      </x:c>
      <x:c r="B2029" s="15" t="d">
        <x:v>2026-04-27T00:00:00.000Z</x:v>
      </x:c>
      <x:c r="C2029" s="14" t="d">
        <x:v>2026-04-01T00:00:00.000Z</x:v>
      </x:c>
      <x:c r="D2029" s="34" t="str">
        <x:v>0001</x:v>
      </x:c>
      <x:c r="E2029" s="7" t="str">
        <x:v>East</x:v>
      </x:c>
      <x:c r="F2029" s="7" t="n">
        <x:v>7</x:v>
      </x:c>
      <x:c r="G2029" s="7" t="n">
        <x:v>160</x:v>
      </x:c>
      <x:c r="H2029" s="9" t="n">
        <x:v>0.05</x:v>
      </x:c>
      <x:c r="I2029" s="7" t="n">
        <x:v>1064</x:v>
      </x:c>
    </x:row>
    <x:row r="2030" ht="23" customHeight="1">
      <x:c r="A2030" s="7" t="str">
        <x:v>INV02025</x:v>
      </x:c>
      <x:c r="B2030" s="15" t="d">
        <x:v>2026-04-01T00:00:00.000Z</x:v>
      </x:c>
      <x:c r="C2030" s="14" t="d">
        <x:v>2026-04-01T00:00:00.000Z</x:v>
      </x:c>
      <x:c r="D2030" s="34" t="str">
        <x:v>0002</x:v>
      </x:c>
      <x:c r="E2030" s="7" t="str">
        <x:v>East</x:v>
      </x:c>
      <x:c r="F2030" s="7" t="n">
        <x:v>6</x:v>
      </x:c>
      <x:c r="G2030" s="7" t="n">
        <x:v>180</x:v>
      </x:c>
      <x:c r="H2030" s="9" t="n">
        <x:v>0</x:v>
      </x:c>
      <x:c r="I2030" s="7" t="n">
        <x:v>1080</x:v>
      </x:c>
    </x:row>
    <x:row r="2031" ht="23" customHeight="1">
      <x:c r="A2031" s="7" t="str">
        <x:v>INV02026</x:v>
      </x:c>
      <x:c r="B2031" s="15" t="d">
        <x:v>2026-04-02T00:00:00.000Z</x:v>
      </x:c>
      <x:c r="C2031" s="14" t="d">
        <x:v>2026-04-01T00:00:00.000Z</x:v>
      </x:c>
      <x:c r="D2031" s="34" t="str">
        <x:v>0003</x:v>
      </x:c>
      <x:c r="E2031" s="7" t="str">
        <x:v>East</x:v>
      </x:c>
      <x:c r="F2031" s="7" t="n">
        <x:v>4</x:v>
      </x:c>
      <x:c r="G2031" s="7" t="n">
        <x:v>200</x:v>
      </x:c>
      <x:c r="H2031" s="9" t="n">
        <x:v>0.02</x:v>
      </x:c>
      <x:c r="I2031" s="7" t="n">
        <x:v>784</x:v>
      </x:c>
    </x:row>
    <x:row r="2032" ht="23" customHeight="1">
      <x:c r="A2032" s="7" t="str">
        <x:v>INV02027</x:v>
      </x:c>
      <x:c r="B2032" s="15" t="d">
        <x:v>2026-04-03T00:00:00.000Z</x:v>
      </x:c>
      <x:c r="C2032" s="14" t="d">
        <x:v>2026-04-01T00:00:00.000Z</x:v>
      </x:c>
      <x:c r="D2032" s="34" t="str">
        <x:v>0004</x:v>
      </x:c>
      <x:c r="E2032" s="7" t="str">
        <x:v>East</x:v>
      </x:c>
      <x:c r="F2032" s="7" t="n">
        <x:v>1</x:v>
      </x:c>
      <x:c r="G2032" s="7" t="n">
        <x:v>220</x:v>
      </x:c>
      <x:c r="H2032" s="9" t="n">
        <x:v>0.05</x:v>
      </x:c>
      <x:c r="I2032" s="7" t="n">
        <x:v>209</x:v>
      </x:c>
    </x:row>
    <x:row r="2033" ht="23" customHeight="1">
      <x:c r="A2033" s="7" t="str">
        <x:v>INV02028</x:v>
      </x:c>
      <x:c r="B2033" s="15" t="d">
        <x:v>2026-04-04T00:00:00.000Z</x:v>
      </x:c>
      <x:c r="C2033" s="14" t="d">
        <x:v>2026-04-01T00:00:00.000Z</x:v>
      </x:c>
      <x:c r="D2033" s="34" t="str">
        <x:v>0005</x:v>
      </x:c>
      <x:c r="E2033" s="7" t="str">
        <x:v>East</x:v>
      </x:c>
      <x:c r="F2033" s="7" t="n">
        <x:v>6</x:v>
      </x:c>
      <x:c r="G2033" s="7" t="n">
        <x:v>240</x:v>
      </x:c>
      <x:c r="H2033" s="9" t="n">
        <x:v>0</x:v>
      </x:c>
      <x:c r="I2033" s="7" t="n">
        <x:v>1440</x:v>
      </x:c>
    </x:row>
    <x:row r="2034" ht="23" customHeight="1">
      <x:c r="A2034" s="7" t="str">
        <x:v>INV02029</x:v>
      </x:c>
      <x:c r="B2034" s="15" t="d">
        <x:v>2026-04-05T00:00:00.000Z</x:v>
      </x:c>
      <x:c r="C2034" s="14" t="d">
        <x:v>2026-04-01T00:00:00.000Z</x:v>
      </x:c>
      <x:c r="D2034" s="34" t="str">
        <x:v>0006</x:v>
      </x:c>
      <x:c r="E2034" s="7" t="str">
        <x:v>East</x:v>
      </x:c>
      <x:c r="F2034" s="7" t="n">
        <x:v>6</x:v>
      </x:c>
      <x:c r="G2034" s="7" t="n">
        <x:v>260</x:v>
      </x:c>
      <x:c r="H2034" s="9" t="n">
        <x:v>0.02</x:v>
      </x:c>
      <x:c r="I2034" s="7" t="n">
        <x:v>1528.8</x:v>
      </x:c>
    </x:row>
    <x:row r="2035" ht="23" customHeight="1">
      <x:c r="A2035" s="7" t="str">
        <x:v>INV02030</x:v>
      </x:c>
      <x:c r="B2035" s="15" t="d">
        <x:v>2026-04-06T00:00:00.000Z</x:v>
      </x:c>
      <x:c r="C2035" s="14" t="d">
        <x:v>2026-04-01T00:00:00.000Z</x:v>
      </x:c>
      <x:c r="D2035" s="34" t="str">
        <x:v>0007</x:v>
      </x:c>
      <x:c r="E2035" s="7" t="str">
        <x:v>East</x:v>
      </x:c>
      <x:c r="F2035" s="7" t="n">
        <x:v>3</x:v>
      </x:c>
      <x:c r="G2035" s="7" t="n">
        <x:v>280</x:v>
      </x:c>
      <x:c r="H2035" s="9" t="n">
        <x:v>0.05</x:v>
      </x:c>
      <x:c r="I2035" s="7" t="n">
        <x:v>798</x:v>
      </x:c>
    </x:row>
    <x:row r="2036" ht="23" customHeight="1">
      <x:c r="A2036" s="7" t="str">
        <x:v>INV02031</x:v>
      </x:c>
      <x:c r="B2036" s="15" t="d">
        <x:v>2026-04-07T00:00:00.000Z</x:v>
      </x:c>
      <x:c r="C2036" s="14" t="d">
        <x:v>2026-04-01T00:00:00.000Z</x:v>
      </x:c>
      <x:c r="D2036" s="34" t="str">
        <x:v>0008</x:v>
      </x:c>
      <x:c r="E2036" s="7" t="str">
        <x:v>East</x:v>
      </x:c>
      <x:c r="F2036" s="7" t="n">
        <x:v>1</x:v>
      </x:c>
      <x:c r="G2036" s="7" t="n">
        <x:v>300</x:v>
      </x:c>
      <x:c r="H2036" s="9" t="n">
        <x:v>0</x:v>
      </x:c>
      <x:c r="I2036" s="7" t="n">
        <x:v>300</x:v>
      </x:c>
    </x:row>
    <x:row r="2037" ht="23" customHeight="1">
      <x:c r="A2037" s="7" t="str">
        <x:v>INV02032</x:v>
      </x:c>
      <x:c r="B2037" s="15" t="d">
        <x:v>2026-04-08T00:00:00.000Z</x:v>
      </x:c>
      <x:c r="C2037" s="14" t="d">
        <x:v>2026-04-01T00:00:00.000Z</x:v>
      </x:c>
      <x:c r="D2037" s="34" t="str">
        <x:v>0001</x:v>
      </x:c>
      <x:c r="E2037" s="7" t="str">
        <x:v>West</x:v>
      </x:c>
      <x:c r="F2037" s="7" t="n">
        <x:v>2</x:v>
      </x:c>
      <x:c r="G2037" s="7" t="n">
        <x:v>160</x:v>
      </x:c>
      <x:c r="H2037" s="9" t="n">
        <x:v>0.02</x:v>
      </x:c>
      <x:c r="I2037" s="7" t="n">
        <x:v>313.6</x:v>
      </x:c>
    </x:row>
    <x:row r="2038" ht="23" customHeight="1">
      <x:c r="A2038" s="7" t="str">
        <x:v>INV02033</x:v>
      </x:c>
      <x:c r="B2038" s="15" t="d">
        <x:v>2026-04-09T00:00:00.000Z</x:v>
      </x:c>
      <x:c r="C2038" s="14" t="d">
        <x:v>2026-04-01T00:00:00.000Z</x:v>
      </x:c>
      <x:c r="D2038" s="34" t="str">
        <x:v>0002</x:v>
      </x:c>
      <x:c r="E2038" s="7" t="str">
        <x:v>West</x:v>
      </x:c>
      <x:c r="F2038" s="7" t="n">
        <x:v>2</x:v>
      </x:c>
      <x:c r="G2038" s="7" t="n">
        <x:v>180</x:v>
      </x:c>
      <x:c r="H2038" s="9" t="n">
        <x:v>0.05</x:v>
      </x:c>
      <x:c r="I2038" s="7" t="n">
        <x:v>342</x:v>
      </x:c>
    </x:row>
    <x:row r="2039" ht="23" customHeight="1">
      <x:c r="A2039" s="7" t="str">
        <x:v>INV02034</x:v>
      </x:c>
      <x:c r="B2039" s="15" t="d">
        <x:v>2026-04-10T00:00:00.000Z</x:v>
      </x:c>
      <x:c r="C2039" s="14" t="d">
        <x:v>2026-04-01T00:00:00.000Z</x:v>
      </x:c>
      <x:c r="D2039" s="34" t="str">
        <x:v>0003</x:v>
      </x:c>
      <x:c r="E2039" s="7" t="str">
        <x:v>West</x:v>
      </x:c>
      <x:c r="F2039" s="7" t="n">
        <x:v>4</x:v>
      </x:c>
      <x:c r="G2039" s="7" t="n">
        <x:v>200</x:v>
      </x:c>
      <x:c r="H2039" s="9" t="n">
        <x:v>0</x:v>
      </x:c>
      <x:c r="I2039" s="7" t="n">
        <x:v>800</x:v>
      </x:c>
    </x:row>
    <x:row r="2040" ht="23" customHeight="1">
      <x:c r="A2040" s="7" t="str">
        <x:v>INV02035</x:v>
      </x:c>
      <x:c r="B2040" s="15" t="d">
        <x:v>2026-04-11T00:00:00.000Z</x:v>
      </x:c>
      <x:c r="C2040" s="14" t="d">
        <x:v>2026-04-01T00:00:00.000Z</x:v>
      </x:c>
      <x:c r="D2040" s="34" t="str">
        <x:v>0004</x:v>
      </x:c>
      <x:c r="E2040" s="7" t="str">
        <x:v>West</x:v>
      </x:c>
      <x:c r="F2040" s="7" t="n">
        <x:v>5</x:v>
      </x:c>
      <x:c r="G2040" s="7" t="n">
        <x:v>220</x:v>
      </x:c>
      <x:c r="H2040" s="9" t="n">
        <x:v>0.02</x:v>
      </x:c>
      <x:c r="I2040" s="7" t="n">
        <x:v>1078</x:v>
      </x:c>
    </x:row>
    <x:row r="2041" ht="23" customHeight="1">
      <x:c r="A2041" s="7" t="str">
        <x:v>INV02036</x:v>
      </x:c>
      <x:c r="B2041" s="15" t="d">
        <x:v>2026-04-12T00:00:00.000Z</x:v>
      </x:c>
      <x:c r="C2041" s="14" t="d">
        <x:v>2026-04-01T00:00:00.000Z</x:v>
      </x:c>
      <x:c r="D2041" s="34" t="str">
        <x:v>0005</x:v>
      </x:c>
      <x:c r="E2041" s="7" t="str">
        <x:v>West</x:v>
      </x:c>
      <x:c r="F2041" s="7" t="n">
        <x:v>2</x:v>
      </x:c>
      <x:c r="G2041" s="7" t="n">
        <x:v>240</x:v>
      </x:c>
      <x:c r="H2041" s="9" t="n">
        <x:v>0.05</x:v>
      </x:c>
      <x:c r="I2041" s="7" t="n">
        <x:v>456</x:v>
      </x:c>
    </x:row>
    <x:row r="2042" ht="23" customHeight="1">
      <x:c r="A2042" s="7" t="str">
        <x:v>INV02037</x:v>
      </x:c>
      <x:c r="B2042" s="15" t="d">
        <x:v>2026-04-13T00:00:00.000Z</x:v>
      </x:c>
      <x:c r="C2042" s="14" t="d">
        <x:v>2026-04-01T00:00:00.000Z</x:v>
      </x:c>
      <x:c r="D2042" s="34" t="str">
        <x:v>0006</x:v>
      </x:c>
      <x:c r="E2042" s="7" t="str">
        <x:v>West</x:v>
      </x:c>
      <x:c r="F2042" s="7" t="n">
        <x:v>2</x:v>
      </x:c>
      <x:c r="G2042" s="7" t="n">
        <x:v>260</x:v>
      </x:c>
      <x:c r="H2042" s="9" t="n">
        <x:v>0</x:v>
      </x:c>
      <x:c r="I2042" s="7" t="n">
        <x:v>520</x:v>
      </x:c>
    </x:row>
    <x:row r="2043" ht="23" customHeight="1">
      <x:c r="A2043" s="7" t="str">
        <x:v>INV02038</x:v>
      </x:c>
      <x:c r="B2043" s="15" t="d">
        <x:v>2026-04-14T00:00:00.000Z</x:v>
      </x:c>
      <x:c r="C2043" s="14" t="d">
        <x:v>2026-04-01T00:00:00.000Z</x:v>
      </x:c>
      <x:c r="D2043" s="34" t="str">
        <x:v>0007</x:v>
      </x:c>
      <x:c r="E2043" s="7" t="str">
        <x:v>West</x:v>
      </x:c>
      <x:c r="F2043" s="7" t="n">
        <x:v>3</x:v>
      </x:c>
      <x:c r="G2043" s="7" t="n">
        <x:v>280</x:v>
      </x:c>
      <x:c r="H2043" s="9" t="n">
        <x:v>0.02</x:v>
      </x:c>
      <x:c r="I2043" s="7" t="n">
        <x:v>823.2</x:v>
      </x:c>
    </x:row>
    <x:row r="2044" ht="23" customHeight="1">
      <x:c r="A2044" s="7" t="str">
        <x:v>INV02039</x:v>
      </x:c>
      <x:c r="B2044" s="15" t="d">
        <x:v>2026-04-15T00:00:00.000Z</x:v>
      </x:c>
      <x:c r="C2044" s="14" t="d">
        <x:v>2026-04-01T00:00:00.000Z</x:v>
      </x:c>
      <x:c r="D2044" s="34" t="str">
        <x:v>0008</x:v>
      </x:c>
      <x:c r="E2044" s="7" t="str">
        <x:v>West</x:v>
      </x:c>
      <x:c r="F2044" s="7" t="n">
        <x:v>4</x:v>
      </x:c>
      <x:c r="G2044" s="7" t="n">
        <x:v>300</x:v>
      </x:c>
      <x:c r="H2044" s="9" t="n">
        <x:v>0.05</x:v>
      </x:c>
      <x:c r="I2044" s="7" t="n">
        <x:v>1140</x:v>
      </x:c>
    </x:row>
    <x:row r="2045" ht="23" customHeight="1">
      <x:c r="A2045" s="7" t="str">
        <x:v>INV02040</x:v>
      </x:c>
      <x:c r="B2045" s="15" t="d">
        <x:v>2026-04-16T00:00:00.000Z</x:v>
      </x:c>
      <x:c r="C2045" s="14" t="d">
        <x:v>2026-04-01T00:00:00.000Z</x:v>
      </x:c>
      <x:c r="D2045" s="34" t="str">
        <x:v>0001</x:v>
      </x:c>
      <x:c r="E2045" s="7" t="str">
        <x:v>North</x:v>
      </x:c>
      <x:c r="F2045" s="7" t="n">
        <x:v>4</x:v>
      </x:c>
      <x:c r="G2045" s="7" t="n">
        <x:v>160</x:v>
      </x:c>
      <x:c r="H2045" s="9" t="n">
        <x:v>0</x:v>
      </x:c>
      <x:c r="I2045" s="7" t="n">
        <x:v>640</x:v>
      </x:c>
    </x:row>
    <x:row r="2046" ht="23" customHeight="1">
      <x:c r="A2046" s="7" t="str">
        <x:v>INV02041</x:v>
      </x:c>
      <x:c r="B2046" s="15" t="d">
        <x:v>2026-04-17T00:00:00.000Z</x:v>
      </x:c>
      <x:c r="C2046" s="14" t="d">
        <x:v>2026-04-01T00:00:00.000Z</x:v>
      </x:c>
      <x:c r="D2046" s="34" t="str">
        <x:v>0002</x:v>
      </x:c>
      <x:c r="E2046" s="7" t="str">
        <x:v>North</x:v>
      </x:c>
      <x:c r="F2046" s="7" t="n">
        <x:v>7</x:v>
      </x:c>
      <x:c r="G2046" s="7" t="n">
        <x:v>180</x:v>
      </x:c>
      <x:c r="H2046" s="9" t="n">
        <x:v>0.02</x:v>
      </x:c>
      <x:c r="I2046" s="7" t="n">
        <x:v>1234.8</x:v>
      </x:c>
    </x:row>
    <x:row r="2047" ht="23" customHeight="1">
      <x:c r="A2047" s="7" t="str">
        <x:v>INV02042</x:v>
      </x:c>
      <x:c r="B2047" s="15" t="d">
        <x:v>2026-04-18T00:00:00.000Z</x:v>
      </x:c>
      <x:c r="C2047" s="14" t="d">
        <x:v>2026-04-01T00:00:00.000Z</x:v>
      </x:c>
      <x:c r="D2047" s="34" t="str">
        <x:v>0003</x:v>
      </x:c>
      <x:c r="E2047" s="7" t="str">
        <x:v>North</x:v>
      </x:c>
      <x:c r="F2047" s="7" t="n">
        <x:v>6</x:v>
      </x:c>
      <x:c r="G2047" s="7" t="n">
        <x:v>200</x:v>
      </x:c>
      <x:c r="H2047" s="9" t="n">
        <x:v>0.05</x:v>
      </x:c>
      <x:c r="I2047" s="7" t="n">
        <x:v>1140</x:v>
      </x:c>
    </x:row>
    <x:row r="2048" ht="23" customHeight="1">
      <x:c r="A2048" s="7" t="str">
        <x:v>INV02043</x:v>
      </x:c>
      <x:c r="B2048" s="15" t="d">
        <x:v>2026-04-19T00:00:00.000Z</x:v>
      </x:c>
      <x:c r="C2048" s="14" t="d">
        <x:v>2026-04-01T00:00:00.000Z</x:v>
      </x:c>
      <x:c r="D2048" s="34" t="str">
        <x:v>0004</x:v>
      </x:c>
      <x:c r="E2048" s="7" t="str">
        <x:v>North</x:v>
      </x:c>
      <x:c r="F2048" s="7" t="n">
        <x:v>5</x:v>
      </x:c>
      <x:c r="G2048" s="7" t="n">
        <x:v>220</x:v>
      </x:c>
      <x:c r="H2048" s="9" t="n">
        <x:v>0</x:v>
      </x:c>
      <x:c r="I2048" s="7" t="n">
        <x:v>1100</x:v>
      </x:c>
    </x:row>
    <x:row r="2049" ht="23" customHeight="1">
      <x:c r="A2049" s="7" t="str">
        <x:v>INV02044</x:v>
      </x:c>
      <x:c r="B2049" s="15" t="d">
        <x:v>2026-04-20T00:00:00.000Z</x:v>
      </x:c>
      <x:c r="C2049" s="14" t="d">
        <x:v>2026-04-01T00:00:00.000Z</x:v>
      </x:c>
      <x:c r="D2049" s="34" t="str">
        <x:v>0005</x:v>
      </x:c>
      <x:c r="E2049" s="7" t="str">
        <x:v>North</x:v>
      </x:c>
      <x:c r="F2049" s="7" t="n">
        <x:v>1</x:v>
      </x:c>
      <x:c r="G2049" s="7" t="n">
        <x:v>240</x:v>
      </x:c>
      <x:c r="H2049" s="9" t="n">
        <x:v>0.02</x:v>
      </x:c>
      <x:c r="I2049" s="7" t="n">
        <x:v>235.2</x:v>
      </x:c>
    </x:row>
    <x:row r="2050" ht="23" customHeight="1">
      <x:c r="A2050" s="7" t="str">
        <x:v>INV02045</x:v>
      </x:c>
      <x:c r="B2050" s="15" t="d">
        <x:v>2026-04-21T00:00:00.000Z</x:v>
      </x:c>
      <x:c r="C2050" s="14" t="d">
        <x:v>2026-04-01T00:00:00.000Z</x:v>
      </x:c>
      <x:c r="D2050" s="34" t="str">
        <x:v>0006</x:v>
      </x:c>
      <x:c r="E2050" s="7" t="str">
        <x:v>North</x:v>
      </x:c>
      <x:c r="F2050" s="7" t="n">
        <x:v>3</x:v>
      </x:c>
      <x:c r="G2050" s="7" t="n">
        <x:v>260</x:v>
      </x:c>
      <x:c r="H2050" s="9" t="n">
        <x:v>0.05</x:v>
      </x:c>
      <x:c r="I2050" s="7" t="n">
        <x:v>741</x:v>
      </x:c>
    </x:row>
    <x:row r="2051" ht="23" customHeight="1">
      <x:c r="A2051" s="7" t="str">
        <x:v>INV02046</x:v>
      </x:c>
      <x:c r="B2051" s="15" t="d">
        <x:v>2026-04-22T00:00:00.000Z</x:v>
      </x:c>
      <x:c r="C2051" s="14" t="d">
        <x:v>2026-04-01T00:00:00.000Z</x:v>
      </x:c>
      <x:c r="D2051" s="34" t="str">
        <x:v>0007</x:v>
      </x:c>
      <x:c r="E2051" s="7" t="str">
        <x:v>North</x:v>
      </x:c>
      <x:c r="F2051" s="7" t="n">
        <x:v>2</x:v>
      </x:c>
      <x:c r="G2051" s="7" t="n">
        <x:v>280</x:v>
      </x:c>
      <x:c r="H2051" s="9" t="n">
        <x:v>0</x:v>
      </x:c>
      <x:c r="I2051" s="7" t="n">
        <x:v>560</x:v>
      </x:c>
    </x:row>
    <x:row r="2052" ht="23" customHeight="1">
      <x:c r="A2052" s="7" t="str">
        <x:v>INV02047</x:v>
      </x:c>
      <x:c r="B2052" s="15" t="d">
        <x:v>2026-04-23T00:00:00.000Z</x:v>
      </x:c>
      <x:c r="C2052" s="14" t="d">
        <x:v>2026-04-01T00:00:00.000Z</x:v>
      </x:c>
      <x:c r="D2052" s="34" t="str">
        <x:v>0008</x:v>
      </x:c>
      <x:c r="E2052" s="7" t="str">
        <x:v>North</x:v>
      </x:c>
      <x:c r="F2052" s="7" t="n">
        <x:v>7</x:v>
      </x:c>
      <x:c r="G2052" s="7" t="n">
        <x:v>300</x:v>
      </x:c>
      <x:c r="H2052" s="9" t="n">
        <x:v>0.02</x:v>
      </x:c>
      <x:c r="I2052" s="7" t="n">
        <x:v>2058</x:v>
      </x:c>
    </x:row>
    <x:row r="2053" ht="23" customHeight="1">
      <x:c r="A2053" s="7" t="str">
        <x:v>INV02048</x:v>
      </x:c>
      <x:c r="B2053" s="15" t="d">
        <x:v>2026-05-24T00:00:00.000Z</x:v>
      </x:c>
      <x:c r="C2053" s="14" t="d">
        <x:v>2026-05-01T00:00:00.000Z</x:v>
      </x:c>
      <x:c r="D2053" s="34" t="str">
        <x:v>0001</x:v>
      </x:c>
      <x:c r="E2053" s="7" t="str">
        <x:v>Central</x:v>
      </x:c>
      <x:c r="F2053" s="7" t="n">
        <x:v>7</x:v>
      </x:c>
      <x:c r="G2053" s="7" t="n">
        <x:v>160</x:v>
      </x:c>
      <x:c r="H2053" s="9" t="n">
        <x:v>0.05</x:v>
      </x:c>
      <x:c r="I2053" s="7" t="n">
        <x:v>1064</x:v>
      </x:c>
    </x:row>
    <x:row r="2054" ht="23" customHeight="1">
      <x:c r="A2054" s="7" t="str">
        <x:v>INV02049</x:v>
      </x:c>
      <x:c r="B2054" s="15" t="d">
        <x:v>2026-05-25T00:00:00.000Z</x:v>
      </x:c>
      <x:c r="C2054" s="14" t="d">
        <x:v>2026-05-01T00:00:00.000Z</x:v>
      </x:c>
      <x:c r="D2054" s="34" t="str">
        <x:v>0002</x:v>
      </x:c>
      <x:c r="E2054" s="7" t="str">
        <x:v>Central</x:v>
      </x:c>
      <x:c r="F2054" s="7" t="n">
        <x:v>7</x:v>
      </x:c>
      <x:c r="G2054" s="7" t="n">
        <x:v>180</x:v>
      </x:c>
      <x:c r="H2054" s="9" t="n">
        <x:v>0</x:v>
      </x:c>
      <x:c r="I2054" s="7" t="n">
        <x:v>1260</x:v>
      </x:c>
    </x:row>
    <x:row r="2055" ht="23" customHeight="1">
      <x:c r="A2055" s="7" t="str">
        <x:v>INV02050</x:v>
      </x:c>
      <x:c r="B2055" s="15" t="d">
        <x:v>2026-05-26T00:00:00.000Z</x:v>
      </x:c>
      <x:c r="C2055" s="14" t="d">
        <x:v>2026-05-01T00:00:00.000Z</x:v>
      </x:c>
      <x:c r="D2055" s="34" t="str">
        <x:v>0003</x:v>
      </x:c>
      <x:c r="E2055" s="7" t="str">
        <x:v>Central</x:v>
      </x:c>
      <x:c r="F2055" s="7" t="n">
        <x:v>-4</x:v>
      </x:c>
      <x:c r="G2055" s="7" t="n">
        <x:v>200</x:v>
      </x:c>
      <x:c r="H2055" s="9" t="n">
        <x:v>0.02</x:v>
      </x:c>
      <x:c r="I2055" s="7" t="n">
        <x:v>-784</x:v>
      </x:c>
    </x:row>
    <x:row r="2056" ht="23" customHeight="1">
      <x:c r="A2056" s="7" t="str">
        <x:v>INV02051</x:v>
      </x:c>
      <x:c r="B2056" s="15" t="d">
        <x:v>2026-05-27T00:00:00.000Z</x:v>
      </x:c>
      <x:c r="C2056" s="14" t="d">
        <x:v>2026-05-01T00:00:00.000Z</x:v>
      </x:c>
      <x:c r="D2056" s="34" t="str">
        <x:v>0004</x:v>
      </x:c>
      <x:c r="E2056" s="7" t="str">
        <x:v>Central</x:v>
      </x:c>
      <x:c r="F2056" s="7" t="n">
        <x:v>1</x:v>
      </x:c>
      <x:c r="G2056" s="7" t="n">
        <x:v>220</x:v>
      </x:c>
      <x:c r="H2056" s="9" t="n">
        <x:v>0.05</x:v>
      </x:c>
      <x:c r="I2056" s="7" t="n">
        <x:v>209</x:v>
      </x:c>
    </x:row>
    <x:row r="2057" ht="23" customHeight="1">
      <x:c r="A2057" s="7" t="str">
        <x:v>INV02052</x:v>
      </x:c>
      <x:c r="B2057" s="15" t="d">
        <x:v>2026-05-01T00:00:00.000Z</x:v>
      </x:c>
      <x:c r="C2057" s="14" t="d">
        <x:v>2026-05-01T00:00:00.000Z</x:v>
      </x:c>
      <x:c r="D2057" s="34" t="str">
        <x:v>0005</x:v>
      </x:c>
      <x:c r="E2057" s="7" t="str">
        <x:v>Central</x:v>
      </x:c>
      <x:c r="F2057" s="7" t="n">
        <x:v>3</x:v>
      </x:c>
      <x:c r="G2057" s="7" t="n">
        <x:v>240</x:v>
      </x:c>
      <x:c r="H2057" s="9" t="n">
        <x:v>0</x:v>
      </x:c>
      <x:c r="I2057" s="7" t="n">
        <x:v>720</x:v>
      </x:c>
    </x:row>
    <x:row r="2058" ht="23" customHeight="1">
      <x:c r="A2058" s="7" t="str">
        <x:v>INV02053</x:v>
      </x:c>
      <x:c r="B2058" s="15" t="d">
        <x:v>2026-05-02T00:00:00.000Z</x:v>
      </x:c>
      <x:c r="C2058" s="14" t="d">
        <x:v>2026-05-01T00:00:00.000Z</x:v>
      </x:c>
      <x:c r="D2058" s="34" t="str">
        <x:v>0006</x:v>
      </x:c>
      <x:c r="E2058" s="7" t="str">
        <x:v>Central</x:v>
      </x:c>
      <x:c r="F2058" s="7" t="n">
        <x:v>5</x:v>
      </x:c>
      <x:c r="G2058" s="7" t="n">
        <x:v>260</x:v>
      </x:c>
      <x:c r="H2058" s="9" t="n">
        <x:v>0.02</x:v>
      </x:c>
      <x:c r="I2058" s="7" t="n">
        <x:v>1274</x:v>
      </x:c>
    </x:row>
    <x:row r="2059" ht="23" customHeight="1">
      <x:c r="A2059" s="7" t="str">
        <x:v>INV02054</x:v>
      </x:c>
      <x:c r="B2059" s="15" t="d">
        <x:v>2026-05-03T00:00:00.000Z</x:v>
      </x:c>
      <x:c r="C2059" s="14" t="d">
        <x:v>2026-05-01T00:00:00.000Z</x:v>
      </x:c>
      <x:c r="D2059" s="34" t="str">
        <x:v>0007</x:v>
      </x:c>
      <x:c r="E2059" s="7" t="str">
        <x:v>Central</x:v>
      </x:c>
      <x:c r="F2059" s="7" t="n">
        <x:v>7</x:v>
      </x:c>
      <x:c r="G2059" s="7" t="n">
        <x:v>280</x:v>
      </x:c>
      <x:c r="H2059" s="9" t="n">
        <x:v>0.05</x:v>
      </x:c>
      <x:c r="I2059" s="7" t="n">
        <x:v>1862</x:v>
      </x:c>
    </x:row>
    <x:row r="2060" ht="23" customHeight="1">
      <x:c r="A2060" s="7" t="str">
        <x:v>INV02055</x:v>
      </x:c>
      <x:c r="B2060" s="15" t="d">
        <x:v>2026-05-04T00:00:00.000Z</x:v>
      </x:c>
      <x:c r="C2060" s="14" t="d">
        <x:v>2026-05-01T00:00:00.000Z</x:v>
      </x:c>
      <x:c r="D2060" s="34" t="str">
        <x:v>0008</x:v>
      </x:c>
      <x:c r="E2060" s="7" t="str">
        <x:v>Central</x:v>
      </x:c>
      <x:c r="F2060" s="7" t="n">
        <x:v>4</x:v>
      </x:c>
      <x:c r="G2060" s="7" t="n">
        <x:v>300</x:v>
      </x:c>
      <x:c r="H2060" s="9" t="n">
        <x:v>0</x:v>
      </x:c>
      <x:c r="I2060" s="7" t="n">
        <x:v>1200</x:v>
      </x:c>
    </x:row>
    <x:row r="2061" ht="23" customHeight="1">
      <x:c r="A2061" s="7" t="str">
        <x:v>INV02056</x:v>
      </x:c>
      <x:c r="B2061" s="15" t="d">
        <x:v>2026-05-05T00:00:00.000Z</x:v>
      </x:c>
      <x:c r="C2061" s="14" t="d">
        <x:v>2026-05-01T00:00:00.000Z</x:v>
      </x:c>
      <x:c r="D2061" s="34" t="str">
        <x:v>0001</x:v>
      </x:c>
      <x:c r="E2061" s="7" t="str">
        <x:v>East</x:v>
      </x:c>
      <x:c r="F2061" s="7" t="n">
        <x:v>1</x:v>
      </x:c>
      <x:c r="G2061" s="7" t="n">
        <x:v>160</x:v>
      </x:c>
      <x:c r="H2061" s="9" t="n">
        <x:v>0.02</x:v>
      </x:c>
      <x:c r="I2061" s="7" t="n">
        <x:v>156.8</x:v>
      </x:c>
    </x:row>
    <x:row r="2062" ht="23" customHeight="1">
      <x:c r="A2062" s="7" t="str">
        <x:v>INV02057</x:v>
      </x:c>
      <x:c r="B2062" s="15" t="d">
        <x:v>2026-05-06T00:00:00.000Z</x:v>
      </x:c>
      <x:c r="C2062" s="14" t="d">
        <x:v>2026-05-01T00:00:00.000Z</x:v>
      </x:c>
      <x:c r="D2062" s="34" t="str">
        <x:v>0002</x:v>
      </x:c>
      <x:c r="E2062" s="7" t="str">
        <x:v>East</x:v>
      </x:c>
      <x:c r="F2062" s="7" t="n">
        <x:v>4</x:v>
      </x:c>
      <x:c r="G2062" s="7" t="n">
        <x:v>180</x:v>
      </x:c>
      <x:c r="H2062" s="9" t="n">
        <x:v>0.05</x:v>
      </x:c>
      <x:c r="I2062" s="7" t="n">
        <x:v>684</x:v>
      </x:c>
    </x:row>
    <x:row r="2063" ht="23" customHeight="1">
      <x:c r="A2063" s="7" t="str">
        <x:v>INV02058</x:v>
      </x:c>
      <x:c r="B2063" s="15" t="d">
        <x:v>2026-05-07T00:00:00.000Z</x:v>
      </x:c>
      <x:c r="C2063" s="14" t="d">
        <x:v>2026-05-01T00:00:00.000Z</x:v>
      </x:c>
      <x:c r="D2063" s="34" t="str">
        <x:v>0003</x:v>
      </x:c>
      <x:c r="E2063" s="7" t="str">
        <x:v>East</x:v>
      </x:c>
      <x:c r="F2063" s="7" t="n">
        <x:v>7</x:v>
      </x:c>
      <x:c r="G2063" s="7" t="n">
        <x:v>200</x:v>
      </x:c>
      <x:c r="H2063" s="9" t="n">
        <x:v>0</x:v>
      </x:c>
      <x:c r="I2063" s="7" t="n">
        <x:v>1400</x:v>
      </x:c>
    </x:row>
    <x:row r="2064" ht="23" customHeight="1">
      <x:c r="A2064" s="7" t="str">
        <x:v>INV02059</x:v>
      </x:c>
      <x:c r="B2064" s="15" t="d">
        <x:v>2026-05-08T00:00:00.000Z</x:v>
      </x:c>
      <x:c r="C2064" s="14" t="d">
        <x:v>2026-05-01T00:00:00.000Z</x:v>
      </x:c>
      <x:c r="D2064" s="34" t="str">
        <x:v>0004</x:v>
      </x:c>
      <x:c r="E2064" s="7" t="str">
        <x:v>East</x:v>
      </x:c>
      <x:c r="F2064" s="7" t="n">
        <x:v>4</x:v>
      </x:c>
      <x:c r="G2064" s="7" t="n">
        <x:v>220</x:v>
      </x:c>
      <x:c r="H2064" s="9" t="n">
        <x:v>0.02</x:v>
      </x:c>
      <x:c r="I2064" s="7" t="n">
        <x:v>862.4</x:v>
      </x:c>
    </x:row>
    <x:row r="2065" ht="23" customHeight="1">
      <x:c r="A2065" s="7" t="str">
        <x:v>INV02060</x:v>
      </x:c>
      <x:c r="B2065" s="15" t="d">
        <x:v>2026-05-09T00:00:00.000Z</x:v>
      </x:c>
      <x:c r="C2065" s="14" t="d">
        <x:v>2026-05-01T00:00:00.000Z</x:v>
      </x:c>
      <x:c r="D2065" s="34" t="str">
        <x:v>0005</x:v>
      </x:c>
      <x:c r="E2065" s="7" t="str">
        <x:v>East</x:v>
      </x:c>
      <x:c r="F2065" s="7" t="n">
        <x:v>4</x:v>
      </x:c>
      <x:c r="G2065" s="7" t="n">
        <x:v>240</x:v>
      </x:c>
      <x:c r="H2065" s="9" t="n">
        <x:v>0.05</x:v>
      </x:c>
      <x:c r="I2065" s="7" t="n">
        <x:v>912</x:v>
      </x:c>
    </x:row>
    <x:row r="2066" ht="23" customHeight="1">
      <x:c r="A2066" s="7" t="str">
        <x:v>INV02061</x:v>
      </x:c>
      <x:c r="B2066" s="15" t="d">
        <x:v>2026-05-10T00:00:00.000Z</x:v>
      </x:c>
      <x:c r="C2066" s="14" t="d">
        <x:v>2026-05-01T00:00:00.000Z</x:v>
      </x:c>
      <x:c r="D2066" s="34" t="str">
        <x:v>0006</x:v>
      </x:c>
      <x:c r="E2066" s="7" t="str">
        <x:v>East</x:v>
      </x:c>
      <x:c r="F2066" s="7" t="n">
        <x:v>2</x:v>
      </x:c>
      <x:c r="G2066" s="7" t="n">
        <x:v>260</x:v>
      </x:c>
      <x:c r="H2066" s="9" t="n">
        <x:v>0</x:v>
      </x:c>
      <x:c r="I2066" s="7" t="n">
        <x:v>520</x:v>
      </x:c>
    </x:row>
    <x:row r="2067" ht="23" customHeight="1">
      <x:c r="A2067" s="7" t="str">
        <x:v>INV02062</x:v>
      </x:c>
      <x:c r="B2067" s="15" t="d">
        <x:v>2026-05-11T00:00:00.000Z</x:v>
      </x:c>
      <x:c r="C2067" s="14" t="d">
        <x:v>2026-05-01T00:00:00.000Z</x:v>
      </x:c>
      <x:c r="D2067" s="34" t="str">
        <x:v>0007</x:v>
      </x:c>
      <x:c r="E2067" s="7" t="str">
        <x:v>East</x:v>
      </x:c>
      <x:c r="F2067" s="7" t="n">
        <x:v>2</x:v>
      </x:c>
      <x:c r="G2067" s="7" t="n">
        <x:v>280</x:v>
      </x:c>
      <x:c r="H2067" s="9" t="n">
        <x:v>0.02</x:v>
      </x:c>
      <x:c r="I2067" s="7" t="n">
        <x:v>548.8</x:v>
      </x:c>
    </x:row>
    <x:row r="2068" ht="23" customHeight="1">
      <x:c r="A2068" s="7" t="str">
        <x:v>INV02063</x:v>
      </x:c>
      <x:c r="B2068" s="15" t="d">
        <x:v>2026-05-12T00:00:00.000Z</x:v>
      </x:c>
      <x:c r="C2068" s="14" t="d">
        <x:v>2026-05-01T00:00:00.000Z</x:v>
      </x:c>
      <x:c r="D2068" s="34" t="str">
        <x:v>0008</x:v>
      </x:c>
      <x:c r="E2068" s="7" t="str">
        <x:v>East</x:v>
      </x:c>
      <x:c r="F2068" s="7" t="n">
        <x:v>6</x:v>
      </x:c>
      <x:c r="G2068" s="7" t="n">
        <x:v>300</x:v>
      </x:c>
      <x:c r="H2068" s="9" t="n">
        <x:v>0.05</x:v>
      </x:c>
      <x:c r="I2068" s="7" t="n">
        <x:v>1710</x:v>
      </x:c>
    </x:row>
    <x:row r="2069" ht="23" customHeight="1">
      <x:c r="A2069" s="7" t="str">
        <x:v>INV02064</x:v>
      </x:c>
      <x:c r="B2069" s="15" t="d">
        <x:v>2026-05-13T00:00:00.000Z</x:v>
      </x:c>
      <x:c r="C2069" s="14" t="d">
        <x:v>2026-05-01T00:00:00.000Z</x:v>
      </x:c>
      <x:c r="D2069" s="34" t="str">
        <x:v>0001</x:v>
      </x:c>
      <x:c r="E2069" s="7" t="str">
        <x:v>West</x:v>
      </x:c>
      <x:c r="F2069" s="7" t="n">
        <x:v>7</x:v>
      </x:c>
      <x:c r="G2069" s="7" t="n">
        <x:v>160</x:v>
      </x:c>
      <x:c r="H2069" s="9" t="n">
        <x:v>0</x:v>
      </x:c>
      <x:c r="I2069" s="7" t="n">
        <x:v>1120</x:v>
      </x:c>
    </x:row>
    <x:row r="2070" ht="23" customHeight="1">
      <x:c r="A2070" s="7" t="str">
        <x:v>INV02065</x:v>
      </x:c>
      <x:c r="B2070" s="15" t="d">
        <x:v>2026-05-14T00:00:00.000Z</x:v>
      </x:c>
      <x:c r="C2070" s="14" t="d">
        <x:v>2026-05-01T00:00:00.000Z</x:v>
      </x:c>
      <x:c r="D2070" s="34" t="str">
        <x:v>0002</x:v>
      </x:c>
      <x:c r="E2070" s="7" t="str">
        <x:v>West</x:v>
      </x:c>
      <x:c r="F2070" s="7" t="n">
        <x:v>6</x:v>
      </x:c>
      <x:c r="G2070" s="7" t="n">
        <x:v>180</x:v>
      </x:c>
      <x:c r="H2070" s="9" t="n">
        <x:v>0.02</x:v>
      </x:c>
      <x:c r="I2070" s="7" t="n">
        <x:v>1058.4</x:v>
      </x:c>
    </x:row>
    <x:row r="2071" ht="23" customHeight="1">
      <x:c r="A2071" s="7" t="str">
        <x:v>INV02066</x:v>
      </x:c>
      <x:c r="B2071" s="15" t="d">
        <x:v>2026-05-15T00:00:00.000Z</x:v>
      </x:c>
      <x:c r="C2071" s="14" t="d">
        <x:v>2026-05-01T00:00:00.000Z</x:v>
      </x:c>
      <x:c r="D2071" s="34" t="str">
        <x:v>0003</x:v>
      </x:c>
      <x:c r="E2071" s="7" t="str">
        <x:v>West</x:v>
      </x:c>
      <x:c r="F2071" s="7" t="n">
        <x:v>2</x:v>
      </x:c>
      <x:c r="G2071" s="7" t="n">
        <x:v>200</x:v>
      </x:c>
      <x:c r="H2071" s="9" t="n">
        <x:v>0.05</x:v>
      </x:c>
      <x:c r="I2071" s="7" t="n">
        <x:v>380</x:v>
      </x:c>
    </x:row>
    <x:row r="2072" ht="23" customHeight="1">
      <x:c r="A2072" s="7" t="str">
        <x:v>INV02067</x:v>
      </x:c>
      <x:c r="B2072" s="15" t="d">
        <x:v>2026-05-16T00:00:00.000Z</x:v>
      </x:c>
      <x:c r="C2072" s="14" t="d">
        <x:v>2026-05-01T00:00:00.000Z</x:v>
      </x:c>
      <x:c r="D2072" s="34" t="str">
        <x:v>0004</x:v>
      </x:c>
      <x:c r="E2072" s="7" t="str">
        <x:v>West</x:v>
      </x:c>
      <x:c r="F2072" s="7" t="n">
        <x:v>3</x:v>
      </x:c>
      <x:c r="G2072" s="7" t="n">
        <x:v>220</x:v>
      </x:c>
      <x:c r="H2072" s="9" t="n">
        <x:v>0</x:v>
      </x:c>
      <x:c r="I2072" s="7" t="n">
        <x:v>660</x:v>
      </x:c>
    </x:row>
    <x:row r="2073" ht="23" customHeight="1">
      <x:c r="A2073" s="7" t="str">
        <x:v>INV02068</x:v>
      </x:c>
      <x:c r="B2073" s="15" t="d">
        <x:v>2026-05-17T00:00:00.000Z</x:v>
      </x:c>
      <x:c r="C2073" s="14" t="d">
        <x:v>2026-05-01T00:00:00.000Z</x:v>
      </x:c>
      <x:c r="D2073" s="34" t="str">
        <x:v>0005</x:v>
      </x:c>
      <x:c r="E2073" s="7" t="str">
        <x:v>West</x:v>
      </x:c>
      <x:c r="F2073" s="7" t="n">
        <x:v>2</x:v>
      </x:c>
      <x:c r="G2073" s="7" t="n">
        <x:v>240</x:v>
      </x:c>
      <x:c r="H2073" s="9" t="n">
        <x:v>0.02</x:v>
      </x:c>
      <x:c r="I2073" s="7" t="n">
        <x:v>470.4</x:v>
      </x:c>
    </x:row>
    <x:row r="2074" ht="23" customHeight="1">
      <x:c r="A2074" s="7" t="str">
        <x:v>INV02069</x:v>
      </x:c>
      <x:c r="B2074" s="15" t="d">
        <x:v>2026-05-18T00:00:00.000Z</x:v>
      </x:c>
      <x:c r="C2074" s="14" t="d">
        <x:v>2026-05-01T00:00:00.000Z</x:v>
      </x:c>
      <x:c r="D2074" s="34" t="str">
        <x:v>0006</x:v>
      </x:c>
      <x:c r="E2074" s="7" t="str">
        <x:v>West</x:v>
      </x:c>
      <x:c r="F2074" s="7" t="n">
        <x:v>7</x:v>
      </x:c>
      <x:c r="G2074" s="7" t="n">
        <x:v>260</x:v>
      </x:c>
      <x:c r="H2074" s="9" t="n">
        <x:v>0.05</x:v>
      </x:c>
      <x:c r="I2074" s="7" t="n">
        <x:v>1729</x:v>
      </x:c>
    </x:row>
    <x:row r="2075" ht="23" customHeight="1">
      <x:c r="A2075" s="7" t="str">
        <x:v>INV02070</x:v>
      </x:c>
      <x:c r="B2075" s="15" t="d">
        <x:v>2026-05-19T00:00:00.000Z</x:v>
      </x:c>
      <x:c r="C2075" s="14" t="d">
        <x:v>2026-05-01T00:00:00.000Z</x:v>
      </x:c>
      <x:c r="D2075" s="34" t="str">
        <x:v>0007</x:v>
      </x:c>
      <x:c r="E2075" s="7" t="str">
        <x:v>West</x:v>
      </x:c>
      <x:c r="F2075" s="7" t="n">
        <x:v>2</x:v>
      </x:c>
      <x:c r="G2075" s="7" t="n">
        <x:v>280</x:v>
      </x:c>
      <x:c r="H2075" s="9" t="n">
        <x:v>0</x:v>
      </x:c>
      <x:c r="I2075" s="7" t="n">
        <x:v>560</x:v>
      </x:c>
    </x:row>
    <x:row r="2076" ht="23" customHeight="1">
      <x:c r="A2076" s="7" t="str">
        <x:v>INV02071</x:v>
      </x:c>
      <x:c r="B2076" s="15" t="d">
        <x:v>2026-05-20T00:00:00.000Z</x:v>
      </x:c>
      <x:c r="C2076" s="14" t="d">
        <x:v>2026-05-01T00:00:00.000Z</x:v>
      </x:c>
      <x:c r="D2076" s="34" t="str">
        <x:v>0008</x:v>
      </x:c>
      <x:c r="E2076" s="7" t="str">
        <x:v>West</x:v>
      </x:c>
      <x:c r="F2076" s="7" t="n">
        <x:v>3</x:v>
      </x:c>
      <x:c r="G2076" s="7" t="n">
        <x:v>300</x:v>
      </x:c>
      <x:c r="H2076" s="9" t="n">
        <x:v>0.02</x:v>
      </x:c>
      <x:c r="I2076" s="7" t="n">
        <x:v>882</x:v>
      </x:c>
    </x:row>
    <x:row r="2077" ht="23" customHeight="1">
      <x:c r="A2077" s="7" t="str">
        <x:v>INV02072</x:v>
      </x:c>
      <x:c r="B2077" s="15" t="d">
        <x:v>2026-05-21T00:00:00.000Z</x:v>
      </x:c>
      <x:c r="C2077" s="14" t="d">
        <x:v>2026-05-01T00:00:00.000Z</x:v>
      </x:c>
      <x:c r="D2077" s="34" t="str">
        <x:v>0001</x:v>
      </x:c>
      <x:c r="E2077" s="7" t="str">
        <x:v>North</x:v>
      </x:c>
      <x:c r="F2077" s="7" t="n">
        <x:v>3</x:v>
      </x:c>
      <x:c r="G2077" s="7" t="n">
        <x:v>160</x:v>
      </x:c>
      <x:c r="H2077" s="9" t="n">
        <x:v>0.05</x:v>
      </x:c>
      <x:c r="I2077" s="7" t="n">
        <x:v>456</x:v>
      </x:c>
    </x:row>
    <x:row r="2078" ht="23" customHeight="1">
      <x:c r="A2078" s="7" t="str">
        <x:v>INV02073</x:v>
      </x:c>
      <x:c r="B2078" s="15" t="d">
        <x:v>2026-05-22T00:00:00.000Z</x:v>
      </x:c>
      <x:c r="C2078" s="14" t="d">
        <x:v>2026-05-01T00:00:00.000Z</x:v>
      </x:c>
      <x:c r="D2078" s="34" t="str">
        <x:v>0002</x:v>
      </x:c>
      <x:c r="E2078" s="7" t="str">
        <x:v>North</x:v>
      </x:c>
      <x:c r="F2078" s="7" t="n">
        <x:v>4</x:v>
      </x:c>
      <x:c r="G2078" s="7" t="n">
        <x:v>180</x:v>
      </x:c>
      <x:c r="H2078" s="9" t="n">
        <x:v>0</x:v>
      </x:c>
      <x:c r="I2078" s="7" t="n">
        <x:v>720</x:v>
      </x:c>
    </x:row>
    <x:row r="2079" ht="23" customHeight="1">
      <x:c r="A2079" s="7" t="str">
        <x:v>INV02074</x:v>
      </x:c>
      <x:c r="B2079" s="15" t="d">
        <x:v>2026-05-23T00:00:00.000Z</x:v>
      </x:c>
      <x:c r="C2079" s="14" t="d">
        <x:v>2026-05-01T00:00:00.000Z</x:v>
      </x:c>
      <x:c r="D2079" s="34" t="str">
        <x:v>0003</x:v>
      </x:c>
      <x:c r="E2079" s="7" t="str">
        <x:v>North</x:v>
      </x:c>
      <x:c r="F2079" s="7" t="n">
        <x:v>6</x:v>
      </x:c>
      <x:c r="G2079" s="7" t="n">
        <x:v>200</x:v>
      </x:c>
      <x:c r="H2079" s="9" t="n">
        <x:v>0.02</x:v>
      </x:c>
      <x:c r="I2079" s="7" t="n">
        <x:v>1176</x:v>
      </x:c>
    </x:row>
    <x:row r="2080" ht="23" customHeight="1">
      <x:c r="A2080" s="7" t="str">
        <x:v>INV02075</x:v>
      </x:c>
      <x:c r="B2080" s="15" t="d">
        <x:v>2026-05-24T00:00:00.000Z</x:v>
      </x:c>
      <x:c r="C2080" s="14" t="d">
        <x:v>2026-05-01T00:00:00.000Z</x:v>
      </x:c>
      <x:c r="D2080" s="34" t="str">
        <x:v>0004</x:v>
      </x:c>
      <x:c r="E2080" s="7" t="str">
        <x:v>North</x:v>
      </x:c>
      <x:c r="F2080" s="7" t="n">
        <x:v>1</x:v>
      </x:c>
      <x:c r="G2080" s="7" t="n">
        <x:v>220</x:v>
      </x:c>
      <x:c r="H2080" s="9" t="n">
        <x:v>0.05</x:v>
      </x:c>
      <x:c r="I2080" s="7" t="n">
        <x:v>209</x:v>
      </x:c>
    </x:row>
    <x:row r="2081" ht="23" customHeight="1">
      <x:c r="A2081" s="7" t="str">
        <x:v>INV02076</x:v>
      </x:c>
      <x:c r="B2081" s="15" t="d">
        <x:v>2026-05-25T00:00:00.000Z</x:v>
      </x:c>
      <x:c r="C2081" s="14" t="d">
        <x:v>2026-05-01T00:00:00.000Z</x:v>
      </x:c>
      <x:c r="D2081" s="34" t="str">
        <x:v>0005</x:v>
      </x:c>
      <x:c r="E2081" s="7" t="str">
        <x:v>North</x:v>
      </x:c>
      <x:c r="F2081" s="7" t="n">
        <x:v>7</x:v>
      </x:c>
      <x:c r="G2081" s="7" t="n">
        <x:v>240</x:v>
      </x:c>
      <x:c r="H2081" s="9" t="n">
        <x:v>0</x:v>
      </x:c>
      <x:c r="I2081" s="7" t="n">
        <x:v>1680</x:v>
      </x:c>
    </x:row>
    <x:row r="2082" ht="23" customHeight="1">
      <x:c r="A2082" s="7" t="str">
        <x:v>INV02077</x:v>
      </x:c>
      <x:c r="B2082" s="15" t="d">
        <x:v>2026-05-26T00:00:00.000Z</x:v>
      </x:c>
      <x:c r="C2082" s="14" t="d">
        <x:v>2026-05-01T00:00:00.000Z</x:v>
      </x:c>
      <x:c r="D2082" s="34" t="str">
        <x:v>0006</x:v>
      </x:c>
      <x:c r="E2082" s="7" t="str">
        <x:v>North</x:v>
      </x:c>
      <x:c r="F2082" s="7" t="n">
        <x:v>7</x:v>
      </x:c>
      <x:c r="G2082" s="7" t="n">
        <x:v>260</x:v>
      </x:c>
      <x:c r="H2082" s="9" t="n">
        <x:v>0.02</x:v>
      </x:c>
      <x:c r="I2082" s="7" t="n">
        <x:v>1783.6</x:v>
      </x:c>
    </x:row>
    <x:row r="2083" ht="23" customHeight="1">
      <x:c r="A2083" s="7" t="str">
        <x:v>INV02078</x:v>
      </x:c>
      <x:c r="B2083" s="15" t="d">
        <x:v>2026-05-27T00:00:00.000Z</x:v>
      </x:c>
      <x:c r="C2083" s="14" t="d">
        <x:v>2026-05-01T00:00:00.000Z</x:v>
      </x:c>
      <x:c r="D2083" s="34" t="str">
        <x:v>0007</x:v>
      </x:c>
      <x:c r="E2083" s="7" t="str">
        <x:v>North</x:v>
      </x:c>
      <x:c r="F2083" s="7" t="n">
        <x:v>6</x:v>
      </x:c>
      <x:c r="G2083" s="7" t="n">
        <x:v>280</x:v>
      </x:c>
      <x:c r="H2083" s="9" t="n">
        <x:v>0.05</x:v>
      </x:c>
      <x:c r="I2083" s="7" t="n">
        <x:v>1596</x:v>
      </x:c>
    </x:row>
    <x:row r="2084" ht="23" customHeight="1">
      <x:c r="A2084" s="7" t="str">
        <x:v>INV02079</x:v>
      </x:c>
      <x:c r="B2084" s="15" t="d">
        <x:v>2026-05-01T00:00:00.000Z</x:v>
      </x:c>
      <x:c r="C2084" s="14" t="d">
        <x:v>2026-05-01T00:00:00.000Z</x:v>
      </x:c>
      <x:c r="D2084" s="34" t="str">
        <x:v>0008</x:v>
      </x:c>
      <x:c r="E2084" s="7" t="str">
        <x:v>North</x:v>
      </x:c>
      <x:c r="F2084" s="7" t="n">
        <x:v>5</x:v>
      </x:c>
      <x:c r="G2084" s="7" t="n">
        <x:v>300</x:v>
      </x:c>
      <x:c r="H2084" s="9" t="n">
        <x:v>0</x:v>
      </x:c>
      <x:c r="I2084" s="7" t="n">
        <x:v>1500</x:v>
      </x:c>
    </x:row>
    <x:row r="2085" ht="23" customHeight="1">
      <x:c r="A2085" s="7" t="str">
        <x:v>INV02080</x:v>
      </x:c>
      <x:c r="B2085" s="15" t="d">
        <x:v>2026-06-02T00:00:00.000Z</x:v>
      </x:c>
      <x:c r="C2085" s="14" t="d">
        <x:v>2026-06-01T00:00:00.000Z</x:v>
      </x:c>
      <x:c r="D2085" s="34" t="str">
        <x:v>0001</x:v>
      </x:c>
      <x:c r="E2085" s="7" t="str">
        <x:v>Central</x:v>
      </x:c>
      <x:c r="F2085" s="7" t="n">
        <x:v>2</x:v>
      </x:c>
      <x:c r="G2085" s="7" t="n">
        <x:v>160</x:v>
      </x:c>
      <x:c r="H2085" s="9" t="n">
        <x:v>0.02</x:v>
      </x:c>
      <x:c r="I2085" s="7" t="n">
        <x:v>313.6</x:v>
      </x:c>
    </x:row>
    <x:row r="2086" ht="23" customHeight="1">
      <x:c r="A2086" s="7" t="str">
        <x:v>INV02081</x:v>
      </x:c>
      <x:c r="B2086" s="15" t="d">
        <x:v>2026-06-03T00:00:00.000Z</x:v>
      </x:c>
      <x:c r="C2086" s="14" t="d">
        <x:v>2026-06-01T00:00:00.000Z</x:v>
      </x:c>
      <x:c r="D2086" s="34" t="str">
        <x:v>0002</x:v>
      </x:c>
      <x:c r="E2086" s="7" t="str">
        <x:v>Central</x:v>
      </x:c>
      <x:c r="F2086" s="7" t="n">
        <x:v>2</x:v>
      </x:c>
      <x:c r="G2086" s="7" t="n">
        <x:v>180</x:v>
      </x:c>
      <x:c r="H2086" s="9" t="n">
        <x:v>0.05</x:v>
      </x:c>
      <x:c r="I2086" s="7" t="n">
        <x:v>342</x:v>
      </x:c>
    </x:row>
    <x:row r="2087" ht="23" customHeight="1">
      <x:c r="A2087" s="7" t="str">
        <x:v>INV02082</x:v>
      </x:c>
      <x:c r="B2087" s="15" t="d">
        <x:v>2026-06-04T00:00:00.000Z</x:v>
      </x:c>
      <x:c r="C2087" s="14" t="d">
        <x:v>2026-06-01T00:00:00.000Z</x:v>
      </x:c>
      <x:c r="D2087" s="34" t="str">
        <x:v>0003</x:v>
      </x:c>
      <x:c r="E2087" s="7" t="str">
        <x:v>Central</x:v>
      </x:c>
      <x:c r="F2087" s="7" t="n">
        <x:v>4</x:v>
      </x:c>
      <x:c r="G2087" s="7" t="n">
        <x:v>200</x:v>
      </x:c>
      <x:c r="H2087" s="9" t="n">
        <x:v>0</x:v>
      </x:c>
      <x:c r="I2087" s="7" t="n">
        <x:v>800</x:v>
      </x:c>
    </x:row>
    <x:row r="2088" ht="23" customHeight="1">
      <x:c r="A2088" s="7" t="str">
        <x:v>INV02083</x:v>
      </x:c>
      <x:c r="B2088" s="15" t="d">
        <x:v>2026-06-05T00:00:00.000Z</x:v>
      </x:c>
      <x:c r="C2088" s="14" t="d">
        <x:v>2026-06-01T00:00:00.000Z</x:v>
      </x:c>
      <x:c r="D2088" s="34" t="str">
        <x:v>0004</x:v>
      </x:c>
      <x:c r="E2088" s="7" t="str">
        <x:v>Central</x:v>
      </x:c>
      <x:c r="F2088" s="7" t="n">
        <x:v>5</x:v>
      </x:c>
      <x:c r="G2088" s="7" t="n">
        <x:v>220</x:v>
      </x:c>
      <x:c r="H2088" s="9" t="n">
        <x:v>0.02</x:v>
      </x:c>
      <x:c r="I2088" s="7" t="n">
        <x:v>1078</x:v>
      </x:c>
    </x:row>
    <x:row r="2089" ht="23" customHeight="1">
      <x:c r="A2089" s="7" t="str">
        <x:v>INV02084</x:v>
      </x:c>
      <x:c r="B2089" s="15" t="d">
        <x:v>2026-06-06T00:00:00.000Z</x:v>
      </x:c>
      <x:c r="C2089" s="14" t="d">
        <x:v>2026-06-01T00:00:00.000Z</x:v>
      </x:c>
      <x:c r="D2089" s="34" t="str">
        <x:v>0005</x:v>
      </x:c>
      <x:c r="E2089" s="7" t="str">
        <x:v>Central</x:v>
      </x:c>
      <x:c r="F2089" s="7" t="n">
        <x:v>3</x:v>
      </x:c>
      <x:c r="G2089" s="7" t="n">
        <x:v>240</x:v>
      </x:c>
      <x:c r="H2089" s="9" t="n">
        <x:v>0.05</x:v>
      </x:c>
      <x:c r="I2089" s="7" t="n">
        <x:v>684</x:v>
      </x:c>
    </x:row>
    <x:row r="2090" ht="23" customHeight="1">
      <x:c r="A2090" s="7" t="str">
        <x:v>INV02085</x:v>
      </x:c>
      <x:c r="B2090" s="15" t="d">
        <x:v>2026-06-07T00:00:00.000Z</x:v>
      </x:c>
      <x:c r="C2090" s="14" t="d">
        <x:v>2026-06-01T00:00:00.000Z</x:v>
      </x:c>
      <x:c r="D2090" s="34" t="str">
        <x:v>0006</x:v>
      </x:c>
      <x:c r="E2090" s="7" t="str">
        <x:v>Central</x:v>
      </x:c>
      <x:c r="F2090" s="7" t="n">
        <x:v>5</x:v>
      </x:c>
      <x:c r="G2090" s="7" t="n">
        <x:v>260</x:v>
      </x:c>
      <x:c r="H2090" s="9" t="n">
        <x:v>0</x:v>
      </x:c>
      <x:c r="I2090" s="7" t="n">
        <x:v>1300</x:v>
      </x:c>
    </x:row>
    <x:row r="2091" ht="23" customHeight="1">
      <x:c r="A2091" s="7" t="str">
        <x:v>INV02086</x:v>
      </x:c>
      <x:c r="B2091" s="15" t="d">
        <x:v>2026-06-08T00:00:00.000Z</x:v>
      </x:c>
      <x:c r="C2091" s="14" t="d">
        <x:v>2026-06-01T00:00:00.000Z</x:v>
      </x:c>
      <x:c r="D2091" s="34" t="str">
        <x:v>0007</x:v>
      </x:c>
      <x:c r="E2091" s="7" t="str">
        <x:v>Central</x:v>
      </x:c>
      <x:c r="F2091" s="7" t="n">
        <x:v>3</x:v>
      </x:c>
      <x:c r="G2091" s="7" t="n">
        <x:v>280</x:v>
      </x:c>
      <x:c r="H2091" s="9" t="n">
        <x:v>0.02</x:v>
      </x:c>
      <x:c r="I2091" s="7" t="n">
        <x:v>823.2</x:v>
      </x:c>
    </x:row>
    <x:row r="2092" ht="23" customHeight="1">
      <x:c r="A2092" s="7" t="str">
        <x:v>INV02087</x:v>
      </x:c>
      <x:c r="B2092" s="15" t="d">
        <x:v>2026-06-09T00:00:00.000Z</x:v>
      </x:c>
      <x:c r="C2092" s="14" t="d">
        <x:v>2026-06-01T00:00:00.000Z</x:v>
      </x:c>
      <x:c r="D2092" s="34" t="str">
        <x:v>0008</x:v>
      </x:c>
      <x:c r="E2092" s="7" t="str">
        <x:v>Central</x:v>
      </x:c>
      <x:c r="F2092" s="7" t="n">
        <x:v>5</x:v>
      </x:c>
      <x:c r="G2092" s="7" t="n">
        <x:v>300</x:v>
      </x:c>
      <x:c r="H2092" s="9" t="n">
        <x:v>0.05</x:v>
      </x:c>
      <x:c r="I2092" s="7" t="n">
        <x:v>1425</x:v>
      </x:c>
    </x:row>
    <x:row r="2093" ht="23" customHeight="1">
      <x:c r="A2093" s="7" t="str">
        <x:v>INV02088</x:v>
      </x:c>
      <x:c r="B2093" s="15" t="d">
        <x:v>2026-06-10T00:00:00.000Z</x:v>
      </x:c>
      <x:c r="C2093" s="14" t="d">
        <x:v>2026-06-01T00:00:00.000Z</x:v>
      </x:c>
      <x:c r="D2093" s="34" t="str">
        <x:v>0001</x:v>
      </x:c>
      <x:c r="E2093" s="7" t="str">
        <x:v>East</x:v>
      </x:c>
      <x:c r="F2093" s="7" t="n">
        <x:v>7</x:v>
      </x:c>
      <x:c r="G2093" s="7" t="n">
        <x:v>160</x:v>
      </x:c>
      <x:c r="H2093" s="9" t="n">
        <x:v>0</x:v>
      </x:c>
      <x:c r="I2093" s="7" t="n">
        <x:v>1120</x:v>
      </x:c>
    </x:row>
    <x:row r="2094" ht="23" customHeight="1">
      <x:c r="A2094" s="7" t="str">
        <x:v>INV02089</x:v>
      </x:c>
      <x:c r="B2094" s="15" t="d">
        <x:v>2026-06-11T00:00:00.000Z</x:v>
      </x:c>
      <x:c r="C2094" s="14" t="d">
        <x:v>2026-06-01T00:00:00.000Z</x:v>
      </x:c>
      <x:c r="D2094" s="34" t="str">
        <x:v>0002</x:v>
      </x:c>
      <x:c r="E2094" s="7" t="str">
        <x:v>East</x:v>
      </x:c>
      <x:c r="F2094" s="7" t="n">
        <x:v>4</x:v>
      </x:c>
      <x:c r="G2094" s="7" t="n">
        <x:v>180</x:v>
      </x:c>
      <x:c r="H2094" s="9" t="n">
        <x:v>0.02</x:v>
      </x:c>
      <x:c r="I2094" s="7" t="n">
        <x:v>705.6</x:v>
      </x:c>
    </x:row>
    <x:row r="2095" ht="23" customHeight="1">
      <x:c r="A2095" s="7" t="str">
        <x:v>INV02090</x:v>
      </x:c>
      <x:c r="B2095" s="15" t="d">
        <x:v>2026-06-12T00:00:00.000Z</x:v>
      </x:c>
      <x:c r="C2095" s="14" t="d">
        <x:v>2026-06-01T00:00:00.000Z</x:v>
      </x:c>
      <x:c r="D2095" s="34" t="str">
        <x:v>0003</x:v>
      </x:c>
      <x:c r="E2095" s="7" t="str">
        <x:v>East</x:v>
      </x:c>
      <x:c r="F2095" s="7" t="n">
        <x:v>7</x:v>
      </x:c>
      <x:c r="G2095" s="7" t="n">
        <x:v>200</x:v>
      </x:c>
      <x:c r="H2095" s="9" t="n">
        <x:v>0.05</x:v>
      </x:c>
      <x:c r="I2095" s="7" t="n">
        <x:v>1330</x:v>
      </x:c>
    </x:row>
    <x:row r="2096" ht="23" customHeight="1">
      <x:c r="A2096" s="7" t="str">
        <x:v>INV02091</x:v>
      </x:c>
      <x:c r="B2096" s="15" t="d">
        <x:v>2026-06-13T00:00:00.000Z</x:v>
      </x:c>
      <x:c r="C2096" s="14" t="d">
        <x:v>2026-06-01T00:00:00.000Z</x:v>
      </x:c>
      <x:c r="D2096" s="34" t="str">
        <x:v>0004</x:v>
      </x:c>
      <x:c r="E2096" s="7" t="str">
        <x:v>East</x:v>
      </x:c>
      <x:c r="F2096" s="7" t="n">
        <x:v>-3</x:v>
      </x:c>
      <x:c r="G2096" s="7" t="n">
        <x:v>220</x:v>
      </x:c>
      <x:c r="H2096" s="9" t="n">
        <x:v>0</x:v>
      </x:c>
      <x:c r="I2096" s="7" t="n">
        <x:v>-660</x:v>
      </x:c>
    </x:row>
    <x:row r="2097" ht="23" customHeight="1">
      <x:c r="A2097" s="7" t="str">
        <x:v>INV02092</x:v>
      </x:c>
      <x:c r="B2097" s="15" t="d">
        <x:v>2026-06-14T00:00:00.000Z</x:v>
      </x:c>
      <x:c r="C2097" s="14" t="d">
        <x:v>2026-06-01T00:00:00.000Z</x:v>
      </x:c>
      <x:c r="D2097" s="34" t="str">
        <x:v>0005</x:v>
      </x:c>
      <x:c r="E2097" s="7" t="str">
        <x:v>East</x:v>
      </x:c>
      <x:c r="F2097" s="7" t="n">
        <x:v>5</x:v>
      </x:c>
      <x:c r="G2097" s="7" t="n">
        <x:v>240</x:v>
      </x:c>
      <x:c r="H2097" s="9" t="n">
        <x:v>0.02</x:v>
      </x:c>
      <x:c r="I2097" s="7" t="n">
        <x:v>1176</x:v>
      </x:c>
    </x:row>
    <x:row r="2098" ht="23" customHeight="1">
      <x:c r="A2098" s="7" t="str">
        <x:v>INV02093</x:v>
      </x:c>
      <x:c r="B2098" s="15" t="d">
        <x:v>2026-06-15T00:00:00.000Z</x:v>
      </x:c>
      <x:c r="C2098" s="14" t="d">
        <x:v>2026-06-01T00:00:00.000Z</x:v>
      </x:c>
      <x:c r="D2098" s="34" t="str">
        <x:v>0006</x:v>
      </x:c>
      <x:c r="E2098" s="7" t="str">
        <x:v>East</x:v>
      </x:c>
      <x:c r="F2098" s="7" t="n">
        <x:v>5</x:v>
      </x:c>
      <x:c r="G2098" s="7" t="n">
        <x:v>260</x:v>
      </x:c>
      <x:c r="H2098" s="9" t="n">
        <x:v>0.05</x:v>
      </x:c>
      <x:c r="I2098" s="7" t="n">
        <x:v>1235</x:v>
      </x:c>
    </x:row>
    <x:row r="2099" ht="23" customHeight="1">
      <x:c r="A2099" s="7" t="str">
        <x:v>INV02094</x:v>
      </x:c>
      <x:c r="B2099" s="15" t="d">
        <x:v>2026-06-16T00:00:00.000Z</x:v>
      </x:c>
      <x:c r="C2099" s="14" t="d">
        <x:v>2026-06-01T00:00:00.000Z</x:v>
      </x:c>
      <x:c r="D2099" s="34" t="str">
        <x:v>0007</x:v>
      </x:c>
      <x:c r="E2099" s="7" t="str">
        <x:v>East</x:v>
      </x:c>
      <x:c r="F2099" s="7" t="n">
        <x:v>6</x:v>
      </x:c>
      <x:c r="G2099" s="7" t="n">
        <x:v>280</x:v>
      </x:c>
      <x:c r="H2099" s="9" t="n">
        <x:v>0</x:v>
      </x:c>
      <x:c r="I2099" s="7" t="n">
        <x:v>1680</x:v>
      </x:c>
    </x:row>
    <x:row r="2100" ht="23" customHeight="1">
      <x:c r="A2100" s="7" t="str">
        <x:v>INV02095</x:v>
      </x:c>
      <x:c r="B2100" s="15" t="d">
        <x:v>2026-06-17T00:00:00.000Z</x:v>
      </x:c>
      <x:c r="C2100" s="14" t="d">
        <x:v>2026-06-01T00:00:00.000Z</x:v>
      </x:c>
      <x:c r="D2100" s="34" t="str">
        <x:v>0008</x:v>
      </x:c>
      <x:c r="E2100" s="7" t="str">
        <x:v>East</x:v>
      </x:c>
      <x:c r="F2100" s="7" t="n">
        <x:v>3</x:v>
      </x:c>
      <x:c r="G2100" s="7" t="n">
        <x:v>300</x:v>
      </x:c>
      <x:c r="H2100" s="9" t="n">
        <x:v>0.02</x:v>
      </x:c>
      <x:c r="I2100" s="7" t="n">
        <x:v>882</x:v>
      </x:c>
    </x:row>
    <x:row r="2101" ht="23" customHeight="1">
      <x:c r="A2101" s="7" t="str">
        <x:v>INV02096</x:v>
      </x:c>
      <x:c r="B2101" s="15" t="d">
        <x:v>2026-06-18T00:00:00.000Z</x:v>
      </x:c>
      <x:c r="C2101" s="14" t="d">
        <x:v>2026-06-01T00:00:00.000Z</x:v>
      </x:c>
      <x:c r="D2101" s="34" t="str">
        <x:v>0001</x:v>
      </x:c>
      <x:c r="E2101" s="7" t="str">
        <x:v>West</x:v>
      </x:c>
      <x:c r="F2101" s="7" t="n">
        <x:v>1</x:v>
      </x:c>
      <x:c r="G2101" s="7" t="n">
        <x:v>160</x:v>
      </x:c>
      <x:c r="H2101" s="9" t="n">
        <x:v>0.05</x:v>
      </x:c>
      <x:c r="I2101" s="7" t="n">
        <x:v>152</x:v>
      </x:c>
    </x:row>
    <x:row r="2102" ht="23" customHeight="1">
      <x:c r="A2102" s="7" t="str">
        <x:v>INV02097</x:v>
      </x:c>
      <x:c r="B2102" s="15" t="d">
        <x:v>2026-06-19T00:00:00.000Z</x:v>
      </x:c>
      <x:c r="C2102" s="14" t="d">
        <x:v>2026-06-01T00:00:00.000Z</x:v>
      </x:c>
      <x:c r="D2102" s="34" t="str">
        <x:v>0002</x:v>
      </x:c>
      <x:c r="E2102" s="7" t="str">
        <x:v>West</x:v>
      </x:c>
      <x:c r="F2102" s="7" t="n">
        <x:v>2</x:v>
      </x:c>
      <x:c r="G2102" s="7" t="n">
        <x:v>180</x:v>
      </x:c>
      <x:c r="H2102" s="9" t="n">
        <x:v>0</x:v>
      </x:c>
      <x:c r="I2102" s="7" t="n">
        <x:v>360</x:v>
      </x:c>
    </x:row>
    <x:row r="2103" ht="23" customHeight="1">
      <x:c r="A2103" s="7" t="str">
        <x:v>INV02098</x:v>
      </x:c>
      <x:c r="B2103" s="15" t="d">
        <x:v>2026-06-20T00:00:00.000Z</x:v>
      </x:c>
      <x:c r="C2103" s="14" t="d">
        <x:v>2026-06-01T00:00:00.000Z</x:v>
      </x:c>
      <x:c r="D2103" s="34" t="str">
        <x:v>0003</x:v>
      </x:c>
      <x:c r="E2103" s="7" t="str">
        <x:v>West</x:v>
      </x:c>
      <x:c r="F2103" s="7" t="n">
        <x:v>4</x:v>
      </x:c>
      <x:c r="G2103" s="7" t="n">
        <x:v>200</x:v>
      </x:c>
      <x:c r="H2103" s="9" t="n">
        <x:v>0.02</x:v>
      </x:c>
      <x:c r="I2103" s="7" t="n">
        <x:v>784</x:v>
      </x:c>
    </x:row>
    <x:row r="2104" ht="23" customHeight="1">
      <x:c r="A2104" s="7" t="str">
        <x:v>INV02099</x:v>
      </x:c>
      <x:c r="B2104" s="15" t="d">
        <x:v>2026-06-21T00:00:00.000Z</x:v>
      </x:c>
      <x:c r="C2104" s="14" t="d">
        <x:v>2026-06-01T00:00:00.000Z</x:v>
      </x:c>
      <x:c r="D2104" s="34" t="str">
        <x:v>0004</x:v>
      </x:c>
      <x:c r="E2104" s="7" t="str">
        <x:v>West</x:v>
      </x:c>
      <x:c r="F2104" s="7" t="n">
        <x:v>2</x:v>
      </x:c>
      <x:c r="G2104" s="7" t="n">
        <x:v>220</x:v>
      </x:c>
      <x:c r="H2104" s="9" t="n">
        <x:v>0.05</x:v>
      </x:c>
      <x:c r="I2104" s="7" t="n">
        <x:v>418</x:v>
      </x:c>
    </x:row>
    <x:row r="2105" ht="23" customHeight="1">
      <x:c r="A2105" s="7" t="str">
        <x:v>INV02100</x:v>
      </x:c>
      <x:c r="B2105" s="15" t="d">
        <x:v>2026-06-22T00:00:00.000Z</x:v>
      </x:c>
      <x:c r="C2105" s="14" t="d">
        <x:v>2026-06-01T00:00:00.000Z</x:v>
      </x:c>
      <x:c r="D2105" s="34" t="str">
        <x:v>0005</x:v>
      </x:c>
      <x:c r="E2105" s="7" t="str">
        <x:v>West</x:v>
      </x:c>
      <x:c r="F2105" s="7" t="n">
        <x:v>7</x:v>
      </x:c>
      <x:c r="G2105" s="7" t="n">
        <x:v>240</x:v>
      </x:c>
      <x:c r="H2105" s="9" t="n">
        <x:v>0</x:v>
      </x:c>
      <x:c r="I2105" s="7" t="n">
        <x:v>1680</x:v>
      </x:c>
    </x:row>
    <x:row r="2106" ht="23" customHeight="1">
      <x:c r="A2106" s="7" t="str">
        <x:v>INV02101</x:v>
      </x:c>
      <x:c r="B2106" s="15" t="d">
        <x:v>2026-06-23T00:00:00.000Z</x:v>
      </x:c>
      <x:c r="C2106" s="14" t="d">
        <x:v>2026-06-01T00:00:00.000Z</x:v>
      </x:c>
      <x:c r="D2106" s="34" t="str">
        <x:v>0006</x:v>
      </x:c>
      <x:c r="E2106" s="7" t="str">
        <x:v>West</x:v>
      </x:c>
      <x:c r="F2106" s="7" t="n">
        <x:v>1</x:v>
      </x:c>
      <x:c r="G2106" s="7" t="n">
        <x:v>260</x:v>
      </x:c>
      <x:c r="H2106" s="9" t="n">
        <x:v>0.02</x:v>
      </x:c>
      <x:c r="I2106" s="7" t="n">
        <x:v>254.8</x:v>
      </x:c>
    </x:row>
    <x:row r="2107" ht="23" customHeight="1">
      <x:c r="A2107" s="7" t="str">
        <x:v>INV02102</x:v>
      </x:c>
      <x:c r="B2107" s="15" t="d">
        <x:v>2026-06-24T00:00:00.000Z</x:v>
      </x:c>
      <x:c r="C2107" s="14" t="d">
        <x:v>2026-06-01T00:00:00.000Z</x:v>
      </x:c>
      <x:c r="D2107" s="34" t="str">
        <x:v>0007</x:v>
      </x:c>
      <x:c r="E2107" s="7" t="str">
        <x:v>West</x:v>
      </x:c>
      <x:c r="F2107" s="7" t="n">
        <x:v>4</x:v>
      </x:c>
      <x:c r="G2107" s="7" t="n">
        <x:v>280</x:v>
      </x:c>
      <x:c r="H2107" s="9" t="n">
        <x:v>0.05</x:v>
      </x:c>
      <x:c r="I2107" s="7" t="n">
        <x:v>1064</x:v>
      </x:c>
    </x:row>
    <x:row r="2108" ht="23" customHeight="1">
      <x:c r="A2108" s="7" t="str">
        <x:v>INV02103</x:v>
      </x:c>
      <x:c r="B2108" s="15" t="d">
        <x:v>2026-06-25T00:00:00.000Z</x:v>
      </x:c>
      <x:c r="C2108" s="14" t="d">
        <x:v>2026-06-01T00:00:00.000Z</x:v>
      </x:c>
      <x:c r="D2108" s="34" t="str">
        <x:v>0008</x:v>
      </x:c>
      <x:c r="E2108" s="7" t="str">
        <x:v>West</x:v>
      </x:c>
      <x:c r="F2108" s="7" t="n">
        <x:v>7</x:v>
      </x:c>
      <x:c r="G2108" s="7" t="n">
        <x:v>300</x:v>
      </x:c>
      <x:c r="H2108" s="9" t="n">
        <x:v>0</x:v>
      </x:c>
      <x:c r="I2108" s="7" t="n">
        <x:v>2100</x:v>
      </x:c>
    </x:row>
    <x:row r="2109" ht="23" customHeight="1">
      <x:c r="A2109" s="7" t="str">
        <x:v>INV02104</x:v>
      </x:c>
      <x:c r="B2109" s="15" t="d">
        <x:v>2026-06-26T00:00:00.000Z</x:v>
      </x:c>
      <x:c r="C2109" s="14" t="d">
        <x:v>2026-06-01T00:00:00.000Z</x:v>
      </x:c>
      <x:c r="D2109" s="34" t="str">
        <x:v>0001</x:v>
      </x:c>
      <x:c r="E2109" s="7" t="str">
        <x:v>North</x:v>
      </x:c>
      <x:c r="F2109" s="7" t="n">
        <x:v>5</x:v>
      </x:c>
      <x:c r="G2109" s="7" t="n">
        <x:v>160</x:v>
      </x:c>
      <x:c r="H2109" s="9" t="n">
        <x:v>0.02</x:v>
      </x:c>
      <x:c r="I2109" s="7" t="n">
        <x:v>784</x:v>
      </x:c>
    </x:row>
    <x:row r="2110" ht="23" customHeight="1">
      <x:c r="A2110" s="7" t="str">
        <x:v>INV02105</x:v>
      </x:c>
      <x:c r="B2110" s="15" t="d">
        <x:v>2026-06-27T00:00:00.000Z</x:v>
      </x:c>
      <x:c r="C2110" s="14" t="d">
        <x:v>2026-06-01T00:00:00.000Z</x:v>
      </x:c>
      <x:c r="D2110" s="34" t="str">
        <x:v>0002</x:v>
      </x:c>
      <x:c r="E2110" s="7" t="str">
        <x:v>North</x:v>
      </x:c>
      <x:c r="F2110" s="7" t="n">
        <x:v>5</x:v>
      </x:c>
      <x:c r="G2110" s="7" t="n">
        <x:v>180</x:v>
      </x:c>
      <x:c r="H2110" s="9" t="n">
        <x:v>0.05</x:v>
      </x:c>
      <x:c r="I2110" s="7" t="n">
        <x:v>855</x:v>
      </x:c>
    </x:row>
    <x:row r="2111" ht="23" customHeight="1">
      <x:c r="A2111" s="7" t="str">
        <x:v>INV02106</x:v>
      </x:c>
      <x:c r="B2111" s="15" t="d">
        <x:v>2026-06-01T00:00:00.000Z</x:v>
      </x:c>
      <x:c r="C2111" s="14" t="d">
        <x:v>2026-06-01T00:00:00.000Z</x:v>
      </x:c>
      <x:c r="D2111" s="34" t="str">
        <x:v>0003</x:v>
      </x:c>
      <x:c r="E2111" s="7" t="str">
        <x:v>North</x:v>
      </x:c>
      <x:c r="F2111" s="7" t="n">
        <x:v>2</x:v>
      </x:c>
      <x:c r="G2111" s="7" t="n">
        <x:v>200</x:v>
      </x:c>
      <x:c r="H2111" s="9" t="n">
        <x:v>0</x:v>
      </x:c>
      <x:c r="I2111" s="7" t="n">
        <x:v>400</x:v>
      </x:c>
    </x:row>
    <x:row r="2112" ht="23" customHeight="1">
      <x:c r="A2112" s="7" t="str">
        <x:v>INV02107</x:v>
      </x:c>
      <x:c r="B2112" s="15" t="d">
        <x:v>2026-06-02T00:00:00.000Z</x:v>
      </x:c>
      <x:c r="C2112" s="14" t="d">
        <x:v>2026-06-01T00:00:00.000Z</x:v>
      </x:c>
      <x:c r="D2112" s="34" t="str">
        <x:v>0004</x:v>
      </x:c>
      <x:c r="E2112" s="7" t="str">
        <x:v>North</x:v>
      </x:c>
      <x:c r="F2112" s="7" t="n">
        <x:v>3</x:v>
      </x:c>
      <x:c r="G2112" s="7" t="n">
        <x:v>220</x:v>
      </x:c>
      <x:c r="H2112" s="9" t="n">
        <x:v>0.02</x:v>
      </x:c>
      <x:c r="I2112" s="7" t="n">
        <x:v>646.8</x:v>
      </x:c>
    </x:row>
    <x:row r="2113" ht="23" customHeight="1">
      <x:c r="A2113" s="7" t="str">
        <x:v>INV02108</x:v>
      </x:c>
      <x:c r="B2113" s="15" t="d">
        <x:v>2026-06-03T00:00:00.000Z</x:v>
      </x:c>
      <x:c r="C2113" s="14" t="d">
        <x:v>2026-06-01T00:00:00.000Z</x:v>
      </x:c>
      <x:c r="D2113" s="34" t="str">
        <x:v>0005</x:v>
      </x:c>
      <x:c r="E2113" s="7" t="str">
        <x:v>North</x:v>
      </x:c>
      <x:c r="F2113" s="7" t="n">
        <x:v>7</x:v>
      </x:c>
      <x:c r="G2113" s="7" t="n">
        <x:v>240</x:v>
      </x:c>
      <x:c r="H2113" s="9" t="n">
        <x:v>0.05</x:v>
      </x:c>
      <x:c r="I2113" s="7" t="n">
        <x:v>1596</x:v>
      </x:c>
    </x:row>
    <x:row r="2114" ht="23" customHeight="1">
      <x:c r="A2114" s="7" t="str">
        <x:v>INV02109</x:v>
      </x:c>
      <x:c r="B2114" s="15" t="d">
        <x:v>2026-06-04T00:00:00.000Z</x:v>
      </x:c>
      <x:c r="C2114" s="14" t="d">
        <x:v>2026-06-01T00:00:00.000Z</x:v>
      </x:c>
      <x:c r="D2114" s="34" t="str">
        <x:v>0006</x:v>
      </x:c>
      <x:c r="E2114" s="7" t="str">
        <x:v>North</x:v>
      </x:c>
      <x:c r="F2114" s="7" t="n">
        <x:v>6</x:v>
      </x:c>
      <x:c r="G2114" s="7" t="n">
        <x:v>260</x:v>
      </x:c>
      <x:c r="H2114" s="9" t="n">
        <x:v>0</x:v>
      </x:c>
      <x:c r="I2114" s="7" t="n">
        <x:v>1560</x:v>
      </x:c>
    </x:row>
    <x:row r="2115" ht="23" customHeight="1">
      <x:c r="A2115" s="7" t="str">
        <x:v>INV02110</x:v>
      </x:c>
      <x:c r="B2115" s="15" t="d">
        <x:v>2026-06-05T00:00:00.000Z</x:v>
      </x:c>
      <x:c r="C2115" s="14" t="d">
        <x:v>2026-06-01T00:00:00.000Z</x:v>
      </x:c>
      <x:c r="D2115" s="34" t="str">
        <x:v>0007</x:v>
      </x:c>
      <x:c r="E2115" s="7" t="str">
        <x:v>North</x:v>
      </x:c>
      <x:c r="F2115" s="7" t="n">
        <x:v>6</x:v>
      </x:c>
      <x:c r="G2115" s="7" t="n">
        <x:v>280</x:v>
      </x:c>
      <x:c r="H2115" s="9" t="n">
        <x:v>0.02</x:v>
      </x:c>
      <x:c r="I2115" s="7" t="n">
        <x:v>1646.4</x:v>
      </x:c>
    </x:row>
    <x:row r="2116" ht="23" customHeight="1">
      <x:c r="A2116" s="7" t="str">
        <x:v>INV02111</x:v>
      </x:c>
      <x:c r="B2116" s="15" t="d">
        <x:v>2026-06-06T00:00:00.000Z</x:v>
      </x:c>
      <x:c r="C2116" s="14" t="d">
        <x:v>2026-06-01T00:00:00.000Z</x:v>
      </x:c>
      <x:c r="D2116" s="34" t="str">
        <x:v>0008</x:v>
      </x:c>
      <x:c r="E2116" s="7" t="str">
        <x:v>North</x:v>
      </x:c>
      <x:c r="F2116" s="7" t="n">
        <x:v>2</x:v>
      </x:c>
      <x:c r="G2116" s="7" t="n">
        <x:v>300</x:v>
      </x:c>
      <x:c r="H2116" s="9" t="n">
        <x:v>0.05</x:v>
      </x:c>
      <x:c r="I2116" s="7" t="n">
        <x:v>570</x:v>
      </x:c>
    </x:row>
    <x:row r="2117" ht="23" customHeight="1">
      <x:c r="A2117" s="7" t="str">
        <x:v>INV02112</x:v>
      </x:c>
      <x:c r="B2117" s="15" t="d">
        <x:v>2026-01-07T00:00:00.000Z</x:v>
      </x:c>
      <x:c r="C2117" s="14" t="d">
        <x:v>2026-01-01T00:00:00.000Z</x:v>
      </x:c>
      <x:c r="D2117" s="34" t="str">
        <x:v>0001</x:v>
      </x:c>
      <x:c r="E2117" s="7" t="str">
        <x:v>Central</x:v>
      </x:c>
      <x:c r="F2117" s="7" t="n">
        <x:v>3</x:v>
      </x:c>
      <x:c r="G2117" s="7" t="n">
        <x:v>160</x:v>
      </x:c>
      <x:c r="H2117" s="9" t="n">
        <x:v>0</x:v>
      </x:c>
      <x:c r="I2117" s="7" t="n">
        <x:v>480</x:v>
      </x:c>
    </x:row>
    <x:row r="2118" ht="23" customHeight="1">
      <x:c r="A2118" s="7" t="str">
        <x:v>INV02113</x:v>
      </x:c>
      <x:c r="B2118" s="15" t="d">
        <x:v>2026-01-08T00:00:00.000Z</x:v>
      </x:c>
      <x:c r="C2118" s="14" t="d">
        <x:v>2026-01-01T00:00:00.000Z</x:v>
      </x:c>
      <x:c r="D2118" s="34" t="str">
        <x:v>0002</x:v>
      </x:c>
      <x:c r="E2118" s="7" t="str">
        <x:v>Central</x:v>
      </x:c>
      <x:c r="F2118" s="7" t="n">
        <x:v>6</x:v>
      </x:c>
      <x:c r="G2118" s="7" t="n">
        <x:v>180</x:v>
      </x:c>
      <x:c r="H2118" s="9" t="n">
        <x:v>0.02</x:v>
      </x:c>
      <x:c r="I2118" s="7" t="n">
        <x:v>1058.4</x:v>
      </x:c>
    </x:row>
    <x:row r="2119" ht="23" customHeight="1">
      <x:c r="A2119" s="7" t="str">
        <x:v>INV02114</x:v>
      </x:c>
      <x:c r="B2119" s="15" t="d">
        <x:v>2026-01-09T00:00:00.000Z</x:v>
      </x:c>
      <x:c r="C2119" s="14" t="d">
        <x:v>2026-01-01T00:00:00.000Z</x:v>
      </x:c>
      <x:c r="D2119" s="34" t="str">
        <x:v>0003</x:v>
      </x:c>
      <x:c r="E2119" s="7" t="str">
        <x:v>Central</x:v>
      </x:c>
      <x:c r="F2119" s="7" t="n">
        <x:v>4</x:v>
      </x:c>
      <x:c r="G2119" s="7" t="n">
        <x:v>200</x:v>
      </x:c>
      <x:c r="H2119" s="9" t="n">
        <x:v>0.05</x:v>
      </x:c>
      <x:c r="I2119" s="7" t="n">
        <x:v>760</x:v>
      </x:c>
    </x:row>
    <x:row r="2120" ht="23" customHeight="1">
      <x:c r="A2120" s="7" t="str">
        <x:v>INV02115</x:v>
      </x:c>
      <x:c r="B2120" s="15" t="d">
        <x:v>2026-01-10T00:00:00.000Z</x:v>
      </x:c>
      <x:c r="C2120" s="14" t="d">
        <x:v>2026-01-01T00:00:00.000Z</x:v>
      </x:c>
      <x:c r="D2120" s="34" t="str">
        <x:v>0004</x:v>
      </x:c>
      <x:c r="E2120" s="7" t="str">
        <x:v>Central</x:v>
      </x:c>
      <x:c r="F2120" s="7" t="n">
        <x:v>4</x:v>
      </x:c>
      <x:c r="G2120" s="7" t="n">
        <x:v>220</x:v>
      </x:c>
      <x:c r="H2120" s="9" t="n">
        <x:v>0</x:v>
      </x:c>
      <x:c r="I2120" s="7" t="n">
        <x:v>880</x:v>
      </x:c>
    </x:row>
    <x:row r="2121" ht="23" customHeight="1">
      <x:c r="A2121" s="7" t="str">
        <x:v>INV02116</x:v>
      </x:c>
      <x:c r="B2121" s="15" t="d">
        <x:v>2026-01-11T00:00:00.000Z</x:v>
      </x:c>
      <x:c r="C2121" s="14" t="d">
        <x:v>2026-01-01T00:00:00.000Z</x:v>
      </x:c>
      <x:c r="D2121" s="34" t="str">
        <x:v>0005</x:v>
      </x:c>
      <x:c r="E2121" s="7" t="str">
        <x:v>Central</x:v>
      </x:c>
      <x:c r="F2121" s="7" t="n">
        <x:v>1</x:v>
      </x:c>
      <x:c r="G2121" s="7" t="n">
        <x:v>240</x:v>
      </x:c>
      <x:c r="H2121" s="9" t="n">
        <x:v>0.02</x:v>
      </x:c>
      <x:c r="I2121" s="7" t="n">
        <x:v>235.2</x:v>
      </x:c>
    </x:row>
    <x:row r="2122" ht="23" customHeight="1">
      <x:c r="A2122" s="7" t="str">
        <x:v>INV02117</x:v>
      </x:c>
      <x:c r="B2122" s="15" t="d">
        <x:v>2026-01-12T00:00:00.000Z</x:v>
      </x:c>
      <x:c r="C2122" s="14" t="d">
        <x:v>2026-01-01T00:00:00.000Z</x:v>
      </x:c>
      <x:c r="D2122" s="34" t="str">
        <x:v>0006</x:v>
      </x:c>
      <x:c r="E2122" s="7" t="str">
        <x:v>Central</x:v>
      </x:c>
      <x:c r="F2122" s="7" t="n">
        <x:v>6</x:v>
      </x:c>
      <x:c r="G2122" s="7" t="n">
        <x:v>260</x:v>
      </x:c>
      <x:c r="H2122" s="9" t="n">
        <x:v>0.05</x:v>
      </x:c>
      <x:c r="I2122" s="7" t="n">
        <x:v>1482</x:v>
      </x:c>
    </x:row>
    <x:row r="2123" ht="23" customHeight="1">
      <x:c r="A2123" s="7" t="str">
        <x:v>INV02118</x:v>
      </x:c>
      <x:c r="B2123" s="15" t="d">
        <x:v>2026-01-13T00:00:00.000Z</x:v>
      </x:c>
      <x:c r="C2123" s="14" t="d">
        <x:v>2026-01-01T00:00:00.000Z</x:v>
      </x:c>
      <x:c r="D2123" s="34" t="str">
        <x:v>0007</x:v>
      </x:c>
      <x:c r="E2123" s="7" t="str">
        <x:v>Central</x:v>
      </x:c>
      <x:c r="F2123" s="7" t="n">
        <x:v>5</x:v>
      </x:c>
      <x:c r="G2123" s="7" t="n">
        <x:v>280</x:v>
      </x:c>
      <x:c r="H2123" s="9" t="n">
        <x:v>0</x:v>
      </x:c>
      <x:c r="I2123" s="7" t="n">
        <x:v>1400</x:v>
      </x:c>
    </x:row>
    <x:row r="2124" ht="23" customHeight="1">
      <x:c r="A2124" s="7" t="str">
        <x:v>INV02119</x:v>
      </x:c>
      <x:c r="B2124" s="15" t="d">
        <x:v>2026-01-14T00:00:00.000Z</x:v>
      </x:c>
      <x:c r="C2124" s="14" t="d">
        <x:v>2026-01-01T00:00:00.000Z</x:v>
      </x:c>
      <x:c r="D2124" s="34" t="str">
        <x:v>0008</x:v>
      </x:c>
      <x:c r="E2124" s="7" t="str">
        <x:v>Central</x:v>
      </x:c>
      <x:c r="F2124" s="7" t="n">
        <x:v>7</x:v>
      </x:c>
      <x:c r="G2124" s="7" t="n">
        <x:v>300</x:v>
      </x:c>
      <x:c r="H2124" s="9" t="n">
        <x:v>0.02</x:v>
      </x:c>
      <x:c r="I2124" s="7" t="n">
        <x:v>2058</x:v>
      </x:c>
    </x:row>
    <x:row r="2125" ht="23" customHeight="1">
      <x:c r="A2125" s="7" t="str">
        <x:v>INV02120</x:v>
      </x:c>
      <x:c r="B2125" s="15" t="d">
        <x:v>2026-01-15T00:00:00.000Z</x:v>
      </x:c>
      <x:c r="C2125" s="14" t="d">
        <x:v>2026-01-01T00:00:00.000Z</x:v>
      </x:c>
      <x:c r="D2125" s="34" t="str">
        <x:v>0001</x:v>
      </x:c>
      <x:c r="E2125" s="7" t="str">
        <x:v>East</x:v>
      </x:c>
      <x:c r="F2125" s="7" t="n">
        <x:v>2</x:v>
      </x:c>
      <x:c r="G2125" s="7" t="n">
        <x:v>160</x:v>
      </x:c>
      <x:c r="H2125" s="9" t="n">
        <x:v>0.05</x:v>
      </x:c>
      <x:c r="I2125" s="7" t="n">
        <x:v>304</x:v>
      </x:c>
    </x:row>
    <x:row r="2126" ht="23" customHeight="1">
      <x:c r="A2126" s="7" t="str">
        <x:v>INV02121</x:v>
      </x:c>
      <x:c r="B2126" s="15" t="d">
        <x:v>2026-01-16T00:00:00.000Z</x:v>
      </x:c>
      <x:c r="C2126" s="14" t="d">
        <x:v>2026-01-01T00:00:00.000Z</x:v>
      </x:c>
      <x:c r="D2126" s="34" t="str">
        <x:v>0002</x:v>
      </x:c>
      <x:c r="E2126" s="7" t="str">
        <x:v>East</x:v>
      </x:c>
      <x:c r="F2126" s="7" t="n">
        <x:v>7</x:v>
      </x:c>
      <x:c r="G2126" s="7" t="n">
        <x:v>180</x:v>
      </x:c>
      <x:c r="H2126" s="9" t="n">
        <x:v>0</x:v>
      </x:c>
      <x:c r="I2126" s="7" t="n">
        <x:v>1260</x:v>
      </x:c>
    </x:row>
    <x:row r="2127" ht="23" customHeight="1">
      <x:c r="A2127" s="7" t="str">
        <x:v>INV02122</x:v>
      </x:c>
      <x:c r="B2127" s="15" t="d">
        <x:v>2026-01-17T00:00:00.000Z</x:v>
      </x:c>
      <x:c r="C2127" s="14" t="d">
        <x:v>2026-01-01T00:00:00.000Z</x:v>
      </x:c>
      <x:c r="D2127" s="34" t="str">
        <x:v>0003</x:v>
      </x:c>
      <x:c r="E2127" s="7" t="str">
        <x:v>East</x:v>
      </x:c>
      <x:c r="F2127" s="7" t="n">
        <x:v>1</x:v>
      </x:c>
      <x:c r="G2127" s="7" t="n">
        <x:v>200</x:v>
      </x:c>
      <x:c r="H2127" s="9" t="n">
        <x:v>0.02</x:v>
      </x:c>
      <x:c r="I2127" s="7" t="n">
        <x:v>196</x:v>
      </x:c>
    </x:row>
    <x:row r="2128" ht="23" customHeight="1">
      <x:c r="A2128" s="7" t="str">
        <x:v>INV02123</x:v>
      </x:c>
      <x:c r="B2128" s="15" t="d">
        <x:v>2026-01-18T00:00:00.000Z</x:v>
      </x:c>
      <x:c r="C2128" s="14" t="d">
        <x:v>2026-01-01T00:00:00.000Z</x:v>
      </x:c>
      <x:c r="D2128" s="34" t="str">
        <x:v>0004</x:v>
      </x:c>
      <x:c r="E2128" s="7" t="str">
        <x:v>East</x:v>
      </x:c>
      <x:c r="F2128" s="7" t="n">
        <x:v>3</x:v>
      </x:c>
      <x:c r="G2128" s="7" t="n">
        <x:v>220</x:v>
      </x:c>
      <x:c r="H2128" s="9" t="n">
        <x:v>0.05</x:v>
      </x:c>
      <x:c r="I2128" s="7" t="n">
        <x:v>627</x:v>
      </x:c>
    </x:row>
    <x:row r="2129" ht="23" customHeight="1">
      <x:c r="A2129" s="7" t="str">
        <x:v>INV02124</x:v>
      </x:c>
      <x:c r="B2129" s="15" t="d">
        <x:v>2026-01-19T00:00:00.000Z</x:v>
      </x:c>
      <x:c r="C2129" s="14" t="d">
        <x:v>2026-01-01T00:00:00.000Z</x:v>
      </x:c>
      <x:c r="D2129" s="34" t="str">
        <x:v>0005</x:v>
      </x:c>
      <x:c r="E2129" s="7" t="str">
        <x:v>East</x:v>
      </x:c>
      <x:c r="F2129" s="7" t="n">
        <x:v>4</x:v>
      </x:c>
      <x:c r="G2129" s="7" t="n">
        <x:v>240</x:v>
      </x:c>
      <x:c r="H2129" s="9" t="n">
        <x:v>0</x:v>
      </x:c>
      <x:c r="I2129" s="7" t="n">
        <x:v>960</x:v>
      </x:c>
    </x:row>
    <x:row r="2130" ht="23" customHeight="1">
      <x:c r="A2130" s="7" t="str">
        <x:v>INV02125</x:v>
      </x:c>
      <x:c r="B2130" s="15" t="d">
        <x:v>2026-01-20T00:00:00.000Z</x:v>
      </x:c>
      <x:c r="C2130" s="14" t="d">
        <x:v>2026-01-01T00:00:00.000Z</x:v>
      </x:c>
      <x:c r="D2130" s="34" t="str">
        <x:v>0006</x:v>
      </x:c>
      <x:c r="E2130" s="7" t="str">
        <x:v>East</x:v>
      </x:c>
      <x:c r="F2130" s="7" t="n">
        <x:v>3</x:v>
      </x:c>
      <x:c r="G2130" s="7" t="n">
        <x:v>260</x:v>
      </x:c>
      <x:c r="H2130" s="9" t="n">
        <x:v>0.02</x:v>
      </x:c>
      <x:c r="I2130" s="7" t="n">
        <x:v>764.4</x:v>
      </x:c>
    </x:row>
    <x:row r="2131" ht="23" customHeight="1">
      <x:c r="A2131" s="7" t="str">
        <x:v>INV02126</x:v>
      </x:c>
      <x:c r="B2131" s="15" t="d">
        <x:v>2026-01-21T00:00:00.000Z</x:v>
      </x:c>
      <x:c r="C2131" s="14" t="d">
        <x:v>2026-01-01T00:00:00.000Z</x:v>
      </x:c>
      <x:c r="D2131" s="34" t="str">
        <x:v>0007</x:v>
      </x:c>
      <x:c r="E2131" s="7" t="str">
        <x:v>East</x:v>
      </x:c>
      <x:c r="F2131" s="7" t="n">
        <x:v>2</x:v>
      </x:c>
      <x:c r="G2131" s="7" t="n">
        <x:v>280</x:v>
      </x:c>
      <x:c r="H2131" s="9" t="n">
        <x:v>0.05</x:v>
      </x:c>
      <x:c r="I2131" s="7" t="n">
        <x:v>532</x:v>
      </x:c>
    </x:row>
    <x:row r="2132" ht="23" customHeight="1">
      <x:c r="A2132" s="7" t="str">
        <x:v>INV02127</x:v>
      </x:c>
      <x:c r="B2132" s="15" t="d">
        <x:v>2026-01-22T00:00:00.000Z</x:v>
      </x:c>
      <x:c r="C2132" s="14" t="d">
        <x:v>2026-01-01T00:00:00.000Z</x:v>
      </x:c>
      <x:c r="D2132" s="34" t="str">
        <x:v>0008</x:v>
      </x:c>
      <x:c r="E2132" s="7" t="str">
        <x:v>East</x:v>
      </x:c>
      <x:c r="F2132" s="7" t="n">
        <x:v>4</x:v>
      </x:c>
      <x:c r="G2132" s="7" t="n">
        <x:v>300</x:v>
      </x:c>
      <x:c r="H2132" s="9" t="n">
        <x:v>0</x:v>
      </x:c>
      <x:c r="I2132" s="7" t="n">
        <x:v>1200</x:v>
      </x:c>
    </x:row>
    <x:row r="2133" ht="23" customHeight="1">
      <x:c r="A2133" s="7" t="str">
        <x:v>INV02128</x:v>
      </x:c>
      <x:c r="B2133" s="15" t="d">
        <x:v>2026-01-23T00:00:00.000Z</x:v>
      </x:c>
      <x:c r="C2133" s="14" t="d">
        <x:v>2026-01-01T00:00:00.000Z</x:v>
      </x:c>
      <x:c r="D2133" s="34" t="str">
        <x:v>0001</x:v>
      </x:c>
      <x:c r="E2133" s="7" t="str">
        <x:v>West</x:v>
      </x:c>
      <x:c r="F2133" s="7" t="n">
        <x:v>4</x:v>
      </x:c>
      <x:c r="G2133" s="7" t="n">
        <x:v>160</x:v>
      </x:c>
      <x:c r="H2133" s="9" t="n">
        <x:v>0.02</x:v>
      </x:c>
      <x:c r="I2133" s="7" t="n">
        <x:v>627.2</x:v>
      </x:c>
    </x:row>
    <x:row r="2134" ht="23" customHeight="1">
      <x:c r="A2134" s="7" t="str">
        <x:v>INV02129</x:v>
      </x:c>
      <x:c r="B2134" s="15" t="d">
        <x:v>2026-01-24T00:00:00.000Z</x:v>
      </x:c>
      <x:c r="C2134" s="14" t="d">
        <x:v>2026-01-01T00:00:00.000Z</x:v>
      </x:c>
      <x:c r="D2134" s="34" t="str">
        <x:v>0002</x:v>
      </x:c>
      <x:c r="E2134" s="7" t="str">
        <x:v>West</x:v>
      </x:c>
      <x:c r="F2134" s="7" t="n">
        <x:v>4</x:v>
      </x:c>
      <x:c r="G2134" s="7" t="n">
        <x:v>180</x:v>
      </x:c>
      <x:c r="H2134" s="9" t="n">
        <x:v>0.05</x:v>
      </x:c>
      <x:c r="I2134" s="7" t="n">
        <x:v>684</x:v>
      </x:c>
    </x:row>
    <x:row r="2135" ht="23" customHeight="1">
      <x:c r="A2135" s="7" t="str">
        <x:v>INV02130</x:v>
      </x:c>
      <x:c r="B2135" s="15" t="d">
        <x:v>2026-01-25T00:00:00.000Z</x:v>
      </x:c>
      <x:c r="C2135" s="14" t="d">
        <x:v>2026-01-01T00:00:00.000Z</x:v>
      </x:c>
      <x:c r="D2135" s="34" t="str">
        <x:v>0003</x:v>
      </x:c>
      <x:c r="E2135" s="7" t="str">
        <x:v>West</x:v>
      </x:c>
      <x:c r="F2135" s="7" t="n">
        <x:v>1</x:v>
      </x:c>
      <x:c r="G2135" s="7" t="n">
        <x:v>200</x:v>
      </x:c>
      <x:c r="H2135" s="9" t="n">
        <x:v>0</x:v>
      </x:c>
      <x:c r="I2135" s="7" t="n">
        <x:v>200</x:v>
      </x:c>
    </x:row>
    <x:row r="2136" ht="23" customHeight="1">
      <x:c r="A2136" s="7" t="str">
        <x:v>INV02131</x:v>
      </x:c>
      <x:c r="B2136" s="15" t="d">
        <x:v>2026-01-26T00:00:00.000Z</x:v>
      </x:c>
      <x:c r="C2136" s="14" t="d">
        <x:v>2026-01-01T00:00:00.000Z</x:v>
      </x:c>
      <x:c r="D2136" s="34" t="str">
        <x:v>0004</x:v>
      </x:c>
      <x:c r="E2136" s="7" t="str">
        <x:v>West</x:v>
      </x:c>
      <x:c r="F2136" s="7" t="n">
        <x:v>5</x:v>
      </x:c>
      <x:c r="G2136" s="7" t="n">
        <x:v>220</x:v>
      </x:c>
      <x:c r="H2136" s="9" t="n">
        <x:v>0.02</x:v>
      </x:c>
      <x:c r="I2136" s="7" t="n">
        <x:v>1078</x:v>
      </x:c>
    </x:row>
    <x:row r="2137" ht="23" customHeight="1">
      <x:c r="A2137" s="7" t="str">
        <x:v>INV02132</x:v>
      </x:c>
      <x:c r="B2137" s="15" t="d">
        <x:v>2026-01-27T00:00:00.000Z</x:v>
      </x:c>
      <x:c r="C2137" s="14" t="d">
        <x:v>2026-01-01T00:00:00.000Z</x:v>
      </x:c>
      <x:c r="D2137" s="34" t="str">
        <x:v>0005</x:v>
      </x:c>
      <x:c r="E2137" s="7" t="str">
        <x:v>West</x:v>
      </x:c>
      <x:c r="F2137" s="7" t="n">
        <x:v>-5</x:v>
      </x:c>
      <x:c r="G2137" s="7" t="n">
        <x:v>240</x:v>
      </x:c>
      <x:c r="H2137" s="9" t="n">
        <x:v>0.05</x:v>
      </x:c>
      <x:c r="I2137" s="7" t="n">
        <x:v>-1140</x:v>
      </x:c>
    </x:row>
    <x:row r="2138" ht="23" customHeight="1">
      <x:c r="A2138" s="7" t="str">
        <x:v>INV02133</x:v>
      </x:c>
      <x:c r="B2138" s="15" t="d">
        <x:v>2026-01-01T00:00:00.000Z</x:v>
      </x:c>
      <x:c r="C2138" s="14" t="d">
        <x:v>2026-01-01T00:00:00.000Z</x:v>
      </x:c>
      <x:c r="D2138" s="34" t="str">
        <x:v>0006</x:v>
      </x:c>
      <x:c r="E2138" s="7" t="str">
        <x:v>West</x:v>
      </x:c>
      <x:c r="F2138" s="7" t="n">
        <x:v>7</x:v>
      </x:c>
      <x:c r="G2138" s="7" t="n">
        <x:v>260</x:v>
      </x:c>
      <x:c r="H2138" s="9" t="n">
        <x:v>0</x:v>
      </x:c>
      <x:c r="I2138" s="7" t="n">
        <x:v>1820</x:v>
      </x:c>
    </x:row>
    <x:row r="2139" ht="23" customHeight="1">
      <x:c r="A2139" s="7" t="str">
        <x:v>INV02134</x:v>
      </x:c>
      <x:c r="B2139" s="15" t="d">
        <x:v>2026-01-02T00:00:00.000Z</x:v>
      </x:c>
      <x:c r="C2139" s="14" t="d">
        <x:v>2026-01-01T00:00:00.000Z</x:v>
      </x:c>
      <x:c r="D2139" s="34" t="str">
        <x:v>0007</x:v>
      </x:c>
      <x:c r="E2139" s="7" t="str">
        <x:v>West</x:v>
      </x:c>
      <x:c r="F2139" s="7" t="n">
        <x:v>3</x:v>
      </x:c>
      <x:c r="G2139" s="7" t="n">
        <x:v>280</x:v>
      </x:c>
      <x:c r="H2139" s="9" t="n">
        <x:v>0.02</x:v>
      </x:c>
      <x:c r="I2139" s="7" t="n">
        <x:v>823.2</x:v>
      </x:c>
    </x:row>
    <x:row r="2140" ht="23" customHeight="1">
      <x:c r="A2140" s="7" t="str">
        <x:v>INV02135</x:v>
      </x:c>
      <x:c r="B2140" s="15" t="d">
        <x:v>2026-01-03T00:00:00.000Z</x:v>
      </x:c>
      <x:c r="C2140" s="14" t="d">
        <x:v>2026-01-01T00:00:00.000Z</x:v>
      </x:c>
      <x:c r="D2140" s="34" t="str">
        <x:v>0008</x:v>
      </x:c>
      <x:c r="E2140" s="7" t="str">
        <x:v>West</x:v>
      </x:c>
      <x:c r="F2140" s="7" t="n">
        <x:v>5</x:v>
      </x:c>
      <x:c r="G2140" s="7" t="n">
        <x:v>300</x:v>
      </x:c>
      <x:c r="H2140" s="9" t="n">
        <x:v>0.05</x:v>
      </x:c>
      <x:c r="I2140" s="7" t="n">
        <x:v>1425</x:v>
      </x:c>
    </x:row>
    <x:row r="2141" ht="23" customHeight="1">
      <x:c r="A2141" s="7" t="str">
        <x:v>INV02136</x:v>
      </x:c>
      <x:c r="B2141" s="15" t="d">
        <x:v>2026-01-04T00:00:00.000Z</x:v>
      </x:c>
      <x:c r="C2141" s="14" t="d">
        <x:v>2026-01-01T00:00:00.000Z</x:v>
      </x:c>
      <x:c r="D2141" s="34" t="str">
        <x:v>0001</x:v>
      </x:c>
      <x:c r="E2141" s="7" t="str">
        <x:v>North</x:v>
      </x:c>
      <x:c r="F2141" s="7" t="n">
        <x:v>3</x:v>
      </x:c>
      <x:c r="G2141" s="7" t="n">
        <x:v>160</x:v>
      </x:c>
      <x:c r="H2141" s="9" t="n">
        <x:v>0</x:v>
      </x:c>
      <x:c r="I2141" s="7" t="n">
        <x:v>480</x:v>
      </x:c>
    </x:row>
    <x:row r="2142" ht="23" customHeight="1">
      <x:c r="A2142" s="7" t="str">
        <x:v>INV02137</x:v>
      </x:c>
      <x:c r="B2142" s="15" t="d">
        <x:v>2026-01-05T00:00:00.000Z</x:v>
      </x:c>
      <x:c r="C2142" s="14" t="d">
        <x:v>2026-01-01T00:00:00.000Z</x:v>
      </x:c>
      <x:c r="D2142" s="34" t="str">
        <x:v>0002</x:v>
      </x:c>
      <x:c r="E2142" s="7" t="str">
        <x:v>North</x:v>
      </x:c>
      <x:c r="F2142" s="7" t="n">
        <x:v>4</x:v>
      </x:c>
      <x:c r="G2142" s="7" t="n">
        <x:v>180</x:v>
      </x:c>
      <x:c r="H2142" s="9" t="n">
        <x:v>0.02</x:v>
      </x:c>
      <x:c r="I2142" s="7" t="n">
        <x:v>705.6</x:v>
      </x:c>
    </x:row>
    <x:row r="2143" ht="23" customHeight="1">
      <x:c r="A2143" s="7" t="str">
        <x:v>INV02138</x:v>
      </x:c>
      <x:c r="B2143" s="15" t="d">
        <x:v>2026-01-06T00:00:00.000Z</x:v>
      </x:c>
      <x:c r="C2143" s="14" t="d">
        <x:v>2026-01-01T00:00:00.000Z</x:v>
      </x:c>
      <x:c r="D2143" s="34" t="str">
        <x:v>0003</x:v>
      </x:c>
      <x:c r="E2143" s="7" t="str">
        <x:v>North</x:v>
      </x:c>
      <x:c r="F2143" s="7" t="n">
        <x:v>7</x:v>
      </x:c>
      <x:c r="G2143" s="7" t="n">
        <x:v>200</x:v>
      </x:c>
      <x:c r="H2143" s="9" t="n">
        <x:v>0.05</x:v>
      </x:c>
      <x:c r="I2143" s="7" t="n">
        <x:v>1330</x:v>
      </x:c>
    </x:row>
    <x:row r="2144" ht="23" customHeight="1">
      <x:c r="A2144" s="7" t="str">
        <x:v>INV02139</x:v>
      </x:c>
      <x:c r="B2144" s="15" t="d">
        <x:v>2026-01-07T00:00:00.000Z</x:v>
      </x:c>
      <x:c r="C2144" s="14" t="d">
        <x:v>2026-01-01T00:00:00.000Z</x:v>
      </x:c>
      <x:c r="D2144" s="34" t="str">
        <x:v>0004</x:v>
      </x:c>
      <x:c r="E2144" s="7" t="str">
        <x:v>North</x:v>
      </x:c>
      <x:c r="F2144" s="7" t="n">
        <x:v>5</x:v>
      </x:c>
      <x:c r="G2144" s="7" t="n">
        <x:v>220</x:v>
      </x:c>
      <x:c r="H2144" s="9" t="n">
        <x:v>0</x:v>
      </x:c>
      <x:c r="I2144" s="7" t="n">
        <x:v>1100</x:v>
      </x:c>
    </x:row>
    <x:row r="2145" ht="23" customHeight="1">
      <x:c r="A2145" s="7" t="str">
        <x:v>INV02140</x:v>
      </x:c>
      <x:c r="B2145" s="15" t="d">
        <x:v>2026-01-08T00:00:00.000Z</x:v>
      </x:c>
      <x:c r="C2145" s="14" t="d">
        <x:v>2026-01-01T00:00:00.000Z</x:v>
      </x:c>
      <x:c r="D2145" s="34" t="str">
        <x:v>0005</x:v>
      </x:c>
      <x:c r="E2145" s="7" t="str">
        <x:v>North</x:v>
      </x:c>
      <x:c r="F2145" s="7" t="n">
        <x:v>6</x:v>
      </x:c>
      <x:c r="G2145" s="7" t="n">
        <x:v>240</x:v>
      </x:c>
      <x:c r="H2145" s="9" t="n">
        <x:v>0.02</x:v>
      </x:c>
      <x:c r="I2145" s="7" t="n">
        <x:v>1411.2</x:v>
      </x:c>
    </x:row>
    <x:row r="2146" ht="23" customHeight="1">
      <x:c r="A2146" s="7" t="str">
        <x:v>INV02141</x:v>
      </x:c>
      <x:c r="B2146" s="15" t="d">
        <x:v>2026-01-09T00:00:00.000Z</x:v>
      </x:c>
      <x:c r="C2146" s="14" t="d">
        <x:v>2026-01-01T00:00:00.000Z</x:v>
      </x:c>
      <x:c r="D2146" s="34" t="str">
        <x:v>0006</x:v>
      </x:c>
      <x:c r="E2146" s="7" t="str">
        <x:v>North</x:v>
      </x:c>
      <x:c r="F2146" s="7" t="n">
        <x:v>2</x:v>
      </x:c>
      <x:c r="G2146" s="7" t="n">
        <x:v>260</x:v>
      </x:c>
      <x:c r="H2146" s="9" t="n">
        <x:v>0.05</x:v>
      </x:c>
      <x:c r="I2146" s="7" t="n">
        <x:v>494</x:v>
      </x:c>
    </x:row>
    <x:row r="2147" ht="23" customHeight="1">
      <x:c r="A2147" s="7" t="str">
        <x:v>INV02142</x:v>
      </x:c>
      <x:c r="B2147" s="15" t="d">
        <x:v>2026-01-10T00:00:00.000Z</x:v>
      </x:c>
      <x:c r="C2147" s="14" t="d">
        <x:v>2026-01-01T00:00:00.000Z</x:v>
      </x:c>
      <x:c r="D2147" s="34" t="str">
        <x:v>0007</x:v>
      </x:c>
      <x:c r="E2147" s="7" t="str">
        <x:v>North</x:v>
      </x:c>
      <x:c r="F2147" s="7" t="n">
        <x:v>2</x:v>
      </x:c>
      <x:c r="G2147" s="7" t="n">
        <x:v>280</x:v>
      </x:c>
      <x:c r="H2147" s="9" t="n">
        <x:v>0</x:v>
      </x:c>
      <x:c r="I2147" s="7" t="n">
        <x:v>560</x:v>
      </x:c>
    </x:row>
    <x:row r="2148" ht="23" customHeight="1">
      <x:c r="A2148" s="7" t="str">
        <x:v>INV02143</x:v>
      </x:c>
      <x:c r="B2148" s="15" t="d">
        <x:v>2026-01-11T00:00:00.000Z</x:v>
      </x:c>
      <x:c r="C2148" s="14" t="d">
        <x:v>2026-01-01T00:00:00.000Z</x:v>
      </x:c>
      <x:c r="D2148" s="34" t="str">
        <x:v>0008</x:v>
      </x:c>
      <x:c r="E2148" s="7" t="str">
        <x:v>North</x:v>
      </x:c>
      <x:c r="F2148" s="7" t="n">
        <x:v>1</x:v>
      </x:c>
      <x:c r="G2148" s="7" t="n">
        <x:v>300</x:v>
      </x:c>
      <x:c r="H2148" s="9" t="n">
        <x:v>0.02</x:v>
      </x:c>
      <x:c r="I2148" s="7" t="n">
        <x:v>294</x:v>
      </x:c>
    </x:row>
    <x:row r="2149" ht="23" customHeight="1">
      <x:c r="A2149" s="7" t="str">
        <x:v>INV02144</x:v>
      </x:c>
      <x:c r="B2149" s="15" t="d">
        <x:v>2026-02-12T00:00:00.000Z</x:v>
      </x:c>
      <x:c r="C2149" s="14" t="d">
        <x:v>2026-02-01T00:00:00.000Z</x:v>
      </x:c>
      <x:c r="D2149" s="34" t="str">
        <x:v>0001</x:v>
      </x:c>
      <x:c r="E2149" s="7" t="str">
        <x:v>Central</x:v>
      </x:c>
      <x:c r="F2149" s="7" t="n">
        <x:v>2</x:v>
      </x:c>
      <x:c r="G2149" s="7" t="n">
        <x:v>160</x:v>
      </x:c>
      <x:c r="H2149" s="9" t="n">
        <x:v>0.05</x:v>
      </x:c>
      <x:c r="I2149" s="7" t="n">
        <x:v>304</x:v>
      </x:c>
    </x:row>
    <x:row r="2150" ht="23" customHeight="1">
      <x:c r="A2150" s="7" t="str">
        <x:v>INV02145</x:v>
      </x:c>
      <x:c r="B2150" s="15" t="d">
        <x:v>2026-02-13T00:00:00.000Z</x:v>
      </x:c>
      <x:c r="C2150" s="14" t="d">
        <x:v>2026-02-01T00:00:00.000Z</x:v>
      </x:c>
      <x:c r="D2150" s="34" t="str">
        <x:v>0002</x:v>
      </x:c>
      <x:c r="E2150" s="7" t="str">
        <x:v>Central</x:v>
      </x:c>
      <x:c r="F2150" s="7" t="n">
        <x:v>7</x:v>
      </x:c>
      <x:c r="G2150" s="7" t="n">
        <x:v>180</x:v>
      </x:c>
      <x:c r="H2150" s="9" t="n">
        <x:v>0</x:v>
      </x:c>
      <x:c r="I2150" s="7" t="n">
        <x:v>1260</x:v>
      </x:c>
    </x:row>
    <x:row r="2151" ht="23" customHeight="1">
      <x:c r="A2151" s="7" t="str">
        <x:v>INV02146</x:v>
      </x:c>
      <x:c r="B2151" s="15" t="d">
        <x:v>2026-02-14T00:00:00.000Z</x:v>
      </x:c>
      <x:c r="C2151" s="14" t="d">
        <x:v>2026-02-01T00:00:00.000Z</x:v>
      </x:c>
      <x:c r="D2151" s="34" t="str">
        <x:v>0003</x:v>
      </x:c>
      <x:c r="E2151" s="7" t="str">
        <x:v>Central</x:v>
      </x:c>
      <x:c r="F2151" s="7" t="n">
        <x:v>6</x:v>
      </x:c>
      <x:c r="G2151" s="7" t="n">
        <x:v>200</x:v>
      </x:c>
      <x:c r="H2151" s="9" t="n">
        <x:v>0.02</x:v>
      </x:c>
      <x:c r="I2151" s="7" t="n">
        <x:v>1176</x:v>
      </x:c>
    </x:row>
    <x:row r="2152" ht="23" customHeight="1">
      <x:c r="A2152" s="7" t="str">
        <x:v>INV02147</x:v>
      </x:c>
      <x:c r="B2152" s="15" t="d">
        <x:v>2026-02-15T00:00:00.000Z</x:v>
      </x:c>
      <x:c r="C2152" s="14" t="d">
        <x:v>2026-02-01T00:00:00.000Z</x:v>
      </x:c>
      <x:c r="D2152" s="34" t="str">
        <x:v>0004</x:v>
      </x:c>
      <x:c r="E2152" s="7" t="str">
        <x:v>Central</x:v>
      </x:c>
      <x:c r="F2152" s="7" t="n">
        <x:v>7</x:v>
      </x:c>
      <x:c r="G2152" s="7" t="n">
        <x:v>220</x:v>
      </x:c>
      <x:c r="H2152" s="9" t="n">
        <x:v>0.05</x:v>
      </x:c>
      <x:c r="I2152" s="7" t="n">
        <x:v>1463</x:v>
      </x:c>
    </x:row>
    <x:row r="2153" ht="23" customHeight="1">
      <x:c r="A2153" s="7" t="str">
        <x:v>INV02148</x:v>
      </x:c>
      <x:c r="B2153" s="15" t="d">
        <x:v>2026-02-16T00:00:00.000Z</x:v>
      </x:c>
      <x:c r="C2153" s="14" t="d">
        <x:v>2026-02-01T00:00:00.000Z</x:v>
      </x:c>
      <x:c r="D2153" s="34" t="str">
        <x:v>0005</x:v>
      </x:c>
      <x:c r="E2153" s="7" t="str">
        <x:v>Central</x:v>
      </x:c>
      <x:c r="F2153" s="7" t="n">
        <x:v>7</x:v>
      </x:c>
      <x:c r="G2153" s="7" t="n">
        <x:v>240</x:v>
      </x:c>
      <x:c r="H2153" s="9" t="n">
        <x:v>0</x:v>
      </x:c>
      <x:c r="I2153" s="7" t="n">
        <x:v>1680</x:v>
      </x:c>
    </x:row>
    <x:row r="2154" ht="23" customHeight="1">
      <x:c r="A2154" s="7" t="str">
        <x:v>INV02149</x:v>
      </x:c>
      <x:c r="B2154" s="15" t="d">
        <x:v>2026-02-17T00:00:00.000Z</x:v>
      </x:c>
      <x:c r="C2154" s="14" t="d">
        <x:v>2026-02-01T00:00:00.000Z</x:v>
      </x:c>
      <x:c r="D2154" s="34" t="str">
        <x:v>0006</x:v>
      </x:c>
      <x:c r="E2154" s="7" t="str">
        <x:v>Central</x:v>
      </x:c>
      <x:c r="F2154" s="7" t="n">
        <x:v>3</x:v>
      </x:c>
      <x:c r="G2154" s="7" t="n">
        <x:v>260</x:v>
      </x:c>
      <x:c r="H2154" s="9" t="n">
        <x:v>0.02</x:v>
      </x:c>
      <x:c r="I2154" s="7" t="n">
        <x:v>764.4</x:v>
      </x:c>
    </x:row>
    <x:row r="2155" ht="23" customHeight="1">
      <x:c r="A2155" s="7" t="str">
        <x:v>INV02150</x:v>
      </x:c>
      <x:c r="B2155" s="15" t="d">
        <x:v>2026-02-18T00:00:00.000Z</x:v>
      </x:c>
      <x:c r="C2155" s="14" t="d">
        <x:v>2026-02-01T00:00:00.000Z</x:v>
      </x:c>
      <x:c r="D2155" s="34" t="str">
        <x:v>0007</x:v>
      </x:c>
      <x:c r="E2155" s="7" t="str">
        <x:v>Central</x:v>
      </x:c>
      <x:c r="F2155" s="7" t="n">
        <x:v>4</x:v>
      </x:c>
      <x:c r="G2155" s="7" t="n">
        <x:v>280</x:v>
      </x:c>
      <x:c r="H2155" s="9" t="n">
        <x:v>0.05</x:v>
      </x:c>
      <x:c r="I2155" s="7" t="n">
        <x:v>1064</x:v>
      </x:c>
    </x:row>
    <x:row r="2156" ht="23" customHeight="1">
      <x:c r="A2156" s="7" t="str">
        <x:v>INV02151</x:v>
      </x:c>
      <x:c r="B2156" s="15" t="d">
        <x:v>2026-02-19T00:00:00.000Z</x:v>
      </x:c>
      <x:c r="C2156" s="14" t="d">
        <x:v>2026-02-01T00:00:00.000Z</x:v>
      </x:c>
      <x:c r="D2156" s="34" t="str">
        <x:v>0008</x:v>
      </x:c>
      <x:c r="E2156" s="7" t="str">
        <x:v>Central</x:v>
      </x:c>
      <x:c r="F2156" s="7" t="n">
        <x:v>2</x:v>
      </x:c>
      <x:c r="G2156" s="7" t="n">
        <x:v>300</x:v>
      </x:c>
      <x:c r="H2156" s="9" t="n">
        <x:v>0</x:v>
      </x:c>
      <x:c r="I2156" s="7" t="n">
        <x:v>600</x:v>
      </x:c>
    </x:row>
    <x:row r="2157" ht="23" customHeight="1">
      <x:c r="A2157" s="7" t="str">
        <x:v>INV02152</x:v>
      </x:c>
      <x:c r="B2157" s="15" t="d">
        <x:v>2026-02-20T00:00:00.000Z</x:v>
      </x:c>
      <x:c r="C2157" s="14" t="d">
        <x:v>2026-02-01T00:00:00.000Z</x:v>
      </x:c>
      <x:c r="D2157" s="34" t="str">
        <x:v>0001</x:v>
      </x:c>
      <x:c r="E2157" s="7" t="str">
        <x:v>East</x:v>
      </x:c>
      <x:c r="F2157" s="7" t="n">
        <x:v>4</x:v>
      </x:c>
      <x:c r="G2157" s="7" t="n">
        <x:v>160</x:v>
      </x:c>
      <x:c r="H2157" s="9" t="n">
        <x:v>0.02</x:v>
      </x:c>
      <x:c r="I2157" s="7" t="n">
        <x:v>627.2</x:v>
      </x:c>
    </x:row>
    <x:row r="2158" ht="23" customHeight="1">
      <x:c r="A2158" s="7" t="str">
        <x:v>INV02153</x:v>
      </x:c>
      <x:c r="B2158" s="15" t="d">
        <x:v>2026-02-21T00:00:00.000Z</x:v>
      </x:c>
      <x:c r="C2158" s="14" t="d">
        <x:v>2026-02-01T00:00:00.000Z</x:v>
      </x:c>
      <x:c r="D2158" s="34" t="str">
        <x:v>0002</x:v>
      </x:c>
      <x:c r="E2158" s="7" t="str">
        <x:v>East</x:v>
      </x:c>
      <x:c r="F2158" s="7" t="n">
        <x:v>3</x:v>
      </x:c>
      <x:c r="G2158" s="7" t="n">
        <x:v>180</x:v>
      </x:c>
      <x:c r="H2158" s="9" t="n">
        <x:v>0.05</x:v>
      </x:c>
      <x:c r="I2158" s="7" t="n">
        <x:v>513</x:v>
      </x:c>
    </x:row>
    <x:row r="2159" ht="23" customHeight="1">
      <x:c r="A2159" s="7" t="str">
        <x:v>INV02154</x:v>
      </x:c>
      <x:c r="B2159" s="15" t="d">
        <x:v>2026-02-22T00:00:00.000Z</x:v>
      </x:c>
      <x:c r="C2159" s="14" t="d">
        <x:v>2026-02-01T00:00:00.000Z</x:v>
      </x:c>
      <x:c r="D2159" s="34" t="str">
        <x:v>0003</x:v>
      </x:c>
      <x:c r="E2159" s="7" t="str">
        <x:v>East</x:v>
      </x:c>
      <x:c r="F2159" s="7" t="n">
        <x:v>2</x:v>
      </x:c>
      <x:c r="G2159" s="7" t="n">
        <x:v>200</x:v>
      </x:c>
      <x:c r="H2159" s="9" t="n">
        <x:v>0</x:v>
      </x:c>
      <x:c r="I2159" s="7" t="n">
        <x:v>400</x:v>
      </x:c>
    </x:row>
    <x:row r="2160" ht="23" customHeight="1">
      <x:c r="A2160" s="7" t="str">
        <x:v>INV02155</x:v>
      </x:c>
      <x:c r="B2160" s="15" t="d">
        <x:v>2026-02-23T00:00:00.000Z</x:v>
      </x:c>
      <x:c r="C2160" s="14" t="d">
        <x:v>2026-02-01T00:00:00.000Z</x:v>
      </x:c>
      <x:c r="D2160" s="34" t="str">
        <x:v>0004</x:v>
      </x:c>
      <x:c r="E2160" s="7" t="str">
        <x:v>East</x:v>
      </x:c>
      <x:c r="F2160" s="7" t="n">
        <x:v>2</x:v>
      </x:c>
      <x:c r="G2160" s="7" t="n">
        <x:v>220</x:v>
      </x:c>
      <x:c r="H2160" s="9" t="n">
        <x:v>0.02</x:v>
      </x:c>
      <x:c r="I2160" s="7" t="n">
        <x:v>431.2</x:v>
      </x:c>
    </x:row>
    <x:row r="2161" ht="23" customHeight="1">
      <x:c r="A2161" s="7" t="str">
        <x:v>INV02156</x:v>
      </x:c>
      <x:c r="B2161" s="15" t="d">
        <x:v>2026-02-24T00:00:00.000Z</x:v>
      </x:c>
      <x:c r="C2161" s="14" t="d">
        <x:v>2026-02-01T00:00:00.000Z</x:v>
      </x:c>
      <x:c r="D2161" s="34" t="str">
        <x:v>0005</x:v>
      </x:c>
      <x:c r="E2161" s="7" t="str">
        <x:v>East</x:v>
      </x:c>
      <x:c r="F2161" s="7" t="n">
        <x:v>2</x:v>
      </x:c>
      <x:c r="G2161" s="7" t="n">
        <x:v>240</x:v>
      </x:c>
      <x:c r="H2161" s="9" t="n">
        <x:v>0.05</x:v>
      </x:c>
      <x:c r="I2161" s="7" t="n">
        <x:v>456</x:v>
      </x:c>
    </x:row>
    <x:row r="2162" ht="23" customHeight="1">
      <x:c r="A2162" s="7" t="str">
        <x:v>INV02157</x:v>
      </x:c>
      <x:c r="B2162" s="15" t="d">
        <x:v>2026-02-25T00:00:00.000Z</x:v>
      </x:c>
      <x:c r="C2162" s="14" t="d">
        <x:v>2026-02-01T00:00:00.000Z</x:v>
      </x:c>
      <x:c r="D2162" s="34" t="str">
        <x:v>0006</x:v>
      </x:c>
      <x:c r="E2162" s="7" t="str">
        <x:v>East</x:v>
      </x:c>
      <x:c r="F2162" s="7" t="n">
        <x:v>2</x:v>
      </x:c>
      <x:c r="G2162" s="7" t="n">
        <x:v>260</x:v>
      </x:c>
      <x:c r="H2162" s="9" t="n">
        <x:v>0</x:v>
      </x:c>
      <x:c r="I2162" s="7" t="n">
        <x:v>520</x:v>
      </x:c>
    </x:row>
    <x:row r="2163" ht="23" customHeight="1">
      <x:c r="A2163" s="7" t="str">
        <x:v>INV02158</x:v>
      </x:c>
      <x:c r="B2163" s="15" t="d">
        <x:v>2026-02-26T00:00:00.000Z</x:v>
      </x:c>
      <x:c r="C2163" s="14" t="d">
        <x:v>2026-02-01T00:00:00.000Z</x:v>
      </x:c>
      <x:c r="D2163" s="34" t="str">
        <x:v>0007</x:v>
      </x:c>
      <x:c r="E2163" s="7" t="str">
        <x:v>East</x:v>
      </x:c>
      <x:c r="F2163" s="7" t="n">
        <x:v>1</x:v>
      </x:c>
      <x:c r="G2163" s="7" t="n">
        <x:v>280</x:v>
      </x:c>
      <x:c r="H2163" s="9" t="n">
        <x:v>0.02</x:v>
      </x:c>
      <x:c r="I2163" s="7" t="n">
        <x:v>274.4</x:v>
      </x:c>
    </x:row>
    <x:row r="2164" ht="23" customHeight="1">
      <x:c r="A2164" s="7" t="str">
        <x:v>INV02159</x:v>
      </x:c>
      <x:c r="B2164" s="15" t="d">
        <x:v>2026-02-27T00:00:00.000Z</x:v>
      </x:c>
      <x:c r="C2164" s="14" t="d">
        <x:v>2026-02-01T00:00:00.000Z</x:v>
      </x:c>
      <x:c r="D2164" s="34" t="str">
        <x:v>0008</x:v>
      </x:c>
      <x:c r="E2164" s="7" t="str">
        <x:v>East</x:v>
      </x:c>
      <x:c r="F2164" s="7" t="n">
        <x:v>3</x:v>
      </x:c>
      <x:c r="G2164" s="7" t="n">
        <x:v>300</x:v>
      </x:c>
      <x:c r="H2164" s="9" t="n">
        <x:v>0.05</x:v>
      </x:c>
      <x:c r="I2164" s="7" t="n">
        <x:v>855</x:v>
      </x:c>
    </x:row>
    <x:row r="2165" ht="23" customHeight="1">
      <x:c r="A2165" s="7" t="str">
        <x:v>INV02160</x:v>
      </x:c>
      <x:c r="B2165" s="15" t="d">
        <x:v>2026-02-01T00:00:00.000Z</x:v>
      </x:c>
      <x:c r="C2165" s="14" t="d">
        <x:v>2026-02-01T00:00:00.000Z</x:v>
      </x:c>
      <x:c r="D2165" s="34" t="str">
        <x:v>0001</x:v>
      </x:c>
      <x:c r="E2165" s="7" t="str">
        <x:v>West</x:v>
      </x:c>
      <x:c r="F2165" s="7" t="n">
        <x:v>5</x:v>
      </x:c>
      <x:c r="G2165" s="7" t="n">
        <x:v>160</x:v>
      </x:c>
      <x:c r="H2165" s="9" t="n">
        <x:v>0</x:v>
      </x:c>
      <x:c r="I2165" s="7" t="n">
        <x:v>800</x:v>
      </x:c>
    </x:row>
    <x:row r="2166" ht="23" customHeight="1">
      <x:c r="A2166" s="7" t="str">
        <x:v>INV02161</x:v>
      </x:c>
      <x:c r="B2166" s="15" t="d">
        <x:v>2026-02-02T00:00:00.000Z</x:v>
      </x:c>
      <x:c r="C2166" s="14" t="d">
        <x:v>2026-02-01T00:00:00.000Z</x:v>
      </x:c>
      <x:c r="D2166" s="34" t="str">
        <x:v>0002</x:v>
      </x:c>
      <x:c r="E2166" s="7" t="str">
        <x:v>West</x:v>
      </x:c>
      <x:c r="F2166" s="7" t="n">
        <x:v>4</x:v>
      </x:c>
      <x:c r="G2166" s="7" t="n">
        <x:v>180</x:v>
      </x:c>
      <x:c r="H2166" s="9" t="n">
        <x:v>0.02</x:v>
      </x:c>
      <x:c r="I2166" s="7" t="n">
        <x:v>705.6</x:v>
      </x:c>
    </x:row>
    <x:row r="2167" ht="23" customHeight="1">
      <x:c r="A2167" s="7" t="str">
        <x:v>INV02162</x:v>
      </x:c>
      <x:c r="B2167" s="15" t="d">
        <x:v>2026-02-03T00:00:00.000Z</x:v>
      </x:c>
      <x:c r="C2167" s="14" t="d">
        <x:v>2026-02-01T00:00:00.000Z</x:v>
      </x:c>
      <x:c r="D2167" s="34" t="str">
        <x:v>0003</x:v>
      </x:c>
      <x:c r="E2167" s="7" t="str">
        <x:v>West</x:v>
      </x:c>
      <x:c r="F2167" s="7" t="n">
        <x:v>7</x:v>
      </x:c>
      <x:c r="G2167" s="7" t="n">
        <x:v>200</x:v>
      </x:c>
      <x:c r="H2167" s="9" t="n">
        <x:v>0.05</x:v>
      </x:c>
      <x:c r="I2167" s="7" t="n">
        <x:v>1330</x:v>
      </x:c>
    </x:row>
    <x:row r="2168" ht="23" customHeight="1">
      <x:c r="A2168" s="7" t="str">
        <x:v>INV02163</x:v>
      </x:c>
      <x:c r="B2168" s="15" t="d">
        <x:v>2026-02-04T00:00:00.000Z</x:v>
      </x:c>
      <x:c r="C2168" s="14" t="d">
        <x:v>2026-02-01T00:00:00.000Z</x:v>
      </x:c>
      <x:c r="D2168" s="34" t="str">
        <x:v>0004</x:v>
      </x:c>
      <x:c r="E2168" s="7" t="str">
        <x:v>West</x:v>
      </x:c>
      <x:c r="F2168" s="7" t="n">
        <x:v>7</x:v>
      </x:c>
      <x:c r="G2168" s="7" t="n">
        <x:v>220</x:v>
      </x:c>
      <x:c r="H2168" s="9" t="n">
        <x:v>0</x:v>
      </x:c>
      <x:c r="I2168" s="7" t="n">
        <x:v>1540</x:v>
      </x:c>
    </x:row>
    <x:row r="2169" ht="23" customHeight="1">
      <x:c r="A2169" s="7" t="str">
        <x:v>INV02164</x:v>
      </x:c>
      <x:c r="B2169" s="15" t="d">
        <x:v>2026-02-05T00:00:00.000Z</x:v>
      </x:c>
      <x:c r="C2169" s="14" t="d">
        <x:v>2026-02-01T00:00:00.000Z</x:v>
      </x:c>
      <x:c r="D2169" s="34" t="str">
        <x:v>0005</x:v>
      </x:c>
      <x:c r="E2169" s="7" t="str">
        <x:v>West</x:v>
      </x:c>
      <x:c r="F2169" s="7" t="n">
        <x:v>4</x:v>
      </x:c>
      <x:c r="G2169" s="7" t="n">
        <x:v>240</x:v>
      </x:c>
      <x:c r="H2169" s="9" t="n">
        <x:v>0.02</x:v>
      </x:c>
      <x:c r="I2169" s="7" t="n">
        <x:v>940.8</x:v>
      </x:c>
    </x:row>
    <x:row r="2170" ht="23" customHeight="1">
      <x:c r="A2170" s="7" t="str">
        <x:v>INV02165</x:v>
      </x:c>
      <x:c r="B2170" s="15" t="d">
        <x:v>2026-02-06T00:00:00.000Z</x:v>
      </x:c>
      <x:c r="C2170" s="14" t="d">
        <x:v>2026-02-01T00:00:00.000Z</x:v>
      </x:c>
      <x:c r="D2170" s="34" t="str">
        <x:v>0006</x:v>
      </x:c>
      <x:c r="E2170" s="7" t="str">
        <x:v>West</x:v>
      </x:c>
      <x:c r="F2170" s="7" t="n">
        <x:v>5</x:v>
      </x:c>
      <x:c r="G2170" s="7" t="n">
        <x:v>260</x:v>
      </x:c>
      <x:c r="H2170" s="9" t="n">
        <x:v>0.05</x:v>
      </x:c>
      <x:c r="I2170" s="7" t="n">
        <x:v>1235</x:v>
      </x:c>
    </x:row>
    <x:row r="2171" ht="23" customHeight="1">
      <x:c r="A2171" s="7" t="str">
        <x:v>INV02166</x:v>
      </x:c>
      <x:c r="B2171" s="15" t="d">
        <x:v>2026-02-07T00:00:00.000Z</x:v>
      </x:c>
      <x:c r="C2171" s="14" t="d">
        <x:v>2026-02-01T00:00:00.000Z</x:v>
      </x:c>
      <x:c r="D2171" s="34" t="str">
        <x:v>0007</x:v>
      </x:c>
      <x:c r="E2171" s="7" t="str">
        <x:v>West</x:v>
      </x:c>
      <x:c r="F2171" s="7" t="n">
        <x:v>3</x:v>
      </x:c>
      <x:c r="G2171" s="7" t="n">
        <x:v>280</x:v>
      </x:c>
      <x:c r="H2171" s="9" t="n">
        <x:v>0</x:v>
      </x:c>
      <x:c r="I2171" s="7" t="n">
        <x:v>840</x:v>
      </x:c>
    </x:row>
    <x:row r="2172" ht="23" customHeight="1">
      <x:c r="A2172" s="7" t="str">
        <x:v>INV02167</x:v>
      </x:c>
      <x:c r="B2172" s="15" t="d">
        <x:v>2026-02-08T00:00:00.000Z</x:v>
      </x:c>
      <x:c r="C2172" s="14" t="d">
        <x:v>2026-02-01T00:00:00.000Z</x:v>
      </x:c>
      <x:c r="D2172" s="34" t="str">
        <x:v>0008</x:v>
      </x:c>
      <x:c r="E2172" s="7" t="str">
        <x:v>West</x:v>
      </x:c>
      <x:c r="F2172" s="7" t="n">
        <x:v>3</x:v>
      </x:c>
      <x:c r="G2172" s="7" t="n">
        <x:v>300</x:v>
      </x:c>
      <x:c r="H2172" s="9" t="n">
        <x:v>0.02</x:v>
      </x:c>
      <x:c r="I2172" s="7" t="n">
        <x:v>882</x:v>
      </x:c>
    </x:row>
    <x:row r="2173" ht="23" customHeight="1">
      <x:c r="A2173" s="7" t="str">
        <x:v>INV02168</x:v>
      </x:c>
      <x:c r="B2173" s="15" t="d">
        <x:v>2026-02-09T00:00:00.000Z</x:v>
      </x:c>
      <x:c r="C2173" s="14" t="d">
        <x:v>2026-02-01T00:00:00.000Z</x:v>
      </x:c>
      <x:c r="D2173" s="34" t="str">
        <x:v>0001</x:v>
      </x:c>
      <x:c r="E2173" s="7" t="str">
        <x:v>North</x:v>
      </x:c>
      <x:c r="F2173" s="7" t="n">
        <x:v>4</x:v>
      </x:c>
      <x:c r="G2173" s="7" t="n">
        <x:v>160</x:v>
      </x:c>
      <x:c r="H2173" s="9" t="n">
        <x:v>0.05</x:v>
      </x:c>
      <x:c r="I2173" s="7" t="n">
        <x:v>608</x:v>
      </x:c>
    </x:row>
    <x:row r="2174" ht="23" customHeight="1">
      <x:c r="A2174" s="7" t="str">
        <x:v>INV02169</x:v>
      </x:c>
      <x:c r="B2174" s="15" t="d">
        <x:v>2026-02-10T00:00:00.000Z</x:v>
      </x:c>
      <x:c r="C2174" s="14" t="d">
        <x:v>2026-02-01T00:00:00.000Z</x:v>
      </x:c>
      <x:c r="D2174" s="34" t="str">
        <x:v>0002</x:v>
      </x:c>
      <x:c r="E2174" s="7" t="str">
        <x:v>North</x:v>
      </x:c>
      <x:c r="F2174" s="7" t="n">
        <x:v>1</x:v>
      </x:c>
      <x:c r="G2174" s="7" t="n">
        <x:v>180</x:v>
      </x:c>
      <x:c r="H2174" s="9" t="n">
        <x:v>0</x:v>
      </x:c>
      <x:c r="I2174" s="7" t="n">
        <x:v>180</x:v>
      </x:c>
    </x:row>
    <x:row r="2175" ht="23" customHeight="1">
      <x:c r="A2175" s="7" t="str">
        <x:v>INV02170</x:v>
      </x:c>
      <x:c r="B2175" s="15" t="d">
        <x:v>2026-02-11T00:00:00.000Z</x:v>
      </x:c>
      <x:c r="C2175" s="14" t="d">
        <x:v>2026-02-01T00:00:00.000Z</x:v>
      </x:c>
      <x:c r="D2175" s="34" t="str">
        <x:v>0003</x:v>
      </x:c>
      <x:c r="E2175" s="7" t="str">
        <x:v>North</x:v>
      </x:c>
      <x:c r="F2175" s="7" t="n">
        <x:v>3</x:v>
      </x:c>
      <x:c r="G2175" s="7" t="n">
        <x:v>200</x:v>
      </x:c>
      <x:c r="H2175" s="9" t="n">
        <x:v>0.02</x:v>
      </x:c>
      <x:c r="I2175" s="7" t="n">
        <x:v>588</x:v>
      </x:c>
    </x:row>
    <x:row r="2176" ht="23" customHeight="1">
      <x:c r="A2176" s="7" t="str">
        <x:v>INV02171</x:v>
      </x:c>
      <x:c r="B2176" s="15" t="d">
        <x:v>2026-02-12T00:00:00.000Z</x:v>
      </x:c>
      <x:c r="C2176" s="14" t="d">
        <x:v>2026-02-01T00:00:00.000Z</x:v>
      </x:c>
      <x:c r="D2176" s="34" t="str">
        <x:v>0004</x:v>
      </x:c>
      <x:c r="E2176" s="7" t="str">
        <x:v>North</x:v>
      </x:c>
      <x:c r="F2176" s="7" t="n">
        <x:v>7</x:v>
      </x:c>
      <x:c r="G2176" s="7" t="n">
        <x:v>220</x:v>
      </x:c>
      <x:c r="H2176" s="9" t="n">
        <x:v>0.05</x:v>
      </x:c>
      <x:c r="I2176" s="7" t="n">
        <x:v>1463</x:v>
      </x:c>
    </x:row>
    <x:row r="2177" ht="23" customHeight="1">
      <x:c r="A2177" s="7" t="str">
        <x:v>INV02172</x:v>
      </x:c>
      <x:c r="B2177" s="15" t="d">
        <x:v>2026-02-13T00:00:00.000Z</x:v>
      </x:c>
      <x:c r="C2177" s="14" t="d">
        <x:v>2026-02-01T00:00:00.000Z</x:v>
      </x:c>
      <x:c r="D2177" s="34" t="str">
        <x:v>0005</x:v>
      </x:c>
      <x:c r="E2177" s="7" t="str">
        <x:v>North</x:v>
      </x:c>
      <x:c r="F2177" s="7" t="n">
        <x:v>2</x:v>
      </x:c>
      <x:c r="G2177" s="7" t="n">
        <x:v>240</x:v>
      </x:c>
      <x:c r="H2177" s="9" t="n">
        <x:v>0</x:v>
      </x:c>
      <x:c r="I2177" s="7" t="n">
        <x:v>480</x:v>
      </x:c>
    </x:row>
    <x:row r="2178" ht="23" customHeight="1">
      <x:c r="A2178" s="7" t="str">
        <x:v>INV02173</x:v>
      </x:c>
      <x:c r="B2178" s="15" t="d">
        <x:v>2026-02-14T00:00:00.000Z</x:v>
      </x:c>
      <x:c r="C2178" s="14" t="d">
        <x:v>2026-02-01T00:00:00.000Z</x:v>
      </x:c>
      <x:c r="D2178" s="34" t="str">
        <x:v>0006</x:v>
      </x:c>
      <x:c r="E2178" s="7" t="str">
        <x:v>North</x:v>
      </x:c>
      <x:c r="F2178" s="7" t="n">
        <x:v>-7</x:v>
      </x:c>
      <x:c r="G2178" s="7" t="n">
        <x:v>260</x:v>
      </x:c>
      <x:c r="H2178" s="9" t="n">
        <x:v>0.02</x:v>
      </x:c>
      <x:c r="I2178" s="7" t="n">
        <x:v>-1783.6</x:v>
      </x:c>
    </x:row>
    <x:row r="2179" ht="23" customHeight="1">
      <x:c r="A2179" s="7" t="str">
        <x:v>INV02174</x:v>
      </x:c>
      <x:c r="B2179" s="15" t="d">
        <x:v>2026-02-15T00:00:00.000Z</x:v>
      </x:c>
      <x:c r="C2179" s="14" t="d">
        <x:v>2026-02-01T00:00:00.000Z</x:v>
      </x:c>
      <x:c r="D2179" s="34" t="str">
        <x:v>0007</x:v>
      </x:c>
      <x:c r="E2179" s="7" t="str">
        <x:v>North</x:v>
      </x:c>
      <x:c r="F2179" s="7" t="n">
        <x:v>4</x:v>
      </x:c>
      <x:c r="G2179" s="7" t="n">
        <x:v>280</x:v>
      </x:c>
      <x:c r="H2179" s="9" t="n">
        <x:v>0.05</x:v>
      </x:c>
      <x:c r="I2179" s="7" t="n">
        <x:v>1064</x:v>
      </x:c>
    </x:row>
    <x:row r="2180" ht="23" customHeight="1">
      <x:c r="A2180" s="7" t="str">
        <x:v>INV02175</x:v>
      </x:c>
      <x:c r="B2180" s="15" t="d">
        <x:v>2026-02-16T00:00:00.000Z</x:v>
      </x:c>
      <x:c r="C2180" s="14" t="d">
        <x:v>2026-02-01T00:00:00.000Z</x:v>
      </x:c>
      <x:c r="D2180" s="34" t="str">
        <x:v>0008</x:v>
      </x:c>
      <x:c r="E2180" s="7" t="str">
        <x:v>North</x:v>
      </x:c>
      <x:c r="F2180" s="7" t="n">
        <x:v>2</x:v>
      </x:c>
      <x:c r="G2180" s="7" t="n">
        <x:v>300</x:v>
      </x:c>
      <x:c r="H2180" s="9" t="n">
        <x:v>0</x:v>
      </x:c>
      <x:c r="I2180" s="7" t="n">
        <x:v>600</x:v>
      </x:c>
    </x:row>
    <x:row r="2181" ht="23" customHeight="1">
      <x:c r="A2181" s="7" t="str">
        <x:v>INV02176</x:v>
      </x:c>
      <x:c r="B2181" s="15" t="d">
        <x:v>2026-03-17T00:00:00.000Z</x:v>
      </x:c>
      <x:c r="C2181" s="14" t="d">
        <x:v>2026-03-01T00:00:00.000Z</x:v>
      </x:c>
      <x:c r="D2181" s="34" t="str">
        <x:v>0001</x:v>
      </x:c>
      <x:c r="E2181" s="7" t="str">
        <x:v>Central</x:v>
      </x:c>
      <x:c r="F2181" s="7" t="n">
        <x:v>3</x:v>
      </x:c>
      <x:c r="G2181" s="7" t="n">
        <x:v>160</x:v>
      </x:c>
      <x:c r="H2181" s="9" t="n">
        <x:v>0.02</x:v>
      </x:c>
      <x:c r="I2181" s="7" t="n">
        <x:v>470.4</x:v>
      </x:c>
    </x:row>
    <x:row r="2182" ht="23" customHeight="1">
      <x:c r="A2182" s="7" t="str">
        <x:v>INV02177</x:v>
      </x:c>
      <x:c r="B2182" s="15" t="d">
        <x:v>2026-03-18T00:00:00.000Z</x:v>
      </x:c>
      <x:c r="C2182" s="14" t="d">
        <x:v>2026-03-01T00:00:00.000Z</x:v>
      </x:c>
      <x:c r="D2182" s="34" t="str">
        <x:v>0002</x:v>
      </x:c>
      <x:c r="E2182" s="7" t="str">
        <x:v>Central</x:v>
      </x:c>
      <x:c r="F2182" s="7" t="n">
        <x:v>6</x:v>
      </x:c>
      <x:c r="G2182" s="7" t="n">
        <x:v>180</x:v>
      </x:c>
      <x:c r="H2182" s="9" t="n">
        <x:v>0.05</x:v>
      </x:c>
      <x:c r="I2182" s="7" t="n">
        <x:v>1026</x:v>
      </x:c>
    </x:row>
    <x:row r="2183" ht="23" customHeight="1">
      <x:c r="A2183" s="7" t="str">
        <x:v>INV02178</x:v>
      </x:c>
      <x:c r="B2183" s="15" t="d">
        <x:v>2026-03-19T00:00:00.000Z</x:v>
      </x:c>
      <x:c r="C2183" s="14" t="d">
        <x:v>2026-03-01T00:00:00.000Z</x:v>
      </x:c>
      <x:c r="D2183" s="34" t="str">
        <x:v>0003</x:v>
      </x:c>
      <x:c r="E2183" s="7" t="str">
        <x:v>Central</x:v>
      </x:c>
      <x:c r="F2183" s="7" t="n">
        <x:v>5</x:v>
      </x:c>
      <x:c r="G2183" s="7" t="n">
        <x:v>200</x:v>
      </x:c>
      <x:c r="H2183" s="9" t="n">
        <x:v>0</x:v>
      </x:c>
      <x:c r="I2183" s="7" t="n">
        <x:v>1000</x:v>
      </x:c>
    </x:row>
    <x:row r="2184" ht="23" customHeight="1">
      <x:c r="A2184" s="7" t="str">
        <x:v>INV02179</x:v>
      </x:c>
      <x:c r="B2184" s="15" t="d">
        <x:v>2026-03-20T00:00:00.000Z</x:v>
      </x:c>
      <x:c r="C2184" s="14" t="d">
        <x:v>2026-03-01T00:00:00.000Z</x:v>
      </x:c>
      <x:c r="D2184" s="34" t="str">
        <x:v>0004</x:v>
      </x:c>
      <x:c r="E2184" s="7" t="str">
        <x:v>Central</x:v>
      </x:c>
      <x:c r="F2184" s="7" t="n">
        <x:v>3</x:v>
      </x:c>
      <x:c r="G2184" s="7" t="n">
        <x:v>220</x:v>
      </x:c>
      <x:c r="H2184" s="9" t="n">
        <x:v>0.02</x:v>
      </x:c>
      <x:c r="I2184" s="7" t="n">
        <x:v>646.8</x:v>
      </x:c>
    </x:row>
    <x:row r="2185" ht="23" customHeight="1">
      <x:c r="A2185" s="7" t="str">
        <x:v>INV02180</x:v>
      </x:c>
      <x:c r="B2185" s="15" t="d">
        <x:v>2026-03-21T00:00:00.000Z</x:v>
      </x:c>
      <x:c r="C2185" s="14" t="d">
        <x:v>2026-03-01T00:00:00.000Z</x:v>
      </x:c>
      <x:c r="D2185" s="34" t="str">
        <x:v>0005</x:v>
      </x:c>
      <x:c r="E2185" s="7" t="str">
        <x:v>Central</x:v>
      </x:c>
      <x:c r="F2185" s="7" t="n">
        <x:v>1</x:v>
      </x:c>
      <x:c r="G2185" s="7" t="n">
        <x:v>240</x:v>
      </x:c>
      <x:c r="H2185" s="9" t="n">
        <x:v>0.05</x:v>
      </x:c>
      <x:c r="I2185" s="7" t="n">
        <x:v>228</x:v>
      </x:c>
    </x:row>
    <x:row r="2186" ht="23" customHeight="1">
      <x:c r="A2186" s="7" t="str">
        <x:v>INV02181</x:v>
      </x:c>
      <x:c r="B2186" s="15" t="d">
        <x:v>2026-03-22T00:00:00.000Z</x:v>
      </x:c>
      <x:c r="C2186" s="14" t="d">
        <x:v>2026-03-01T00:00:00.000Z</x:v>
      </x:c>
      <x:c r="D2186" s="34" t="str">
        <x:v>0006</x:v>
      </x:c>
      <x:c r="E2186" s="7" t="str">
        <x:v>Central</x:v>
      </x:c>
      <x:c r="F2186" s="7" t="n">
        <x:v>4</x:v>
      </x:c>
      <x:c r="G2186" s="7" t="n">
        <x:v>260</x:v>
      </x:c>
      <x:c r="H2186" s="9" t="n">
        <x:v>0</x:v>
      </x:c>
      <x:c r="I2186" s="7" t="n">
        <x:v>1040</x:v>
      </x:c>
    </x:row>
    <x:row r="2187" ht="23" customHeight="1">
      <x:c r="A2187" s="7" t="str">
        <x:v>INV02182</x:v>
      </x:c>
      <x:c r="B2187" s="15" t="d">
        <x:v>2026-03-23T00:00:00.000Z</x:v>
      </x:c>
      <x:c r="C2187" s="14" t="d">
        <x:v>2026-03-01T00:00:00.000Z</x:v>
      </x:c>
      <x:c r="D2187" s="34" t="str">
        <x:v>0007</x:v>
      </x:c>
      <x:c r="E2187" s="7" t="str">
        <x:v>Central</x:v>
      </x:c>
      <x:c r="F2187" s="7" t="n">
        <x:v>5</x:v>
      </x:c>
      <x:c r="G2187" s="7" t="n">
        <x:v>280</x:v>
      </x:c>
      <x:c r="H2187" s="9" t="n">
        <x:v>0.02</x:v>
      </x:c>
      <x:c r="I2187" s="7" t="n">
        <x:v>1372</x:v>
      </x:c>
    </x:row>
    <x:row r="2188" ht="23" customHeight="1">
      <x:c r="A2188" s="7" t="str">
        <x:v>INV02183</x:v>
      </x:c>
      <x:c r="B2188" s="15" t="d">
        <x:v>2026-03-24T00:00:00.000Z</x:v>
      </x:c>
      <x:c r="C2188" s="14" t="d">
        <x:v>2026-03-01T00:00:00.000Z</x:v>
      </x:c>
      <x:c r="D2188" s="34" t="str">
        <x:v>0008</x:v>
      </x:c>
      <x:c r="E2188" s="7" t="str">
        <x:v>Central</x:v>
      </x:c>
      <x:c r="F2188" s="7" t="n">
        <x:v>2</x:v>
      </x:c>
      <x:c r="G2188" s="7" t="n">
        <x:v>300</x:v>
      </x:c>
      <x:c r="H2188" s="9" t="n">
        <x:v>0.05</x:v>
      </x:c>
      <x:c r="I2188" s="7" t="n">
        <x:v>570</x:v>
      </x:c>
    </x:row>
    <x:row r="2189" ht="23" customHeight="1">
      <x:c r="A2189" s="7" t="str">
        <x:v>INV02184</x:v>
      </x:c>
      <x:c r="B2189" s="15" t="d">
        <x:v>2026-03-25T00:00:00.000Z</x:v>
      </x:c>
      <x:c r="C2189" s="14" t="d">
        <x:v>2026-03-01T00:00:00.000Z</x:v>
      </x:c>
      <x:c r="D2189" s="34" t="str">
        <x:v>0001</x:v>
      </x:c>
      <x:c r="E2189" s="7" t="str">
        <x:v>East</x:v>
      </x:c>
      <x:c r="F2189" s="7" t="n">
        <x:v>6</x:v>
      </x:c>
      <x:c r="G2189" s="7" t="n">
        <x:v>160</x:v>
      </x:c>
      <x:c r="H2189" s="9" t="n">
        <x:v>0</x:v>
      </x:c>
      <x:c r="I2189" s="7" t="n">
        <x:v>960</x:v>
      </x:c>
    </x:row>
    <x:row r="2190" ht="23" customHeight="1">
      <x:c r="A2190" s="7" t="str">
        <x:v>INV02185</x:v>
      </x:c>
      <x:c r="B2190" s="15" t="d">
        <x:v>2026-03-26T00:00:00.000Z</x:v>
      </x:c>
      <x:c r="C2190" s="14" t="d">
        <x:v>2026-03-01T00:00:00.000Z</x:v>
      </x:c>
      <x:c r="D2190" s="34" t="str">
        <x:v>0002</x:v>
      </x:c>
      <x:c r="E2190" s="7" t="str">
        <x:v>East</x:v>
      </x:c>
      <x:c r="F2190" s="7" t="n">
        <x:v>7</x:v>
      </x:c>
      <x:c r="G2190" s="7" t="n">
        <x:v>180</x:v>
      </x:c>
      <x:c r="H2190" s="9" t="n">
        <x:v>0.02</x:v>
      </x:c>
      <x:c r="I2190" s="7" t="n">
        <x:v>1234.8</x:v>
      </x:c>
    </x:row>
    <x:row r="2191" ht="23" customHeight="1">
      <x:c r="A2191" s="7" t="str">
        <x:v>INV02186</x:v>
      </x:c>
      <x:c r="B2191" s="15" t="d">
        <x:v>2026-03-27T00:00:00.000Z</x:v>
      </x:c>
      <x:c r="C2191" s="14" t="d">
        <x:v>2026-03-01T00:00:00.000Z</x:v>
      </x:c>
      <x:c r="D2191" s="34" t="str">
        <x:v>0003</x:v>
      </x:c>
      <x:c r="E2191" s="7" t="str">
        <x:v>East</x:v>
      </x:c>
      <x:c r="F2191" s="7" t="n">
        <x:v>3</x:v>
      </x:c>
      <x:c r="G2191" s="7" t="n">
        <x:v>200</x:v>
      </x:c>
      <x:c r="H2191" s="9" t="n">
        <x:v>0.05</x:v>
      </x:c>
      <x:c r="I2191" s="7" t="n">
        <x:v>570</x:v>
      </x:c>
    </x:row>
    <x:row r="2192" ht="23" customHeight="1">
      <x:c r="A2192" s="7" t="str">
        <x:v>INV02187</x:v>
      </x:c>
      <x:c r="B2192" s="15" t="d">
        <x:v>2026-03-01T00:00:00.000Z</x:v>
      </x:c>
      <x:c r="C2192" s="14" t="d">
        <x:v>2026-03-01T00:00:00.000Z</x:v>
      </x:c>
      <x:c r="D2192" s="34" t="str">
        <x:v>0004</x:v>
      </x:c>
      <x:c r="E2192" s="7" t="str">
        <x:v>East</x:v>
      </x:c>
      <x:c r="F2192" s="7" t="n">
        <x:v>1</x:v>
      </x:c>
      <x:c r="G2192" s="7" t="n">
        <x:v>220</x:v>
      </x:c>
      <x:c r="H2192" s="9" t="n">
        <x:v>0</x:v>
      </x:c>
      <x:c r="I2192" s="7" t="n">
        <x:v>220</x:v>
      </x:c>
    </x:row>
    <x:row r="2193" ht="23" customHeight="1">
      <x:c r="A2193" s="7" t="str">
        <x:v>INV02188</x:v>
      </x:c>
      <x:c r="B2193" s="15" t="d">
        <x:v>2026-03-02T00:00:00.000Z</x:v>
      </x:c>
      <x:c r="C2193" s="14" t="d">
        <x:v>2026-03-01T00:00:00.000Z</x:v>
      </x:c>
      <x:c r="D2193" s="34" t="str">
        <x:v>0005</x:v>
      </x:c>
      <x:c r="E2193" s="7" t="str">
        <x:v>East</x:v>
      </x:c>
      <x:c r="F2193" s="7" t="n">
        <x:v>6</x:v>
      </x:c>
      <x:c r="G2193" s="7" t="n">
        <x:v>240</x:v>
      </x:c>
      <x:c r="H2193" s="9" t="n">
        <x:v>0.02</x:v>
      </x:c>
      <x:c r="I2193" s="7" t="n">
        <x:v>1411.2</x:v>
      </x:c>
    </x:row>
    <x:row r="2194" ht="23" customHeight="1">
      <x:c r="A2194" s="7" t="str">
        <x:v>INV02189</x:v>
      </x:c>
      <x:c r="B2194" s="15" t="d">
        <x:v>2026-03-03T00:00:00.000Z</x:v>
      </x:c>
      <x:c r="C2194" s="14" t="d">
        <x:v>2026-03-01T00:00:00.000Z</x:v>
      </x:c>
      <x:c r="D2194" s="34" t="str">
        <x:v>0006</x:v>
      </x:c>
      <x:c r="E2194" s="7" t="str">
        <x:v>East</x:v>
      </x:c>
      <x:c r="F2194" s="7" t="n">
        <x:v>2</x:v>
      </x:c>
      <x:c r="G2194" s="7" t="n">
        <x:v>260</x:v>
      </x:c>
      <x:c r="H2194" s="9" t="n">
        <x:v>0.05</x:v>
      </x:c>
      <x:c r="I2194" s="7" t="n">
        <x:v>494</x:v>
      </x:c>
    </x:row>
    <x:row r="2195" ht="23" customHeight="1">
      <x:c r="A2195" s="7" t="str">
        <x:v>INV02190</x:v>
      </x:c>
      <x:c r="B2195" s="15" t="d">
        <x:v>2026-03-04T00:00:00.000Z</x:v>
      </x:c>
      <x:c r="C2195" s="14" t="d">
        <x:v>2026-03-01T00:00:00.000Z</x:v>
      </x:c>
      <x:c r="D2195" s="34" t="str">
        <x:v>0007</x:v>
      </x:c>
      <x:c r="E2195" s="7" t="str">
        <x:v>East</x:v>
      </x:c>
      <x:c r="F2195" s="7" t="n">
        <x:v>4</x:v>
      </x:c>
      <x:c r="G2195" s="7" t="n">
        <x:v>280</x:v>
      </x:c>
      <x:c r="H2195" s="9" t="n">
        <x:v>0</x:v>
      </x:c>
      <x:c r="I2195" s="7" t="n">
        <x:v>1120</x:v>
      </x:c>
    </x:row>
    <x:row r="2196" ht="23" customHeight="1">
      <x:c r="A2196" s="7" t="str">
        <x:v>INV02191</x:v>
      </x:c>
      <x:c r="B2196" s="15" t="d">
        <x:v>2026-03-05T00:00:00.000Z</x:v>
      </x:c>
      <x:c r="C2196" s="14" t="d">
        <x:v>2026-03-01T00:00:00.000Z</x:v>
      </x:c>
      <x:c r="D2196" s="34" t="str">
        <x:v>0008</x:v>
      </x:c>
      <x:c r="E2196" s="7" t="str">
        <x:v>East</x:v>
      </x:c>
      <x:c r="F2196" s="7" t="n">
        <x:v>4</x:v>
      </x:c>
      <x:c r="G2196" s="7" t="n">
        <x:v>300</x:v>
      </x:c>
      <x:c r="H2196" s="9" t="n">
        <x:v>0.02</x:v>
      </x:c>
      <x:c r="I2196" s="7" t="n">
        <x:v>1176</x:v>
      </x:c>
    </x:row>
    <x:row r="2197" ht="23" customHeight="1">
      <x:c r="A2197" s="7" t="str">
        <x:v>INV02192</x:v>
      </x:c>
      <x:c r="B2197" s="15" t="d">
        <x:v>2026-03-06T00:00:00.000Z</x:v>
      </x:c>
      <x:c r="C2197" s="14" t="d">
        <x:v>2026-03-01T00:00:00.000Z</x:v>
      </x:c>
      <x:c r="D2197" s="34" t="str">
        <x:v>0001</x:v>
      </x:c>
      <x:c r="E2197" s="7" t="str">
        <x:v>West</x:v>
      </x:c>
      <x:c r="F2197" s="7" t="n">
        <x:v>3</x:v>
      </x:c>
      <x:c r="G2197" s="7" t="n">
        <x:v>160</x:v>
      </x:c>
      <x:c r="H2197" s="9" t="n">
        <x:v>0.05</x:v>
      </x:c>
      <x:c r="I2197" s="7" t="n">
        <x:v>456</x:v>
      </x:c>
    </x:row>
    <x:row r="2198" ht="23" customHeight="1">
      <x:c r="A2198" s="7" t="str">
        <x:v>INV02193</x:v>
      </x:c>
      <x:c r="B2198" s="15" t="d">
        <x:v>2026-03-07T00:00:00.000Z</x:v>
      </x:c>
      <x:c r="C2198" s="14" t="d">
        <x:v>2026-03-01T00:00:00.000Z</x:v>
      </x:c>
      <x:c r="D2198" s="34" t="str">
        <x:v>0002</x:v>
      </x:c>
      <x:c r="E2198" s="7" t="str">
        <x:v>West</x:v>
      </x:c>
      <x:c r="F2198" s="7" t="n">
        <x:v>5</x:v>
      </x:c>
      <x:c r="G2198" s="7" t="n">
        <x:v>180</x:v>
      </x:c>
      <x:c r="H2198" s="9" t="n">
        <x:v>0</x:v>
      </x:c>
      <x:c r="I2198" s="7" t="n">
        <x:v>900</x:v>
      </x:c>
    </x:row>
    <x:row r="2199" ht="23" customHeight="1">
      <x:c r="A2199" s="7" t="str">
        <x:v>INV02194</x:v>
      </x:c>
      <x:c r="B2199" s="15" t="d">
        <x:v>2026-03-08T00:00:00.000Z</x:v>
      </x:c>
      <x:c r="C2199" s="14" t="d">
        <x:v>2026-03-01T00:00:00.000Z</x:v>
      </x:c>
      <x:c r="D2199" s="34" t="str">
        <x:v>0003</x:v>
      </x:c>
      <x:c r="E2199" s="7" t="str">
        <x:v>West</x:v>
      </x:c>
      <x:c r="F2199" s="7" t="n">
        <x:v>6</x:v>
      </x:c>
      <x:c r="G2199" s="7" t="n">
        <x:v>200</x:v>
      </x:c>
      <x:c r="H2199" s="9" t="n">
        <x:v>0.02</x:v>
      </x:c>
      <x:c r="I2199" s="7" t="n">
        <x:v>1176</x:v>
      </x:c>
    </x:row>
    <x:row r="2200" ht="23" customHeight="1">
      <x:c r="A2200" s="7" t="str">
        <x:v>INV02195</x:v>
      </x:c>
      <x:c r="B2200" s="15" t="d">
        <x:v>2026-03-09T00:00:00.000Z</x:v>
      </x:c>
      <x:c r="C2200" s="14" t="d">
        <x:v>2026-03-01T00:00:00.000Z</x:v>
      </x:c>
      <x:c r="D2200" s="34" t="str">
        <x:v>0004</x:v>
      </x:c>
      <x:c r="E2200" s="7" t="str">
        <x:v>West</x:v>
      </x:c>
      <x:c r="F2200" s="7" t="n">
        <x:v>7</x:v>
      </x:c>
      <x:c r="G2200" s="7" t="n">
        <x:v>220</x:v>
      </x:c>
      <x:c r="H2200" s="9" t="n">
        <x:v>0.05</x:v>
      </x:c>
      <x:c r="I2200" s="7" t="n">
        <x:v>1463</x:v>
      </x:c>
    </x:row>
    <x:row r="2201" ht="23" customHeight="1">
      <x:c r="A2201" s="7" t="str">
        <x:v>INV02196</x:v>
      </x:c>
      <x:c r="B2201" s="15" t="d">
        <x:v>2026-03-10T00:00:00.000Z</x:v>
      </x:c>
      <x:c r="C2201" s="14" t="d">
        <x:v>2026-03-01T00:00:00.000Z</x:v>
      </x:c>
      <x:c r="D2201" s="34" t="str">
        <x:v>0005</x:v>
      </x:c>
      <x:c r="E2201" s="7" t="str">
        <x:v>West</x:v>
      </x:c>
      <x:c r="F2201" s="7" t="n">
        <x:v>4</x:v>
      </x:c>
      <x:c r="G2201" s="7" t="n">
        <x:v>240</x:v>
      </x:c>
      <x:c r="H2201" s="9" t="n">
        <x:v>0</x:v>
      </x:c>
      <x:c r="I2201" s="7" t="n">
        <x:v>960</x:v>
      </x:c>
    </x:row>
    <x:row r="2202" ht="23" customHeight="1">
      <x:c r="A2202" s="7" t="str">
        <x:v>INV02197</x:v>
      </x:c>
      <x:c r="B2202" s="15" t="d">
        <x:v>2026-03-11T00:00:00.000Z</x:v>
      </x:c>
      <x:c r="C2202" s="14" t="d">
        <x:v>2026-03-01T00:00:00.000Z</x:v>
      </x:c>
      <x:c r="D2202" s="34" t="str">
        <x:v>0006</x:v>
      </x:c>
      <x:c r="E2202" s="7" t="str">
        <x:v>West</x:v>
      </x:c>
      <x:c r="F2202" s="7" t="n">
        <x:v>2</x:v>
      </x:c>
      <x:c r="G2202" s="7" t="n">
        <x:v>260</x:v>
      </x:c>
      <x:c r="H2202" s="9" t="n">
        <x:v>0.02</x:v>
      </x:c>
      <x:c r="I2202" s="7" t="n">
        <x:v>509.6</x:v>
      </x:c>
    </x:row>
    <x:row r="2203" ht="23" customHeight="1">
      <x:c r="A2203" s="7" t="str">
        <x:v>INV02198</x:v>
      </x:c>
      <x:c r="B2203" s="15" t="d">
        <x:v>2026-03-12T00:00:00.000Z</x:v>
      </x:c>
      <x:c r="C2203" s="14" t="d">
        <x:v>2026-03-01T00:00:00.000Z</x:v>
      </x:c>
      <x:c r="D2203" s="34" t="str">
        <x:v>0007</x:v>
      </x:c>
      <x:c r="E2203" s="7" t="str">
        <x:v>West</x:v>
      </x:c>
      <x:c r="F2203" s="7" t="n">
        <x:v>4</x:v>
      </x:c>
      <x:c r="G2203" s="7" t="n">
        <x:v>280</x:v>
      </x:c>
      <x:c r="H2203" s="9" t="n">
        <x:v>0.05</x:v>
      </x:c>
      <x:c r="I2203" s="7" t="n">
        <x:v>1064</x:v>
      </x:c>
    </x:row>
    <x:row r="2204" ht="23" customHeight="1">
      <x:c r="A2204" s="7" t="str">
        <x:v>INV02199</x:v>
      </x:c>
      <x:c r="B2204" s="15" t="d">
        <x:v>2026-03-13T00:00:00.000Z</x:v>
      </x:c>
      <x:c r="C2204" s="14" t="d">
        <x:v>2026-03-01T00:00:00.000Z</x:v>
      </x:c>
      <x:c r="D2204" s="34" t="str">
        <x:v>0008</x:v>
      </x:c>
      <x:c r="E2204" s="7" t="str">
        <x:v>West</x:v>
      </x:c>
      <x:c r="F2204" s="7" t="n">
        <x:v>5</x:v>
      </x:c>
      <x:c r="G2204" s="7" t="n">
        <x:v>300</x:v>
      </x:c>
      <x:c r="H2204" s="9" t="n">
        <x:v>0</x:v>
      </x:c>
      <x:c r="I2204" s="7" t="n">
        <x:v>1500</x:v>
      </x:c>
    </x:row>
    <x:row r="2205" ht="23" customHeight="1">
      <x:c r="A2205" s="7" t="str">
        <x:v>INV02200</x:v>
      </x:c>
      <x:c r="B2205" s="15" t="d">
        <x:v>2026-03-14T00:00:00.000Z</x:v>
      </x:c>
      <x:c r="C2205" s="14" t="d">
        <x:v>2026-03-01T00:00:00.000Z</x:v>
      </x:c>
      <x:c r="D2205" s="34" t="str">
        <x:v>0001</x:v>
      </x:c>
      <x:c r="E2205" s="7" t="str">
        <x:v>North</x:v>
      </x:c>
      <x:c r="F2205" s="7" t="n">
        <x:v>1</x:v>
      </x:c>
      <x:c r="G2205" s="7" t="n">
        <x:v>160</x:v>
      </x:c>
      <x:c r="H2205" s="9" t="n">
        <x:v>0.02</x:v>
      </x:c>
      <x:c r="I2205" s="7" t="n">
        <x:v>156.8</x:v>
      </x:c>
    </x:row>
    <x:row r="2206" ht="23" customHeight="1">
      <x:c r="A2206" s="7" t="str">
        <x:v>INV02201</x:v>
      </x:c>
      <x:c r="B2206" s="15" t="d">
        <x:v>2026-03-15T00:00:00.000Z</x:v>
      </x:c>
      <x:c r="C2206" s="14" t="d">
        <x:v>2026-03-01T00:00:00.000Z</x:v>
      </x:c>
      <x:c r="D2206" s="34" t="str">
        <x:v>0002</x:v>
      </x:c>
      <x:c r="E2206" s="7" t="str">
        <x:v>North</x:v>
      </x:c>
      <x:c r="F2206" s="7" t="n">
        <x:v>1</x:v>
      </x:c>
      <x:c r="G2206" s="7" t="n">
        <x:v>180</x:v>
      </x:c>
      <x:c r="H2206" s="9" t="n">
        <x:v>0.05</x:v>
      </x:c>
      <x:c r="I2206" s="7" t="n">
        <x:v>171</x:v>
      </x:c>
    </x:row>
    <x:row r="2207" ht="23" customHeight="1">
      <x:c r="A2207" s="7" t="str">
        <x:v>INV02202</x:v>
      </x:c>
      <x:c r="B2207" s="15" t="d">
        <x:v>2026-03-16T00:00:00.000Z</x:v>
      </x:c>
      <x:c r="C2207" s="14" t="d">
        <x:v>2026-03-01T00:00:00.000Z</x:v>
      </x:c>
      <x:c r="D2207" s="34" t="str">
        <x:v>0003</x:v>
      </x:c>
      <x:c r="E2207" s="7" t="str">
        <x:v>North</x:v>
      </x:c>
      <x:c r="F2207" s="7" t="n">
        <x:v>4</x:v>
      </x:c>
      <x:c r="G2207" s="7" t="n">
        <x:v>200</x:v>
      </x:c>
      <x:c r="H2207" s="9" t="n">
        <x:v>0</x:v>
      </x:c>
      <x:c r="I2207" s="7" t="n">
        <x:v>800</x:v>
      </x:c>
    </x:row>
    <x:row r="2208" ht="23" customHeight="1">
      <x:c r="A2208" s="7" t="str">
        <x:v>INV02203</x:v>
      </x:c>
      <x:c r="B2208" s="15" t="d">
        <x:v>2026-03-17T00:00:00.000Z</x:v>
      </x:c>
      <x:c r="C2208" s="14" t="d">
        <x:v>2026-03-01T00:00:00.000Z</x:v>
      </x:c>
      <x:c r="D2208" s="34" t="str">
        <x:v>0004</x:v>
      </x:c>
      <x:c r="E2208" s="7" t="str">
        <x:v>North</x:v>
      </x:c>
      <x:c r="F2208" s="7" t="n">
        <x:v>6</x:v>
      </x:c>
      <x:c r="G2208" s="7" t="n">
        <x:v>220</x:v>
      </x:c>
      <x:c r="H2208" s="9" t="n">
        <x:v>0.02</x:v>
      </x:c>
      <x:c r="I2208" s="7" t="n">
        <x:v>1293.6</x:v>
      </x:c>
    </x:row>
    <x:row r="2209" ht="23" customHeight="1">
      <x:c r="A2209" s="7" t="str">
        <x:v>INV02204</x:v>
      </x:c>
      <x:c r="B2209" s="15" t="d">
        <x:v>2026-03-18T00:00:00.000Z</x:v>
      </x:c>
      <x:c r="C2209" s="14" t="d">
        <x:v>2026-03-01T00:00:00.000Z</x:v>
      </x:c>
      <x:c r="D2209" s="34" t="str">
        <x:v>0005</x:v>
      </x:c>
      <x:c r="E2209" s="7" t="str">
        <x:v>North</x:v>
      </x:c>
      <x:c r="F2209" s="7" t="n">
        <x:v>1</x:v>
      </x:c>
      <x:c r="G2209" s="7" t="n">
        <x:v>240</x:v>
      </x:c>
      <x:c r="H2209" s="9" t="n">
        <x:v>0.05</x:v>
      </x:c>
      <x:c r="I2209" s="7" t="n">
        <x:v>228</x:v>
      </x:c>
    </x:row>
    <x:row r="2210" ht="23" customHeight="1">
      <x:c r="A2210" s="7" t="str">
        <x:v>INV02205</x:v>
      </x:c>
      <x:c r="B2210" s="15" t="d">
        <x:v>2026-03-19T00:00:00.000Z</x:v>
      </x:c>
      <x:c r="C2210" s="14" t="d">
        <x:v>2026-03-01T00:00:00.000Z</x:v>
      </x:c>
      <x:c r="D2210" s="34" t="str">
        <x:v>0006</x:v>
      </x:c>
      <x:c r="E2210" s="7" t="str">
        <x:v>North</x:v>
      </x:c>
      <x:c r="F2210" s="7" t="n">
        <x:v>4</x:v>
      </x:c>
      <x:c r="G2210" s="7" t="n">
        <x:v>260</x:v>
      </x:c>
      <x:c r="H2210" s="9" t="n">
        <x:v>0</x:v>
      </x:c>
      <x:c r="I2210" s="7" t="n">
        <x:v>1040</x:v>
      </x:c>
    </x:row>
    <x:row r="2211" ht="23" customHeight="1">
      <x:c r="A2211" s="7" t="str">
        <x:v>INV02206</x:v>
      </x:c>
      <x:c r="B2211" s="15" t="d">
        <x:v>2026-03-20T00:00:00.000Z</x:v>
      </x:c>
      <x:c r="C2211" s="14" t="d">
        <x:v>2026-03-01T00:00:00.000Z</x:v>
      </x:c>
      <x:c r="D2211" s="34" t="str">
        <x:v>0007</x:v>
      </x:c>
      <x:c r="E2211" s="7" t="str">
        <x:v>North</x:v>
      </x:c>
      <x:c r="F2211" s="7" t="n">
        <x:v>4</x:v>
      </x:c>
      <x:c r="G2211" s="7" t="n">
        <x:v>280</x:v>
      </x:c>
      <x:c r="H2211" s="9" t="n">
        <x:v>0.02</x:v>
      </x:c>
      <x:c r="I2211" s="7" t="n">
        <x:v>1097.6</x:v>
      </x:c>
    </x:row>
    <x:row r="2212" ht="23" customHeight="1">
      <x:c r="A2212" s="7" t="str">
        <x:v>INV02207</x:v>
      </x:c>
      <x:c r="B2212" s="15" t="d">
        <x:v>2026-03-21T00:00:00.000Z</x:v>
      </x:c>
      <x:c r="C2212" s="14" t="d">
        <x:v>2026-03-01T00:00:00.000Z</x:v>
      </x:c>
      <x:c r="D2212" s="34" t="str">
        <x:v>0008</x:v>
      </x:c>
      <x:c r="E2212" s="7" t="str">
        <x:v>North</x:v>
      </x:c>
      <x:c r="F2212" s="7" t="n">
        <x:v>3</x:v>
      </x:c>
      <x:c r="G2212" s="7" t="n">
        <x:v>300</x:v>
      </x:c>
      <x:c r="H2212" s="9" t="n">
        <x:v>0.05</x:v>
      </x:c>
      <x:c r="I2212" s="7" t="n">
        <x:v>855</x:v>
      </x:c>
    </x:row>
    <x:row r="2213" ht="23" customHeight="1">
      <x:c r="A2213" s="7" t="str">
        <x:v>INV02208</x:v>
      </x:c>
      <x:c r="B2213" s="15" t="d">
        <x:v>2026-04-22T00:00:00.000Z</x:v>
      </x:c>
      <x:c r="C2213" s="14" t="d">
        <x:v>2026-04-01T00:00:00.000Z</x:v>
      </x:c>
      <x:c r="D2213" s="34" t="str">
        <x:v>0001</x:v>
      </x:c>
      <x:c r="E2213" s="7" t="str">
        <x:v>Central</x:v>
      </x:c>
      <x:c r="F2213" s="7" t="n">
        <x:v>5</x:v>
      </x:c>
      <x:c r="G2213" s="7" t="n">
        <x:v>160</x:v>
      </x:c>
      <x:c r="H2213" s="9" t="n">
        <x:v>0</x:v>
      </x:c>
      <x:c r="I2213" s="7" t="n">
        <x:v>800</x:v>
      </x:c>
    </x:row>
    <x:row r="2214" ht="23" customHeight="1">
      <x:c r="A2214" s="7" t="str">
        <x:v>INV02209</x:v>
      </x:c>
      <x:c r="B2214" s="15" t="d">
        <x:v>2026-04-23T00:00:00.000Z</x:v>
      </x:c>
      <x:c r="C2214" s="14" t="d">
        <x:v>2026-04-01T00:00:00.000Z</x:v>
      </x:c>
      <x:c r="D2214" s="34" t="str">
        <x:v>0002</x:v>
      </x:c>
      <x:c r="E2214" s="7" t="str">
        <x:v>Central</x:v>
      </x:c>
      <x:c r="F2214" s="7" t="n">
        <x:v>3</x:v>
      </x:c>
      <x:c r="G2214" s="7" t="n">
        <x:v>180</x:v>
      </x:c>
      <x:c r="H2214" s="9" t="n">
        <x:v>0.02</x:v>
      </x:c>
      <x:c r="I2214" s="7" t="n">
        <x:v>529.2</x:v>
      </x:c>
    </x:row>
    <x:row r="2215" ht="23" customHeight="1">
      <x:c r="A2215" s="7" t="str">
        <x:v>INV02210</x:v>
      </x:c>
      <x:c r="B2215" s="15" t="d">
        <x:v>2026-04-24T00:00:00.000Z</x:v>
      </x:c>
      <x:c r="C2215" s="14" t="d">
        <x:v>2026-04-01T00:00:00.000Z</x:v>
      </x:c>
      <x:c r="D2215" s="34" t="str">
        <x:v>0003</x:v>
      </x:c>
      <x:c r="E2215" s="7" t="str">
        <x:v>Central</x:v>
      </x:c>
      <x:c r="F2215" s="7" t="n">
        <x:v>1</x:v>
      </x:c>
      <x:c r="G2215" s="7" t="n">
        <x:v>200</x:v>
      </x:c>
      <x:c r="H2215" s="9" t="n">
        <x:v>0.05</x:v>
      </x:c>
      <x:c r="I2215" s="7" t="n">
        <x:v>190</x:v>
      </x:c>
    </x:row>
    <x:row r="2216" ht="23" customHeight="1">
      <x:c r="A2216" s="7" t="str">
        <x:v>INV02211</x:v>
      </x:c>
      <x:c r="B2216" s="15" t="d">
        <x:v>2026-04-25T00:00:00.000Z</x:v>
      </x:c>
      <x:c r="C2216" s="14" t="d">
        <x:v>2026-04-01T00:00:00.000Z</x:v>
      </x:c>
      <x:c r="D2216" s="34" t="str">
        <x:v>0004</x:v>
      </x:c>
      <x:c r="E2216" s="7" t="str">
        <x:v>Central</x:v>
      </x:c>
      <x:c r="F2216" s="7" t="n">
        <x:v>7</x:v>
      </x:c>
      <x:c r="G2216" s="7" t="n">
        <x:v>220</x:v>
      </x:c>
      <x:c r="H2216" s="9" t="n">
        <x:v>0</x:v>
      </x:c>
      <x:c r="I2216" s="7" t="n">
        <x:v>1540</x:v>
      </x:c>
    </x:row>
    <x:row r="2217" ht="23" customHeight="1">
      <x:c r="A2217" s="7" t="str">
        <x:v>INV02212</x:v>
      </x:c>
      <x:c r="B2217" s="15" t="d">
        <x:v>2026-04-26T00:00:00.000Z</x:v>
      </x:c>
      <x:c r="C2217" s="14" t="d">
        <x:v>2026-04-01T00:00:00.000Z</x:v>
      </x:c>
      <x:c r="D2217" s="34" t="str">
        <x:v>0005</x:v>
      </x:c>
      <x:c r="E2217" s="7" t="str">
        <x:v>Central</x:v>
      </x:c>
      <x:c r="F2217" s="7" t="n">
        <x:v>7</x:v>
      </x:c>
      <x:c r="G2217" s="7" t="n">
        <x:v>240</x:v>
      </x:c>
      <x:c r="H2217" s="9" t="n">
        <x:v>0.02</x:v>
      </x:c>
      <x:c r="I2217" s="7" t="n">
        <x:v>1646.4</x:v>
      </x:c>
    </x:row>
    <x:row r="2218" ht="23" customHeight="1">
      <x:c r="A2218" s="7" t="str">
        <x:v>INV02213</x:v>
      </x:c>
      <x:c r="B2218" s="15" t="d">
        <x:v>2026-04-27T00:00:00.000Z</x:v>
      </x:c>
      <x:c r="C2218" s="14" t="d">
        <x:v>2026-04-01T00:00:00.000Z</x:v>
      </x:c>
      <x:c r="D2218" s="34" t="str">
        <x:v>0006</x:v>
      </x:c>
      <x:c r="E2218" s="7" t="str">
        <x:v>Central</x:v>
      </x:c>
      <x:c r="F2218" s="7" t="n">
        <x:v>4</x:v>
      </x:c>
      <x:c r="G2218" s="7" t="n">
        <x:v>260</x:v>
      </x:c>
      <x:c r="H2218" s="9" t="n">
        <x:v>0.05</x:v>
      </x:c>
      <x:c r="I2218" s="7" t="n">
        <x:v>988</x:v>
      </x:c>
    </x:row>
    <x:row r="2219" ht="23" customHeight="1">
      <x:c r="A2219" s="7" t="str">
        <x:v>INV02214</x:v>
      </x:c>
      <x:c r="B2219" s="15" t="d">
        <x:v>2026-04-01T00:00:00.000Z</x:v>
      </x:c>
      <x:c r="C2219" s="14" t="d">
        <x:v>2026-04-01T00:00:00.000Z</x:v>
      </x:c>
      <x:c r="D2219" s="34" t="str">
        <x:v>0007</x:v>
      </x:c>
      <x:c r="E2219" s="7" t="str">
        <x:v>Central</x:v>
      </x:c>
      <x:c r="F2219" s="7" t="n">
        <x:v>-3</x:v>
      </x:c>
      <x:c r="G2219" s="7" t="n">
        <x:v>280</x:v>
      </x:c>
      <x:c r="H2219" s="9" t="n">
        <x:v>0</x:v>
      </x:c>
      <x:c r="I2219" s="7" t="n">
        <x:v>-840</x:v>
      </x:c>
    </x:row>
    <x:row r="2220" ht="23" customHeight="1">
      <x:c r="A2220" s="7" t="str">
        <x:v>INV02215</x:v>
      </x:c>
      <x:c r="B2220" s="15" t="d">
        <x:v>2026-04-02T00:00:00.000Z</x:v>
      </x:c>
      <x:c r="C2220" s="14" t="d">
        <x:v>2026-04-01T00:00:00.000Z</x:v>
      </x:c>
      <x:c r="D2220" s="34" t="str">
        <x:v>0008</x:v>
      </x:c>
      <x:c r="E2220" s="7" t="str">
        <x:v>Central</x:v>
      </x:c>
      <x:c r="F2220" s="7" t="n">
        <x:v>7</x:v>
      </x:c>
      <x:c r="G2220" s="7" t="n">
        <x:v>300</x:v>
      </x:c>
      <x:c r="H2220" s="9" t="n">
        <x:v>0.02</x:v>
      </x:c>
      <x:c r="I2220" s="7" t="n">
        <x:v>2058</x:v>
      </x:c>
    </x:row>
    <x:row r="2221" ht="23" customHeight="1">
      <x:c r="A2221" s="7" t="str">
        <x:v>INV02216</x:v>
      </x:c>
      <x:c r="B2221" s="15" t="d">
        <x:v>2026-04-03T00:00:00.000Z</x:v>
      </x:c>
      <x:c r="C2221" s="14" t="d">
        <x:v>2026-04-01T00:00:00.000Z</x:v>
      </x:c>
      <x:c r="D2221" s="34" t="str">
        <x:v>0001</x:v>
      </x:c>
      <x:c r="E2221" s="7" t="str">
        <x:v>East</x:v>
      </x:c>
      <x:c r="F2221" s="7" t="n">
        <x:v>3</x:v>
      </x:c>
      <x:c r="G2221" s="7" t="n">
        <x:v>160</x:v>
      </x:c>
      <x:c r="H2221" s="9" t="n">
        <x:v>0.05</x:v>
      </x:c>
      <x:c r="I2221" s="7" t="n">
        <x:v>456</x:v>
      </x:c>
    </x:row>
    <x:row r="2222" ht="23" customHeight="1">
      <x:c r="A2222" s="7" t="str">
        <x:v>INV02217</x:v>
      </x:c>
      <x:c r="B2222" s="15" t="d">
        <x:v>2026-04-04T00:00:00.000Z</x:v>
      </x:c>
      <x:c r="C2222" s="14" t="d">
        <x:v>2026-04-01T00:00:00.000Z</x:v>
      </x:c>
      <x:c r="D2222" s="34" t="str">
        <x:v>0002</x:v>
      </x:c>
      <x:c r="E2222" s="7" t="str">
        <x:v>East</x:v>
      </x:c>
      <x:c r="F2222" s="7" t="n">
        <x:v>7</x:v>
      </x:c>
      <x:c r="G2222" s="7" t="n">
        <x:v>180</x:v>
      </x:c>
      <x:c r="H2222" s="9" t="n">
        <x:v>0</x:v>
      </x:c>
      <x:c r="I2222" s="7" t="n">
        <x:v>1260</x:v>
      </x:c>
    </x:row>
    <x:row r="2223" ht="23" customHeight="1">
      <x:c r="A2223" s="7" t="str">
        <x:v>INV02218</x:v>
      </x:c>
      <x:c r="B2223" s="15" t="d">
        <x:v>2026-04-05T00:00:00.000Z</x:v>
      </x:c>
      <x:c r="C2223" s="14" t="d">
        <x:v>2026-04-01T00:00:00.000Z</x:v>
      </x:c>
      <x:c r="D2223" s="34" t="str">
        <x:v>0003</x:v>
      </x:c>
      <x:c r="E2223" s="7" t="str">
        <x:v>East</x:v>
      </x:c>
      <x:c r="F2223" s="7" t="n">
        <x:v>7</x:v>
      </x:c>
      <x:c r="G2223" s="7" t="n">
        <x:v>200</x:v>
      </x:c>
      <x:c r="H2223" s="9" t="n">
        <x:v>0.02</x:v>
      </x:c>
      <x:c r="I2223" s="7" t="n">
        <x:v>1372</x:v>
      </x:c>
    </x:row>
    <x:row r="2224" ht="23" customHeight="1">
      <x:c r="A2224" s="7" t="str">
        <x:v>INV02219</x:v>
      </x:c>
      <x:c r="B2224" s="15" t="d">
        <x:v>2026-04-06T00:00:00.000Z</x:v>
      </x:c>
      <x:c r="C2224" s="14" t="d">
        <x:v>2026-04-01T00:00:00.000Z</x:v>
      </x:c>
      <x:c r="D2224" s="34" t="str">
        <x:v>0004</x:v>
      </x:c>
      <x:c r="E2224" s="7" t="str">
        <x:v>East</x:v>
      </x:c>
      <x:c r="F2224" s="7" t="n">
        <x:v>4</x:v>
      </x:c>
      <x:c r="G2224" s="7" t="n">
        <x:v>220</x:v>
      </x:c>
      <x:c r="H2224" s="9" t="n">
        <x:v>0.05</x:v>
      </x:c>
      <x:c r="I2224" s="7" t="n">
        <x:v>836</x:v>
      </x:c>
    </x:row>
    <x:row r="2225" ht="23" customHeight="1">
      <x:c r="A2225" s="7" t="str">
        <x:v>INV02220</x:v>
      </x:c>
      <x:c r="B2225" s="15" t="d">
        <x:v>2026-04-07T00:00:00.000Z</x:v>
      </x:c>
      <x:c r="C2225" s="14" t="d">
        <x:v>2026-04-01T00:00:00.000Z</x:v>
      </x:c>
      <x:c r="D2225" s="34" t="str">
        <x:v>0005</x:v>
      </x:c>
      <x:c r="E2225" s="7" t="str">
        <x:v>East</x:v>
      </x:c>
      <x:c r="F2225" s="7" t="n">
        <x:v>2</x:v>
      </x:c>
      <x:c r="G2225" s="7" t="n">
        <x:v>240</x:v>
      </x:c>
      <x:c r="H2225" s="9" t="n">
        <x:v>0</x:v>
      </x:c>
      <x:c r="I2225" s="7" t="n">
        <x:v>480</x:v>
      </x:c>
    </x:row>
    <x:row r="2226" ht="23" customHeight="1">
      <x:c r="A2226" s="7" t="str">
        <x:v>INV02221</x:v>
      </x:c>
      <x:c r="B2226" s="15" t="d">
        <x:v>2026-04-08T00:00:00.000Z</x:v>
      </x:c>
      <x:c r="C2226" s="14" t="d">
        <x:v>2026-04-01T00:00:00.000Z</x:v>
      </x:c>
      <x:c r="D2226" s="34" t="str">
        <x:v>0006</x:v>
      </x:c>
      <x:c r="E2226" s="7" t="str">
        <x:v>East</x:v>
      </x:c>
      <x:c r="F2226" s="7" t="n">
        <x:v>3</x:v>
      </x:c>
      <x:c r="G2226" s="7" t="n">
        <x:v>260</x:v>
      </x:c>
      <x:c r="H2226" s="9" t="n">
        <x:v>0.02</x:v>
      </x:c>
      <x:c r="I2226" s="7" t="n">
        <x:v>764.4</x:v>
      </x:c>
    </x:row>
    <x:row r="2227" ht="23" customHeight="1">
      <x:c r="A2227" s="7" t="str">
        <x:v>INV02222</x:v>
      </x:c>
      <x:c r="B2227" s="15" t="d">
        <x:v>2026-04-09T00:00:00.000Z</x:v>
      </x:c>
      <x:c r="C2227" s="14" t="d">
        <x:v>2026-04-01T00:00:00.000Z</x:v>
      </x:c>
      <x:c r="D2227" s="34" t="str">
        <x:v>0007</x:v>
      </x:c>
      <x:c r="E2227" s="7" t="str">
        <x:v>East</x:v>
      </x:c>
      <x:c r="F2227" s="7" t="n">
        <x:v>2</x:v>
      </x:c>
      <x:c r="G2227" s="7" t="n">
        <x:v>280</x:v>
      </x:c>
      <x:c r="H2227" s="9" t="n">
        <x:v>0.05</x:v>
      </x:c>
      <x:c r="I2227" s="7" t="n">
        <x:v>532</x:v>
      </x:c>
    </x:row>
    <x:row r="2228" ht="23" customHeight="1">
      <x:c r="A2228" s="7" t="str">
        <x:v>INV02223</x:v>
      </x:c>
      <x:c r="B2228" s="15" t="d">
        <x:v>2026-04-10T00:00:00.000Z</x:v>
      </x:c>
      <x:c r="C2228" s="14" t="d">
        <x:v>2026-04-01T00:00:00.000Z</x:v>
      </x:c>
      <x:c r="D2228" s="34" t="str">
        <x:v>0008</x:v>
      </x:c>
      <x:c r="E2228" s="7" t="str">
        <x:v>East</x:v>
      </x:c>
      <x:c r="F2228" s="7" t="n">
        <x:v>7</x:v>
      </x:c>
      <x:c r="G2228" s="7" t="n">
        <x:v>300</x:v>
      </x:c>
      <x:c r="H2228" s="9" t="n">
        <x:v>0</x:v>
      </x:c>
      <x:c r="I2228" s="7" t="n">
        <x:v>2100</x:v>
      </x:c>
    </x:row>
    <x:row r="2229" ht="23" customHeight="1">
      <x:c r="A2229" s="7" t="str">
        <x:v>INV02224</x:v>
      </x:c>
      <x:c r="B2229" s="15" t="d">
        <x:v>2026-04-11T00:00:00.000Z</x:v>
      </x:c>
      <x:c r="C2229" s="14" t="d">
        <x:v>2026-04-01T00:00:00.000Z</x:v>
      </x:c>
      <x:c r="D2229" s="34" t="str">
        <x:v>0001</x:v>
      </x:c>
      <x:c r="E2229" s="7" t="str">
        <x:v>West</x:v>
      </x:c>
      <x:c r="F2229" s="7" t="n">
        <x:v>7</x:v>
      </x:c>
      <x:c r="G2229" s="7" t="n">
        <x:v>160</x:v>
      </x:c>
      <x:c r="H2229" s="9" t="n">
        <x:v>0.02</x:v>
      </x:c>
      <x:c r="I2229" s="7" t="n">
        <x:v>1097.6</x:v>
      </x:c>
    </x:row>
    <x:row r="2230" ht="23" customHeight="1">
      <x:c r="A2230" s="7" t="str">
        <x:v>INV02225</x:v>
      </x:c>
      <x:c r="B2230" s="15" t="d">
        <x:v>2026-04-12T00:00:00.000Z</x:v>
      </x:c>
      <x:c r="C2230" s="14" t="d">
        <x:v>2026-04-01T00:00:00.000Z</x:v>
      </x:c>
      <x:c r="D2230" s="34" t="str">
        <x:v>0002</x:v>
      </x:c>
      <x:c r="E2230" s="7" t="str">
        <x:v>West</x:v>
      </x:c>
      <x:c r="F2230" s="7" t="n">
        <x:v>6</x:v>
      </x:c>
      <x:c r="G2230" s="7" t="n">
        <x:v>180</x:v>
      </x:c>
      <x:c r="H2230" s="9" t="n">
        <x:v>0.05</x:v>
      </x:c>
      <x:c r="I2230" s="7" t="n">
        <x:v>1026</x:v>
      </x:c>
    </x:row>
    <x:row r="2231" ht="23" customHeight="1">
      <x:c r="A2231" s="7" t="str">
        <x:v>INV02226</x:v>
      </x:c>
      <x:c r="B2231" s="15" t="d">
        <x:v>2026-04-13T00:00:00.000Z</x:v>
      </x:c>
      <x:c r="C2231" s="14" t="d">
        <x:v>2026-04-01T00:00:00.000Z</x:v>
      </x:c>
      <x:c r="D2231" s="34" t="str">
        <x:v>0003</x:v>
      </x:c>
      <x:c r="E2231" s="7" t="str">
        <x:v>West</x:v>
      </x:c>
      <x:c r="F2231" s="7" t="n">
        <x:v>5</x:v>
      </x:c>
      <x:c r="G2231" s="7" t="n">
        <x:v>200</x:v>
      </x:c>
      <x:c r="H2231" s="9" t="n">
        <x:v>0</x:v>
      </x:c>
      <x:c r="I2231" s="7" t="n">
        <x:v>1000</x:v>
      </x:c>
    </x:row>
    <x:row r="2232" ht="23" customHeight="1">
      <x:c r="A2232" s="7" t="str">
        <x:v>INV02227</x:v>
      </x:c>
      <x:c r="B2232" s="15" t="d">
        <x:v>2026-04-14T00:00:00.000Z</x:v>
      </x:c>
      <x:c r="C2232" s="14" t="d">
        <x:v>2026-04-01T00:00:00.000Z</x:v>
      </x:c>
      <x:c r="D2232" s="34" t="str">
        <x:v>0004</x:v>
      </x:c>
      <x:c r="E2232" s="7" t="str">
        <x:v>West</x:v>
      </x:c>
      <x:c r="F2232" s="7" t="n">
        <x:v>4</x:v>
      </x:c>
      <x:c r="G2232" s="7" t="n">
        <x:v>220</x:v>
      </x:c>
      <x:c r="H2232" s="9" t="n">
        <x:v>0.02</x:v>
      </x:c>
      <x:c r="I2232" s="7" t="n">
        <x:v>862.4</x:v>
      </x:c>
    </x:row>
    <x:row r="2233" ht="23" customHeight="1">
      <x:c r="A2233" s="7" t="str">
        <x:v>INV02228</x:v>
      </x:c>
      <x:c r="B2233" s="15" t="d">
        <x:v>2026-04-15T00:00:00.000Z</x:v>
      </x:c>
      <x:c r="C2233" s="14" t="d">
        <x:v>2026-04-01T00:00:00.000Z</x:v>
      </x:c>
      <x:c r="D2233" s="34" t="str">
        <x:v>0005</x:v>
      </x:c>
      <x:c r="E2233" s="7" t="str">
        <x:v>West</x:v>
      </x:c>
      <x:c r="F2233" s="7" t="n">
        <x:v>3</x:v>
      </x:c>
      <x:c r="G2233" s="7" t="n">
        <x:v>240</x:v>
      </x:c>
      <x:c r="H2233" s="9" t="n">
        <x:v>0.05</x:v>
      </x:c>
      <x:c r="I2233" s="7" t="n">
        <x:v>684</x:v>
      </x:c>
    </x:row>
    <x:row r="2234" ht="23" customHeight="1">
      <x:c r="A2234" s="7" t="str">
        <x:v>INV02229</x:v>
      </x:c>
      <x:c r="B2234" s="15" t="d">
        <x:v>2026-04-16T00:00:00.000Z</x:v>
      </x:c>
      <x:c r="C2234" s="14" t="d">
        <x:v>2026-04-01T00:00:00.000Z</x:v>
      </x:c>
      <x:c r="D2234" s="34" t="str">
        <x:v>0006</x:v>
      </x:c>
      <x:c r="E2234" s="7" t="str">
        <x:v>West</x:v>
      </x:c>
      <x:c r="F2234" s="7" t="n">
        <x:v>3</x:v>
      </x:c>
      <x:c r="G2234" s="7" t="n">
        <x:v>260</x:v>
      </x:c>
      <x:c r="H2234" s="9" t="n">
        <x:v>0</x:v>
      </x:c>
      <x:c r="I2234" s="7" t="n">
        <x:v>780</x:v>
      </x:c>
    </x:row>
    <x:row r="2235" ht="23" customHeight="1">
      <x:c r="A2235" s="7" t="str">
        <x:v>INV02230</x:v>
      </x:c>
      <x:c r="B2235" s="15" t="d">
        <x:v>2026-04-17T00:00:00.000Z</x:v>
      </x:c>
      <x:c r="C2235" s="14" t="d">
        <x:v>2026-04-01T00:00:00.000Z</x:v>
      </x:c>
      <x:c r="D2235" s="34" t="str">
        <x:v>0007</x:v>
      </x:c>
      <x:c r="E2235" s="7" t="str">
        <x:v>West</x:v>
      </x:c>
      <x:c r="F2235" s="7" t="n">
        <x:v>2</x:v>
      </x:c>
      <x:c r="G2235" s="7" t="n">
        <x:v>280</x:v>
      </x:c>
      <x:c r="H2235" s="9" t="n">
        <x:v>0.02</x:v>
      </x:c>
      <x:c r="I2235" s="7" t="n">
        <x:v>548.8</x:v>
      </x:c>
    </x:row>
    <x:row r="2236" ht="23" customHeight="1">
      <x:c r="A2236" s="7" t="str">
        <x:v>INV02231</x:v>
      </x:c>
      <x:c r="B2236" s="15" t="d">
        <x:v>2026-04-18T00:00:00.000Z</x:v>
      </x:c>
      <x:c r="C2236" s="14" t="d">
        <x:v>2026-04-01T00:00:00.000Z</x:v>
      </x:c>
      <x:c r="D2236" s="34" t="str">
        <x:v>0008</x:v>
      </x:c>
      <x:c r="E2236" s="7" t="str">
        <x:v>West</x:v>
      </x:c>
      <x:c r="F2236" s="7" t="n">
        <x:v>2</x:v>
      </x:c>
      <x:c r="G2236" s="7" t="n">
        <x:v>300</x:v>
      </x:c>
      <x:c r="H2236" s="9" t="n">
        <x:v>0.05</x:v>
      </x:c>
      <x:c r="I2236" s="7" t="n">
        <x:v>570</x:v>
      </x:c>
    </x:row>
    <x:row r="2237" ht="23" customHeight="1">
      <x:c r="A2237" s="7" t="str">
        <x:v>INV02232</x:v>
      </x:c>
      <x:c r="B2237" s="15" t="d">
        <x:v>2026-04-19T00:00:00.000Z</x:v>
      </x:c>
      <x:c r="C2237" s="14" t="d">
        <x:v>2026-04-01T00:00:00.000Z</x:v>
      </x:c>
      <x:c r="D2237" s="34" t="str">
        <x:v>0001</x:v>
      </x:c>
      <x:c r="E2237" s="7" t="str">
        <x:v>North</x:v>
      </x:c>
      <x:c r="F2237" s="7" t="n">
        <x:v>2</x:v>
      </x:c>
      <x:c r="G2237" s="7" t="n">
        <x:v>160</x:v>
      </x:c>
      <x:c r="H2237" s="9" t="n">
        <x:v>0</x:v>
      </x:c>
      <x:c r="I2237" s="7" t="n">
        <x:v>320</x:v>
      </x:c>
    </x:row>
    <x:row r="2238" ht="23" customHeight="1">
      <x:c r="A2238" s="7" t="str">
        <x:v>INV02233</x:v>
      </x:c>
      <x:c r="B2238" s="15" t="d">
        <x:v>2026-04-20T00:00:00.000Z</x:v>
      </x:c>
      <x:c r="C2238" s="14" t="d">
        <x:v>2026-04-01T00:00:00.000Z</x:v>
      </x:c>
      <x:c r="D2238" s="34" t="str">
        <x:v>0002</x:v>
      </x:c>
      <x:c r="E2238" s="7" t="str">
        <x:v>North</x:v>
      </x:c>
      <x:c r="F2238" s="7" t="n">
        <x:v>7</x:v>
      </x:c>
      <x:c r="G2238" s="7" t="n">
        <x:v>180</x:v>
      </x:c>
      <x:c r="H2238" s="9" t="n">
        <x:v>0.02</x:v>
      </x:c>
      <x:c r="I2238" s="7" t="n">
        <x:v>1234.8</x:v>
      </x:c>
    </x:row>
    <x:row r="2239" ht="23" customHeight="1">
      <x:c r="A2239" s="7" t="str">
        <x:v>INV02234</x:v>
      </x:c>
      <x:c r="B2239" s="15" t="d">
        <x:v>2026-04-21T00:00:00.000Z</x:v>
      </x:c>
      <x:c r="C2239" s="14" t="d">
        <x:v>2026-04-01T00:00:00.000Z</x:v>
      </x:c>
      <x:c r="D2239" s="34" t="str">
        <x:v>0003</x:v>
      </x:c>
      <x:c r="E2239" s="7" t="str">
        <x:v>North</x:v>
      </x:c>
      <x:c r="F2239" s="7" t="n">
        <x:v>3</x:v>
      </x:c>
      <x:c r="G2239" s="7" t="n">
        <x:v>200</x:v>
      </x:c>
      <x:c r="H2239" s="9" t="n">
        <x:v>0.05</x:v>
      </x:c>
      <x:c r="I2239" s="7" t="n">
        <x:v>570</x:v>
      </x:c>
    </x:row>
    <x:row r="2240" ht="23" customHeight="1">
      <x:c r="A2240" s="7" t="str">
        <x:v>INV02235</x:v>
      </x:c>
      <x:c r="B2240" s="15" t="d">
        <x:v>2026-04-22T00:00:00.000Z</x:v>
      </x:c>
      <x:c r="C2240" s="14" t="d">
        <x:v>2026-04-01T00:00:00.000Z</x:v>
      </x:c>
      <x:c r="D2240" s="34" t="str">
        <x:v>0004</x:v>
      </x:c>
      <x:c r="E2240" s="7" t="str">
        <x:v>North</x:v>
      </x:c>
      <x:c r="F2240" s="7" t="n">
        <x:v>7</x:v>
      </x:c>
      <x:c r="G2240" s="7" t="n">
        <x:v>220</x:v>
      </x:c>
      <x:c r="H2240" s="9" t="n">
        <x:v>0</x:v>
      </x:c>
      <x:c r="I2240" s="7" t="n">
        <x:v>1540</x:v>
      </x:c>
    </x:row>
    <x:row r="2241" ht="23" customHeight="1">
      <x:c r="A2241" s="7" t="str">
        <x:v>INV02236</x:v>
      </x:c>
      <x:c r="B2241" s="15" t="d">
        <x:v>2026-04-23T00:00:00.000Z</x:v>
      </x:c>
      <x:c r="C2241" s="14" t="d">
        <x:v>2026-04-01T00:00:00.000Z</x:v>
      </x:c>
      <x:c r="D2241" s="34" t="str">
        <x:v>0005</x:v>
      </x:c>
      <x:c r="E2241" s="7" t="str">
        <x:v>North</x:v>
      </x:c>
      <x:c r="F2241" s="7" t="n">
        <x:v>6</x:v>
      </x:c>
      <x:c r="G2241" s="7" t="n">
        <x:v>240</x:v>
      </x:c>
      <x:c r="H2241" s="9" t="n">
        <x:v>0.02</x:v>
      </x:c>
      <x:c r="I2241" s="7" t="n">
        <x:v>1411.2</x:v>
      </x:c>
    </x:row>
    <x:row r="2242" ht="23" customHeight="1">
      <x:c r="A2242" s="7" t="str">
        <x:v>INV02237</x:v>
      </x:c>
      <x:c r="B2242" s="15" t="d">
        <x:v>2026-04-24T00:00:00.000Z</x:v>
      </x:c>
      <x:c r="C2242" s="14" t="d">
        <x:v>2026-04-01T00:00:00.000Z</x:v>
      </x:c>
      <x:c r="D2242" s="34" t="str">
        <x:v>0006</x:v>
      </x:c>
      <x:c r="E2242" s="7" t="str">
        <x:v>North</x:v>
      </x:c>
      <x:c r="F2242" s="7" t="n">
        <x:v>5</x:v>
      </x:c>
      <x:c r="G2242" s="7" t="n">
        <x:v>260</x:v>
      </x:c>
      <x:c r="H2242" s="9" t="n">
        <x:v>0.05</x:v>
      </x:c>
      <x:c r="I2242" s="7" t="n">
        <x:v>1235</x:v>
      </x:c>
    </x:row>
    <x:row r="2243" ht="23" customHeight="1">
      <x:c r="A2243" s="7" t="str">
        <x:v>INV02238</x:v>
      </x:c>
      <x:c r="B2243" s="15" t="d">
        <x:v>2026-04-25T00:00:00.000Z</x:v>
      </x:c>
      <x:c r="C2243" s="14" t="d">
        <x:v>2026-04-01T00:00:00.000Z</x:v>
      </x:c>
      <x:c r="D2243" s="34" t="str">
        <x:v>0007</x:v>
      </x:c>
      <x:c r="E2243" s="7" t="str">
        <x:v>North</x:v>
      </x:c>
      <x:c r="F2243" s="7" t="n">
        <x:v>3</x:v>
      </x:c>
      <x:c r="G2243" s="7" t="n">
        <x:v>280</x:v>
      </x:c>
      <x:c r="H2243" s="9" t="n">
        <x:v>0</x:v>
      </x:c>
      <x:c r="I2243" s="7" t="n">
        <x:v>840</x:v>
      </x:c>
    </x:row>
    <x:row r="2244" ht="23" customHeight="1">
      <x:c r="A2244" s="7" t="str">
        <x:v>INV02239</x:v>
      </x:c>
      <x:c r="B2244" s="15" t="d">
        <x:v>2026-04-26T00:00:00.000Z</x:v>
      </x:c>
      <x:c r="C2244" s="14" t="d">
        <x:v>2026-04-01T00:00:00.000Z</x:v>
      </x:c>
      <x:c r="D2244" s="34" t="str">
        <x:v>0008</x:v>
      </x:c>
      <x:c r="E2244" s="7" t="str">
        <x:v>North</x:v>
      </x:c>
      <x:c r="F2244" s="7" t="n">
        <x:v>1</x:v>
      </x:c>
      <x:c r="G2244" s="7" t="n">
        <x:v>300</x:v>
      </x:c>
      <x:c r="H2244" s="9" t="n">
        <x:v>0.02</x:v>
      </x:c>
      <x:c r="I2244" s="7" t="n">
        <x:v>294</x:v>
      </x:c>
    </x:row>
    <x:row r="2245" ht="23" customHeight="1">
      <x:c r="A2245" s="7" t="str">
        <x:v>INV02240</x:v>
      </x:c>
      <x:c r="B2245" s="15" t="d">
        <x:v>2026-05-27T00:00:00.000Z</x:v>
      </x:c>
      <x:c r="C2245" s="14" t="d">
        <x:v>2026-05-01T00:00:00.000Z</x:v>
      </x:c>
      <x:c r="D2245" s="34" t="str">
        <x:v>0001</x:v>
      </x:c>
      <x:c r="E2245" s="7" t="str">
        <x:v>Central</x:v>
      </x:c>
      <x:c r="F2245" s="7" t="n">
        <x:v>7</x:v>
      </x:c>
      <x:c r="G2245" s="7" t="n">
        <x:v>160</x:v>
      </x:c>
      <x:c r="H2245" s="9" t="n">
        <x:v>0.05</x:v>
      </x:c>
      <x:c r="I2245" s="7" t="n">
        <x:v>1064</x:v>
      </x:c>
    </x:row>
    <x:row r="2246" ht="23" customHeight="1">
      <x:c r="A2246" s="7" t="str">
        <x:v>INV02241</x:v>
      </x:c>
      <x:c r="B2246" s="15" t="d">
        <x:v>2026-05-01T00:00:00.000Z</x:v>
      </x:c>
      <x:c r="C2246" s="14" t="d">
        <x:v>2026-05-01T00:00:00.000Z</x:v>
      </x:c>
      <x:c r="D2246" s="34" t="str">
        <x:v>0002</x:v>
      </x:c>
      <x:c r="E2246" s="7" t="str">
        <x:v>Central</x:v>
      </x:c>
      <x:c r="F2246" s="7" t="n">
        <x:v>1</x:v>
      </x:c>
      <x:c r="G2246" s="7" t="n">
        <x:v>180</x:v>
      </x:c>
      <x:c r="H2246" s="9" t="n">
        <x:v>0</x:v>
      </x:c>
      <x:c r="I2246" s="7" t="n">
        <x:v>180</x:v>
      </x:c>
    </x:row>
    <x:row r="2247" ht="23" customHeight="1">
      <x:c r="A2247" s="7" t="str">
        <x:v>INV02242</x:v>
      </x:c>
      <x:c r="B2247" s="15" t="d">
        <x:v>2026-05-02T00:00:00.000Z</x:v>
      </x:c>
      <x:c r="C2247" s="14" t="d">
        <x:v>2026-05-01T00:00:00.000Z</x:v>
      </x:c>
      <x:c r="D2247" s="34" t="str">
        <x:v>0003</x:v>
      </x:c>
      <x:c r="E2247" s="7" t="str">
        <x:v>Central</x:v>
      </x:c>
      <x:c r="F2247" s="7" t="n">
        <x:v>5</x:v>
      </x:c>
      <x:c r="G2247" s="7" t="n">
        <x:v>200</x:v>
      </x:c>
      <x:c r="H2247" s="9" t="n">
        <x:v>0.02</x:v>
      </x:c>
      <x:c r="I2247" s="7" t="n">
        <x:v>980</x:v>
      </x:c>
    </x:row>
    <x:row r="2248" ht="23" customHeight="1">
      <x:c r="A2248" s="7" t="str">
        <x:v>INV02243</x:v>
      </x:c>
      <x:c r="B2248" s="15" t="d">
        <x:v>2026-05-03T00:00:00.000Z</x:v>
      </x:c>
      <x:c r="C2248" s="14" t="d">
        <x:v>2026-05-01T00:00:00.000Z</x:v>
      </x:c>
      <x:c r="D2248" s="34" t="str">
        <x:v>0004</x:v>
      </x:c>
      <x:c r="E2248" s="7" t="str">
        <x:v>Central</x:v>
      </x:c>
      <x:c r="F2248" s="7" t="n">
        <x:v>2</x:v>
      </x:c>
      <x:c r="G2248" s="7" t="n">
        <x:v>220</x:v>
      </x:c>
      <x:c r="H2248" s="9" t="n">
        <x:v>0.05</x:v>
      </x:c>
      <x:c r="I2248" s="7" t="n">
        <x:v>418</x:v>
      </x:c>
    </x:row>
    <x:row r="2249" ht="23" customHeight="1">
      <x:c r="A2249" s="7" t="str">
        <x:v>INV02244</x:v>
      </x:c>
      <x:c r="B2249" s="15" t="d">
        <x:v>2026-05-04T00:00:00.000Z</x:v>
      </x:c>
      <x:c r="C2249" s="14" t="d">
        <x:v>2026-05-01T00:00:00.000Z</x:v>
      </x:c>
      <x:c r="D2249" s="34" t="str">
        <x:v>0005</x:v>
      </x:c>
      <x:c r="E2249" s="7" t="str">
        <x:v>Central</x:v>
      </x:c>
      <x:c r="F2249" s="7" t="n">
        <x:v>1</x:v>
      </x:c>
      <x:c r="G2249" s="7" t="n">
        <x:v>240</x:v>
      </x:c>
      <x:c r="H2249" s="9" t="n">
        <x:v>0</x:v>
      </x:c>
      <x:c r="I2249" s="7" t="n">
        <x:v>240</x:v>
      </x:c>
    </x:row>
    <x:row r="2250" ht="23" customHeight="1">
      <x:c r="A2250" s="7" t="str">
        <x:v>INV02245</x:v>
      </x:c>
      <x:c r="B2250" s="15" t="d">
        <x:v>2026-05-05T00:00:00.000Z</x:v>
      </x:c>
      <x:c r="C2250" s="14" t="d">
        <x:v>2026-05-01T00:00:00.000Z</x:v>
      </x:c>
      <x:c r="D2250" s="34" t="str">
        <x:v>0006</x:v>
      </x:c>
      <x:c r="E2250" s="7" t="str">
        <x:v>Central</x:v>
      </x:c>
      <x:c r="F2250" s="7" t="n">
        <x:v>5</x:v>
      </x:c>
      <x:c r="G2250" s="7" t="n">
        <x:v>260</x:v>
      </x:c>
      <x:c r="H2250" s="9" t="n">
        <x:v>0.02</x:v>
      </x:c>
      <x:c r="I2250" s="7" t="n">
        <x:v>1274</x:v>
      </x:c>
    </x:row>
    <x:row r="2251" ht="23" customHeight="1">
      <x:c r="A2251" s="7" t="str">
        <x:v>INV02246</x:v>
      </x:c>
      <x:c r="B2251" s="15" t="d">
        <x:v>2026-05-06T00:00:00.000Z</x:v>
      </x:c>
      <x:c r="C2251" s="14" t="d">
        <x:v>2026-05-01T00:00:00.000Z</x:v>
      </x:c>
      <x:c r="D2251" s="34" t="str">
        <x:v>0007</x:v>
      </x:c>
      <x:c r="E2251" s="7" t="str">
        <x:v>Central</x:v>
      </x:c>
      <x:c r="F2251" s="7" t="n">
        <x:v>1</x:v>
      </x:c>
      <x:c r="G2251" s="7" t="n">
        <x:v>280</x:v>
      </x:c>
      <x:c r="H2251" s="9" t="n">
        <x:v>0.05</x:v>
      </x:c>
      <x:c r="I2251" s="7" t="n">
        <x:v>266</x:v>
      </x:c>
    </x:row>
    <x:row r="2252" ht="23" customHeight="1">
      <x:c r="A2252" s="7" t="str">
        <x:v>INV02247</x:v>
      </x:c>
      <x:c r="B2252" s="15" t="d">
        <x:v>2026-05-07T00:00:00.000Z</x:v>
      </x:c>
      <x:c r="C2252" s="14" t="d">
        <x:v>2026-05-01T00:00:00.000Z</x:v>
      </x:c>
      <x:c r="D2252" s="34" t="str">
        <x:v>0008</x:v>
      </x:c>
      <x:c r="E2252" s="7" t="str">
        <x:v>Central</x:v>
      </x:c>
      <x:c r="F2252" s="7" t="n">
        <x:v>7</x:v>
      </x:c>
      <x:c r="G2252" s="7" t="n">
        <x:v>300</x:v>
      </x:c>
      <x:c r="H2252" s="9" t="n">
        <x:v>0</x:v>
      </x:c>
      <x:c r="I2252" s="7" t="n">
        <x:v>2100</x:v>
      </x:c>
    </x:row>
    <x:row r="2253" ht="23" customHeight="1">
      <x:c r="A2253" s="7" t="str">
        <x:v>INV02248</x:v>
      </x:c>
      <x:c r="B2253" s="15" t="d">
        <x:v>2026-05-08T00:00:00.000Z</x:v>
      </x:c>
      <x:c r="C2253" s="14" t="d">
        <x:v>2026-05-01T00:00:00.000Z</x:v>
      </x:c>
      <x:c r="D2253" s="34" t="str">
        <x:v>0001</x:v>
      </x:c>
      <x:c r="E2253" s="7" t="str">
        <x:v>East</x:v>
      </x:c>
      <x:c r="F2253" s="7" t="n">
        <x:v>4</x:v>
      </x:c>
      <x:c r="G2253" s="7" t="n">
        <x:v>160</x:v>
      </x:c>
      <x:c r="H2253" s="9" t="n">
        <x:v>0.02</x:v>
      </x:c>
      <x:c r="I2253" s="7" t="n">
        <x:v>627.2</x:v>
      </x:c>
    </x:row>
    <x:row r="2254" ht="23" customHeight="1">
      <x:c r="A2254" s="7" t="str">
        <x:v>INV02249</x:v>
      </x:c>
      <x:c r="B2254" s="15" t="d">
        <x:v>2026-05-09T00:00:00.000Z</x:v>
      </x:c>
      <x:c r="C2254" s="14" t="d">
        <x:v>2026-05-01T00:00:00.000Z</x:v>
      </x:c>
      <x:c r="D2254" s="34" t="str">
        <x:v>0002</x:v>
      </x:c>
      <x:c r="E2254" s="7" t="str">
        <x:v>East</x:v>
      </x:c>
      <x:c r="F2254" s="7" t="n">
        <x:v>1</x:v>
      </x:c>
      <x:c r="G2254" s="7" t="n">
        <x:v>180</x:v>
      </x:c>
      <x:c r="H2254" s="9" t="n">
        <x:v>0.05</x:v>
      </x:c>
      <x:c r="I2254" s="7" t="n">
        <x:v>171</x:v>
      </x:c>
    </x:row>
    <x:row r="2255" ht="23" customHeight="1">
      <x:c r="A2255" s="7" t="str">
        <x:v>INV02250</x:v>
      </x:c>
      <x:c r="B2255" s="15" t="d">
        <x:v>2026-05-10T00:00:00.000Z</x:v>
      </x:c>
      <x:c r="C2255" s="14" t="d">
        <x:v>2026-05-01T00:00:00.000Z</x:v>
      </x:c>
      <x:c r="D2255" s="34" t="str">
        <x:v>0003</x:v>
      </x:c>
      <x:c r="E2255" s="7" t="str">
        <x:v>East</x:v>
      </x:c>
      <x:c r="F2255" s="7" t="n">
        <x:v>1</x:v>
      </x:c>
      <x:c r="G2255" s="7" t="n">
        <x:v>200</x:v>
      </x:c>
      <x:c r="H2255" s="9" t="n">
        <x:v>0</x:v>
      </x:c>
      <x:c r="I2255" s="7" t="n">
        <x:v>200</x:v>
      </x:c>
    </x:row>
    <x:row r="2256" ht="23" customHeight="1">
      <x:c r="A2256" s="7" t="str">
        <x:v>INV02251</x:v>
      </x:c>
      <x:c r="B2256" s="15" t="d">
        <x:v>2026-05-11T00:00:00.000Z</x:v>
      </x:c>
      <x:c r="C2256" s="14" t="d">
        <x:v>2026-05-01T00:00:00.000Z</x:v>
      </x:c>
      <x:c r="D2256" s="34" t="str">
        <x:v>0004</x:v>
      </x:c>
      <x:c r="E2256" s="7" t="str">
        <x:v>East</x:v>
      </x:c>
      <x:c r="F2256" s="7" t="n">
        <x:v>5</x:v>
      </x:c>
      <x:c r="G2256" s="7" t="n">
        <x:v>220</x:v>
      </x:c>
      <x:c r="H2256" s="9" t="n">
        <x:v>0.02</x:v>
      </x:c>
      <x:c r="I2256" s="7" t="n">
        <x:v>1078</x:v>
      </x:c>
    </x:row>
    <x:row r="2257" ht="23" customHeight="1">
      <x:c r="A2257" s="7" t="str">
        <x:v>INV02252</x:v>
      </x:c>
      <x:c r="B2257" s="15" t="d">
        <x:v>2026-05-12T00:00:00.000Z</x:v>
      </x:c>
      <x:c r="C2257" s="14" t="d">
        <x:v>2026-05-01T00:00:00.000Z</x:v>
      </x:c>
      <x:c r="D2257" s="34" t="str">
        <x:v>0005</x:v>
      </x:c>
      <x:c r="E2257" s="7" t="str">
        <x:v>East</x:v>
      </x:c>
      <x:c r="F2257" s="7" t="n">
        <x:v>7</x:v>
      </x:c>
      <x:c r="G2257" s="7" t="n">
        <x:v>240</x:v>
      </x:c>
      <x:c r="H2257" s="9" t="n">
        <x:v>0.05</x:v>
      </x:c>
      <x:c r="I2257" s="7" t="n">
        <x:v>1596</x:v>
      </x:c>
    </x:row>
    <x:row r="2258" ht="23" customHeight="1">
      <x:c r="A2258" s="7" t="str">
        <x:v>INV02253</x:v>
      </x:c>
      <x:c r="B2258" s="15" t="d">
        <x:v>2026-05-13T00:00:00.000Z</x:v>
      </x:c>
      <x:c r="C2258" s="14" t="d">
        <x:v>2026-05-01T00:00:00.000Z</x:v>
      </x:c>
      <x:c r="D2258" s="34" t="str">
        <x:v>0006</x:v>
      </x:c>
      <x:c r="E2258" s="7" t="str">
        <x:v>East</x:v>
      </x:c>
      <x:c r="F2258" s="7" t="n">
        <x:v>4</x:v>
      </x:c>
      <x:c r="G2258" s="7" t="n">
        <x:v>260</x:v>
      </x:c>
      <x:c r="H2258" s="9" t="n">
        <x:v>0</x:v>
      </x:c>
      <x:c r="I2258" s="7" t="n">
        <x:v>1040</x:v>
      </x:c>
    </x:row>
    <x:row r="2259" ht="23" customHeight="1">
      <x:c r="A2259" s="7" t="str">
        <x:v>INV02254</x:v>
      </x:c>
      <x:c r="B2259" s="15" t="d">
        <x:v>2026-05-14T00:00:00.000Z</x:v>
      </x:c>
      <x:c r="C2259" s="14" t="d">
        <x:v>2026-05-01T00:00:00.000Z</x:v>
      </x:c>
      <x:c r="D2259" s="34" t="str">
        <x:v>0007</x:v>
      </x:c>
      <x:c r="E2259" s="7" t="str">
        <x:v>East</x:v>
      </x:c>
      <x:c r="F2259" s="7" t="n">
        <x:v>4</x:v>
      </x:c>
      <x:c r="G2259" s="7" t="n">
        <x:v>280</x:v>
      </x:c>
      <x:c r="H2259" s="9" t="n">
        <x:v>0.02</x:v>
      </x:c>
      <x:c r="I2259" s="7" t="n">
        <x:v>1097.6</x:v>
      </x:c>
    </x:row>
    <x:row r="2260" ht="23" customHeight="1">
      <x:c r="A2260" s="7" t="str">
        <x:v>INV02255</x:v>
      </x:c>
      <x:c r="B2260" s="15" t="d">
        <x:v>2026-05-15T00:00:00.000Z</x:v>
      </x:c>
      <x:c r="C2260" s="14" t="d">
        <x:v>2026-05-01T00:00:00.000Z</x:v>
      </x:c>
      <x:c r="D2260" s="34" t="str">
        <x:v>0008</x:v>
      </x:c>
      <x:c r="E2260" s="7" t="str">
        <x:v>East</x:v>
      </x:c>
      <x:c r="F2260" s="7" t="n">
        <x:v>-2</x:v>
      </x:c>
      <x:c r="G2260" s="7" t="n">
        <x:v>300</x:v>
      </x:c>
      <x:c r="H2260" s="9" t="n">
        <x:v>0.05</x:v>
      </x:c>
      <x:c r="I2260" s="7" t="n">
        <x:v>-570</x:v>
      </x:c>
    </x:row>
    <x:row r="2261" ht="23" customHeight="1">
      <x:c r="A2261" s="7" t="str">
        <x:v>INV02256</x:v>
      </x:c>
      <x:c r="B2261" s="15" t="d">
        <x:v>2026-05-16T00:00:00.000Z</x:v>
      </x:c>
      <x:c r="C2261" s="14" t="d">
        <x:v>2026-05-01T00:00:00.000Z</x:v>
      </x:c>
      <x:c r="D2261" s="34" t="str">
        <x:v>0001</x:v>
      </x:c>
      <x:c r="E2261" s="7" t="str">
        <x:v>West</x:v>
      </x:c>
      <x:c r="F2261" s="7" t="n">
        <x:v>2</x:v>
      </x:c>
      <x:c r="G2261" s="7" t="n">
        <x:v>160</x:v>
      </x:c>
      <x:c r="H2261" s="9" t="n">
        <x:v>0</x:v>
      </x:c>
      <x:c r="I2261" s="7" t="n">
        <x:v>320</x:v>
      </x:c>
    </x:row>
    <x:row r="2262" ht="23" customHeight="1">
      <x:c r="A2262" s="7" t="str">
        <x:v>INV02257</x:v>
      </x:c>
      <x:c r="B2262" s="15" t="d">
        <x:v>2026-05-17T00:00:00.000Z</x:v>
      </x:c>
      <x:c r="C2262" s="14" t="d">
        <x:v>2026-05-01T00:00:00.000Z</x:v>
      </x:c>
      <x:c r="D2262" s="34" t="str">
        <x:v>0002</x:v>
      </x:c>
      <x:c r="E2262" s="7" t="str">
        <x:v>West</x:v>
      </x:c>
      <x:c r="F2262" s="7" t="n">
        <x:v>4</x:v>
      </x:c>
      <x:c r="G2262" s="7" t="n">
        <x:v>180</x:v>
      </x:c>
      <x:c r="H2262" s="9" t="n">
        <x:v>0.02</x:v>
      </x:c>
      <x:c r="I2262" s="7" t="n">
        <x:v>705.6</x:v>
      </x:c>
    </x:row>
    <x:row r="2263" ht="23" customHeight="1">
      <x:c r="A2263" s="7" t="str">
        <x:v>INV02258</x:v>
      </x:c>
      <x:c r="B2263" s="15" t="d">
        <x:v>2026-05-18T00:00:00.000Z</x:v>
      </x:c>
      <x:c r="C2263" s="14" t="d">
        <x:v>2026-05-01T00:00:00.000Z</x:v>
      </x:c>
      <x:c r="D2263" s="34" t="str">
        <x:v>0003</x:v>
      </x:c>
      <x:c r="E2263" s="7" t="str">
        <x:v>West</x:v>
      </x:c>
      <x:c r="F2263" s="7" t="n">
        <x:v>7</x:v>
      </x:c>
      <x:c r="G2263" s="7" t="n">
        <x:v>200</x:v>
      </x:c>
      <x:c r="H2263" s="9" t="n">
        <x:v>0.05</x:v>
      </x:c>
      <x:c r="I2263" s="7" t="n">
        <x:v>1330</x:v>
      </x:c>
    </x:row>
    <x:row r="2264" ht="23" customHeight="1">
      <x:c r="A2264" s="7" t="str">
        <x:v>INV02259</x:v>
      </x:c>
      <x:c r="B2264" s="15" t="d">
        <x:v>2026-05-19T00:00:00.000Z</x:v>
      </x:c>
      <x:c r="C2264" s="14" t="d">
        <x:v>2026-05-01T00:00:00.000Z</x:v>
      </x:c>
      <x:c r="D2264" s="34" t="str">
        <x:v>0004</x:v>
      </x:c>
      <x:c r="E2264" s="7" t="str">
        <x:v>West</x:v>
      </x:c>
      <x:c r="F2264" s="7" t="n">
        <x:v>4</x:v>
      </x:c>
      <x:c r="G2264" s="7" t="n">
        <x:v>220</x:v>
      </x:c>
      <x:c r="H2264" s="9" t="n">
        <x:v>0</x:v>
      </x:c>
      <x:c r="I2264" s="7" t="n">
        <x:v>880</x:v>
      </x:c>
    </x:row>
    <x:row r="2265" ht="23" customHeight="1">
      <x:c r="A2265" s="7" t="str">
        <x:v>INV02260</x:v>
      </x:c>
      <x:c r="B2265" s="15" t="d">
        <x:v>2026-05-20T00:00:00.000Z</x:v>
      </x:c>
      <x:c r="C2265" s="14" t="d">
        <x:v>2026-05-01T00:00:00.000Z</x:v>
      </x:c>
      <x:c r="D2265" s="34" t="str">
        <x:v>0005</x:v>
      </x:c>
      <x:c r="E2265" s="7" t="str">
        <x:v>West</x:v>
      </x:c>
      <x:c r="F2265" s="7" t="n">
        <x:v>1</x:v>
      </x:c>
      <x:c r="G2265" s="7" t="n">
        <x:v>240</x:v>
      </x:c>
      <x:c r="H2265" s="9" t="n">
        <x:v>0.02</x:v>
      </x:c>
      <x:c r="I2265" s="7" t="n">
        <x:v>235.2</x:v>
      </x:c>
    </x:row>
    <x:row r="2266" ht="23" customHeight="1">
      <x:c r="A2266" s="7" t="str">
        <x:v>INV02261</x:v>
      </x:c>
      <x:c r="B2266" s="15" t="d">
        <x:v>2026-05-21T00:00:00.000Z</x:v>
      </x:c>
      <x:c r="C2266" s="14" t="d">
        <x:v>2026-05-01T00:00:00.000Z</x:v>
      </x:c>
      <x:c r="D2266" s="34" t="str">
        <x:v>0006</x:v>
      </x:c>
      <x:c r="E2266" s="7" t="str">
        <x:v>West</x:v>
      </x:c>
      <x:c r="F2266" s="7" t="n">
        <x:v>2</x:v>
      </x:c>
      <x:c r="G2266" s="7" t="n">
        <x:v>260</x:v>
      </x:c>
      <x:c r="H2266" s="9" t="n">
        <x:v>0.05</x:v>
      </x:c>
      <x:c r="I2266" s="7" t="n">
        <x:v>494</x:v>
      </x:c>
    </x:row>
    <x:row r="2267" ht="23" customHeight="1">
      <x:c r="A2267" s="7" t="str">
        <x:v>INV02262</x:v>
      </x:c>
      <x:c r="B2267" s="15" t="d">
        <x:v>2026-05-22T00:00:00.000Z</x:v>
      </x:c>
      <x:c r="C2267" s="14" t="d">
        <x:v>2026-05-01T00:00:00.000Z</x:v>
      </x:c>
      <x:c r="D2267" s="34" t="str">
        <x:v>0007</x:v>
      </x:c>
      <x:c r="E2267" s="7" t="str">
        <x:v>West</x:v>
      </x:c>
      <x:c r="F2267" s="7" t="n">
        <x:v>1</x:v>
      </x:c>
      <x:c r="G2267" s="7" t="n">
        <x:v>280</x:v>
      </x:c>
      <x:c r="H2267" s="9" t="n">
        <x:v>0</x:v>
      </x:c>
      <x:c r="I2267" s="7" t="n">
        <x:v>280</x:v>
      </x:c>
    </x:row>
    <x:row r="2268" ht="23" customHeight="1">
      <x:c r="A2268" s="7" t="str">
        <x:v>INV02263</x:v>
      </x:c>
      <x:c r="B2268" s="15" t="d">
        <x:v>2026-05-23T00:00:00.000Z</x:v>
      </x:c>
      <x:c r="C2268" s="14" t="d">
        <x:v>2026-05-01T00:00:00.000Z</x:v>
      </x:c>
      <x:c r="D2268" s="34" t="str">
        <x:v>0008</x:v>
      </x:c>
      <x:c r="E2268" s="7" t="str">
        <x:v>West</x:v>
      </x:c>
      <x:c r="F2268" s="7" t="n">
        <x:v>1</x:v>
      </x:c>
      <x:c r="G2268" s="7" t="n">
        <x:v>300</x:v>
      </x:c>
      <x:c r="H2268" s="9" t="n">
        <x:v>0.02</x:v>
      </x:c>
      <x:c r="I2268" s="7" t="n">
        <x:v>294</x:v>
      </x:c>
    </x:row>
    <x:row r="2269" ht="23" customHeight="1">
      <x:c r="A2269" s="7" t="str">
        <x:v>INV02264</x:v>
      </x:c>
      <x:c r="B2269" s="15" t="d">
        <x:v>2026-05-24T00:00:00.000Z</x:v>
      </x:c>
      <x:c r="C2269" s="14" t="d">
        <x:v>2026-05-01T00:00:00.000Z</x:v>
      </x:c>
      <x:c r="D2269" s="34" t="str">
        <x:v>0001</x:v>
      </x:c>
      <x:c r="E2269" s="7" t="str">
        <x:v>North</x:v>
      </x:c>
      <x:c r="F2269" s="7" t="n">
        <x:v>1</x:v>
      </x:c>
      <x:c r="G2269" s="7" t="n">
        <x:v>160</x:v>
      </x:c>
      <x:c r="H2269" s="9" t="n">
        <x:v>0.05</x:v>
      </x:c>
      <x:c r="I2269" s="7" t="n">
        <x:v>152</x:v>
      </x:c>
    </x:row>
    <x:row r="2270" ht="23" customHeight="1">
      <x:c r="A2270" s="7" t="str">
        <x:v>INV02265</x:v>
      </x:c>
      <x:c r="B2270" s="15" t="d">
        <x:v>2026-05-25T00:00:00.000Z</x:v>
      </x:c>
      <x:c r="C2270" s="14" t="d">
        <x:v>2026-05-01T00:00:00.000Z</x:v>
      </x:c>
      <x:c r="D2270" s="34" t="str">
        <x:v>0002</x:v>
      </x:c>
      <x:c r="E2270" s="7" t="str">
        <x:v>North</x:v>
      </x:c>
      <x:c r="F2270" s="7" t="n">
        <x:v>6</x:v>
      </x:c>
      <x:c r="G2270" s="7" t="n">
        <x:v>180</x:v>
      </x:c>
      <x:c r="H2270" s="9" t="n">
        <x:v>0</x:v>
      </x:c>
      <x:c r="I2270" s="7" t="n">
        <x:v>1080</x:v>
      </x:c>
    </x:row>
    <x:row r="2271" ht="23" customHeight="1">
      <x:c r="A2271" s="7" t="str">
        <x:v>INV02266</x:v>
      </x:c>
      <x:c r="B2271" s="15" t="d">
        <x:v>2026-05-26T00:00:00.000Z</x:v>
      </x:c>
      <x:c r="C2271" s="14" t="d">
        <x:v>2026-05-01T00:00:00.000Z</x:v>
      </x:c>
      <x:c r="D2271" s="34" t="str">
        <x:v>0003</x:v>
      </x:c>
      <x:c r="E2271" s="7" t="str">
        <x:v>North</x:v>
      </x:c>
      <x:c r="F2271" s="7" t="n">
        <x:v>6</x:v>
      </x:c>
      <x:c r="G2271" s="7" t="n">
        <x:v>200</x:v>
      </x:c>
      <x:c r="H2271" s="9" t="n">
        <x:v>0.02</x:v>
      </x:c>
      <x:c r="I2271" s="7" t="n">
        <x:v>1176</x:v>
      </x:c>
    </x:row>
    <x:row r="2272" ht="23" customHeight="1">
      <x:c r="A2272" s="7" t="str">
        <x:v>INV02267</x:v>
      </x:c>
      <x:c r="B2272" s="15" t="d">
        <x:v>2026-05-27T00:00:00.000Z</x:v>
      </x:c>
      <x:c r="C2272" s="14" t="d">
        <x:v>2026-05-01T00:00:00.000Z</x:v>
      </x:c>
      <x:c r="D2272" s="34" t="str">
        <x:v>0004</x:v>
      </x:c>
      <x:c r="E2272" s="7" t="str">
        <x:v>North</x:v>
      </x:c>
      <x:c r="F2272" s="7" t="n">
        <x:v>5</x:v>
      </x:c>
      <x:c r="G2272" s="7" t="n">
        <x:v>220</x:v>
      </x:c>
      <x:c r="H2272" s="9" t="n">
        <x:v>0.05</x:v>
      </x:c>
      <x:c r="I2272" s="7" t="n">
        <x:v>1045</x:v>
      </x:c>
    </x:row>
    <x:row r="2273" ht="23" customHeight="1">
      <x:c r="A2273" s="7" t="str">
        <x:v>INV02268</x:v>
      </x:c>
      <x:c r="B2273" s="15" t="d">
        <x:v>2026-05-01T00:00:00.000Z</x:v>
      </x:c>
      <x:c r="C2273" s="14" t="d">
        <x:v>2026-05-01T00:00:00.000Z</x:v>
      </x:c>
      <x:c r="D2273" s="34" t="str">
        <x:v>0005</x:v>
      </x:c>
      <x:c r="E2273" s="7" t="str">
        <x:v>North</x:v>
      </x:c>
      <x:c r="F2273" s="7" t="n">
        <x:v>2</x:v>
      </x:c>
      <x:c r="G2273" s="7" t="n">
        <x:v>240</x:v>
      </x:c>
      <x:c r="H2273" s="9" t="n">
        <x:v>0</x:v>
      </x:c>
      <x:c r="I2273" s="7" t="n">
        <x:v>480</x:v>
      </x:c>
    </x:row>
    <x:row r="2274" ht="23" customHeight="1">
      <x:c r="A2274" s="7" t="str">
        <x:v>INV02269</x:v>
      </x:c>
      <x:c r="B2274" s="15" t="d">
        <x:v>2026-05-02T00:00:00.000Z</x:v>
      </x:c>
      <x:c r="C2274" s="14" t="d">
        <x:v>2026-05-01T00:00:00.000Z</x:v>
      </x:c>
      <x:c r="D2274" s="34" t="str">
        <x:v>0006</x:v>
      </x:c>
      <x:c r="E2274" s="7" t="str">
        <x:v>North</x:v>
      </x:c>
      <x:c r="F2274" s="7" t="n">
        <x:v>4</x:v>
      </x:c>
      <x:c r="G2274" s="7" t="n">
        <x:v>260</x:v>
      </x:c>
      <x:c r="H2274" s="9" t="n">
        <x:v>0.02</x:v>
      </x:c>
      <x:c r="I2274" s="7" t="n">
        <x:v>1019.2</x:v>
      </x:c>
    </x:row>
    <x:row r="2275" ht="23" customHeight="1">
      <x:c r="A2275" s="7" t="str">
        <x:v>INV02270</x:v>
      </x:c>
      <x:c r="B2275" s="15" t="d">
        <x:v>2026-05-03T00:00:00.000Z</x:v>
      </x:c>
      <x:c r="C2275" s="14" t="d">
        <x:v>2026-05-01T00:00:00.000Z</x:v>
      </x:c>
      <x:c r="D2275" s="34" t="str">
        <x:v>0007</x:v>
      </x:c>
      <x:c r="E2275" s="7" t="str">
        <x:v>North</x:v>
      </x:c>
      <x:c r="F2275" s="7" t="n">
        <x:v>4</x:v>
      </x:c>
      <x:c r="G2275" s="7" t="n">
        <x:v>280</x:v>
      </x:c>
      <x:c r="H2275" s="9" t="n">
        <x:v>0.05</x:v>
      </x:c>
      <x:c r="I2275" s="7" t="n">
        <x:v>1064</x:v>
      </x:c>
    </x:row>
    <x:row r="2276" ht="23" customHeight="1">
      <x:c r="A2276" s="7" t="str">
        <x:v>INV02271</x:v>
      </x:c>
      <x:c r="B2276" s="15" t="d">
        <x:v>2026-05-04T00:00:00.000Z</x:v>
      </x:c>
      <x:c r="C2276" s="14" t="d">
        <x:v>2026-05-01T00:00:00.000Z</x:v>
      </x:c>
      <x:c r="D2276" s="34" t="str">
        <x:v>0008</x:v>
      </x:c>
      <x:c r="E2276" s="7" t="str">
        <x:v>North</x:v>
      </x:c>
      <x:c r="F2276" s="7" t="n">
        <x:v>4</x:v>
      </x:c>
      <x:c r="G2276" s="7" t="n">
        <x:v>300</x:v>
      </x:c>
      <x:c r="H2276" s="9" t="n">
        <x:v>0</x:v>
      </x:c>
      <x:c r="I2276" s="7" t="n">
        <x:v>1200</x:v>
      </x:c>
    </x:row>
    <x:row r="2277" ht="23" customHeight="1">
      <x:c r="A2277" s="7" t="str">
        <x:v>INV02272</x:v>
      </x:c>
      <x:c r="B2277" s="15" t="d">
        <x:v>2026-06-05T00:00:00.000Z</x:v>
      </x:c>
      <x:c r="C2277" s="14" t="d">
        <x:v>2026-06-01T00:00:00.000Z</x:v>
      </x:c>
      <x:c r="D2277" s="34" t="str">
        <x:v>0001</x:v>
      </x:c>
      <x:c r="E2277" s="7" t="str">
        <x:v>Central</x:v>
      </x:c>
      <x:c r="F2277" s="7" t="n">
        <x:v>1</x:v>
      </x:c>
      <x:c r="G2277" s="7" t="n">
        <x:v>160</x:v>
      </x:c>
      <x:c r="H2277" s="9" t="n">
        <x:v>0.02</x:v>
      </x:c>
      <x:c r="I2277" s="7" t="n">
        <x:v>156.8</x:v>
      </x:c>
    </x:row>
    <x:row r="2278" ht="23" customHeight="1">
      <x:c r="A2278" s="7" t="str">
        <x:v>INV02273</x:v>
      </x:c>
      <x:c r="B2278" s="15" t="d">
        <x:v>2026-06-06T00:00:00.000Z</x:v>
      </x:c>
      <x:c r="C2278" s="14" t="d">
        <x:v>2026-06-01T00:00:00.000Z</x:v>
      </x:c>
      <x:c r="D2278" s="34" t="str">
        <x:v>0002</x:v>
      </x:c>
      <x:c r="E2278" s="7" t="str">
        <x:v>Central</x:v>
      </x:c>
      <x:c r="F2278" s="7" t="n">
        <x:v>4</x:v>
      </x:c>
      <x:c r="G2278" s="7" t="n">
        <x:v>180</x:v>
      </x:c>
      <x:c r="H2278" s="9" t="n">
        <x:v>0.05</x:v>
      </x:c>
      <x:c r="I2278" s="7" t="n">
        <x:v>684</x:v>
      </x:c>
    </x:row>
    <x:row r="2279" ht="23" customHeight="1">
      <x:c r="A2279" s="7" t="str">
        <x:v>INV02274</x:v>
      </x:c>
      <x:c r="B2279" s="15" t="d">
        <x:v>2026-06-07T00:00:00.000Z</x:v>
      </x:c>
      <x:c r="C2279" s="14" t="d">
        <x:v>2026-06-01T00:00:00.000Z</x:v>
      </x:c>
      <x:c r="D2279" s="34" t="str">
        <x:v>0003</x:v>
      </x:c>
      <x:c r="E2279" s="7" t="str">
        <x:v>Central</x:v>
      </x:c>
      <x:c r="F2279" s="7" t="n">
        <x:v>1</x:v>
      </x:c>
      <x:c r="G2279" s="7" t="n">
        <x:v>200</x:v>
      </x:c>
      <x:c r="H2279" s="9" t="n">
        <x:v>0</x:v>
      </x:c>
      <x:c r="I2279" s="7" t="n">
        <x:v>200</x:v>
      </x:c>
    </x:row>
    <x:row r="2280" ht="23" customHeight="1">
      <x:c r="A2280" s="7" t="str">
        <x:v>INV02275</x:v>
      </x:c>
      <x:c r="B2280" s="15" t="d">
        <x:v>2026-06-08T00:00:00.000Z</x:v>
      </x:c>
      <x:c r="C2280" s="14" t="d">
        <x:v>2026-06-01T00:00:00.000Z</x:v>
      </x:c>
      <x:c r="D2280" s="34" t="str">
        <x:v>0004</x:v>
      </x:c>
      <x:c r="E2280" s="7" t="str">
        <x:v>Central</x:v>
      </x:c>
      <x:c r="F2280" s="7" t="n">
        <x:v>5</x:v>
      </x:c>
      <x:c r="G2280" s="7" t="n">
        <x:v>220</x:v>
      </x:c>
      <x:c r="H2280" s="9" t="n">
        <x:v>0.02</x:v>
      </x:c>
      <x:c r="I2280" s="7" t="n">
        <x:v>1078</x:v>
      </x:c>
    </x:row>
    <x:row r="2281" ht="23" customHeight="1">
      <x:c r="A2281" s="7" t="str">
        <x:v>INV02276</x:v>
      </x:c>
      <x:c r="B2281" s="15" t="d">
        <x:v>2026-06-09T00:00:00.000Z</x:v>
      </x:c>
      <x:c r="C2281" s="14" t="d">
        <x:v>2026-06-01T00:00:00.000Z</x:v>
      </x:c>
      <x:c r="D2281" s="34" t="str">
        <x:v>0005</x:v>
      </x:c>
      <x:c r="E2281" s="7" t="str">
        <x:v>Central</x:v>
      </x:c>
      <x:c r="F2281" s="7" t="n">
        <x:v>5</x:v>
      </x:c>
      <x:c r="G2281" s="7" t="n">
        <x:v>240</x:v>
      </x:c>
      <x:c r="H2281" s="9" t="n">
        <x:v>0.05</x:v>
      </x:c>
      <x:c r="I2281" s="7" t="n">
        <x:v>1140</x:v>
      </x:c>
    </x:row>
    <x:row r="2282" ht="23" customHeight="1">
      <x:c r="A2282" s="7" t="str">
        <x:v>INV02277</x:v>
      </x:c>
      <x:c r="B2282" s="15" t="d">
        <x:v>2026-06-10T00:00:00.000Z</x:v>
      </x:c>
      <x:c r="C2282" s="14" t="d">
        <x:v>2026-06-01T00:00:00.000Z</x:v>
      </x:c>
      <x:c r="D2282" s="34" t="str">
        <x:v>0006</x:v>
      </x:c>
      <x:c r="E2282" s="7" t="str">
        <x:v>Central</x:v>
      </x:c>
      <x:c r="F2282" s="7" t="n">
        <x:v>4</x:v>
      </x:c>
      <x:c r="G2282" s="7" t="n">
        <x:v>260</x:v>
      </x:c>
      <x:c r="H2282" s="9" t="n">
        <x:v>0</x:v>
      </x:c>
      <x:c r="I2282" s="7" t="n">
        <x:v>1040</x:v>
      </x:c>
    </x:row>
    <x:row r="2283" ht="23" customHeight="1">
      <x:c r="A2283" s="7" t="str">
        <x:v>INV02278</x:v>
      </x:c>
      <x:c r="B2283" s="15" t="d">
        <x:v>2026-06-11T00:00:00.000Z</x:v>
      </x:c>
      <x:c r="C2283" s="14" t="d">
        <x:v>2026-06-01T00:00:00.000Z</x:v>
      </x:c>
      <x:c r="D2283" s="34" t="str">
        <x:v>0007</x:v>
      </x:c>
      <x:c r="E2283" s="7" t="str">
        <x:v>Central</x:v>
      </x:c>
      <x:c r="F2283" s="7" t="n">
        <x:v>2</x:v>
      </x:c>
      <x:c r="G2283" s="7" t="n">
        <x:v>280</x:v>
      </x:c>
      <x:c r="H2283" s="9" t="n">
        <x:v>0.02</x:v>
      </x:c>
      <x:c r="I2283" s="7" t="n">
        <x:v>548.8</x:v>
      </x:c>
    </x:row>
    <x:row r="2284" ht="23" customHeight="1">
      <x:c r="A2284" s="7" t="str">
        <x:v>INV02279</x:v>
      </x:c>
      <x:c r="B2284" s="15" t="d">
        <x:v>2026-06-12T00:00:00.000Z</x:v>
      </x:c>
      <x:c r="C2284" s="14" t="d">
        <x:v>2026-06-01T00:00:00.000Z</x:v>
      </x:c>
      <x:c r="D2284" s="34" t="str">
        <x:v>0008</x:v>
      </x:c>
      <x:c r="E2284" s="7" t="str">
        <x:v>Central</x:v>
      </x:c>
      <x:c r="F2284" s="7" t="n">
        <x:v>1</x:v>
      </x:c>
      <x:c r="G2284" s="7" t="n">
        <x:v>300</x:v>
      </x:c>
      <x:c r="H2284" s="9" t="n">
        <x:v>0.05</x:v>
      </x:c>
      <x:c r="I2284" s="7" t="n">
        <x:v>285</x:v>
      </x:c>
    </x:row>
    <x:row r="2285" ht="23" customHeight="1">
      <x:c r="A2285" s="7" t="str">
        <x:v>INV02280</x:v>
      </x:c>
      <x:c r="B2285" s="15" t="d">
        <x:v>2026-06-13T00:00:00.000Z</x:v>
      </x:c>
      <x:c r="C2285" s="14" t="d">
        <x:v>2026-06-01T00:00:00.000Z</x:v>
      </x:c>
      <x:c r="D2285" s="34" t="str">
        <x:v>0001</x:v>
      </x:c>
      <x:c r="E2285" s="7" t="str">
        <x:v>East</x:v>
      </x:c>
      <x:c r="F2285" s="7" t="n">
        <x:v>5</x:v>
      </x:c>
      <x:c r="G2285" s="7" t="n">
        <x:v>160</x:v>
      </x:c>
      <x:c r="H2285" s="9" t="n">
        <x:v>0</x:v>
      </x:c>
      <x:c r="I2285" s="7" t="n">
        <x:v>800</x:v>
      </x:c>
    </x:row>
    <x:row r="2286" ht="23" customHeight="1">
      <x:c r="A2286" s="7" t="str">
        <x:v>INV02281</x:v>
      </x:c>
      <x:c r="B2286" s="15" t="d">
        <x:v>2026-06-14T00:00:00.000Z</x:v>
      </x:c>
      <x:c r="C2286" s="14" t="d">
        <x:v>2026-06-01T00:00:00.000Z</x:v>
      </x:c>
      <x:c r="D2286" s="34" t="str">
        <x:v>0002</x:v>
      </x:c>
      <x:c r="E2286" s="7" t="str">
        <x:v>East</x:v>
      </x:c>
      <x:c r="F2286" s="7" t="n">
        <x:v>5</x:v>
      </x:c>
      <x:c r="G2286" s="7" t="n">
        <x:v>180</x:v>
      </x:c>
      <x:c r="H2286" s="9" t="n">
        <x:v>0.02</x:v>
      </x:c>
      <x:c r="I2286" s="7" t="n">
        <x:v>882</x:v>
      </x:c>
    </x:row>
    <x:row r="2287" ht="23" customHeight="1">
      <x:c r="A2287" s="7" t="str">
        <x:v>INV02282</x:v>
      </x:c>
      <x:c r="B2287" s="15" t="d">
        <x:v>2026-06-15T00:00:00.000Z</x:v>
      </x:c>
      <x:c r="C2287" s="14" t="d">
        <x:v>2026-06-01T00:00:00.000Z</x:v>
      </x:c>
      <x:c r="D2287" s="34" t="str">
        <x:v>0003</x:v>
      </x:c>
      <x:c r="E2287" s="7" t="str">
        <x:v>East</x:v>
      </x:c>
      <x:c r="F2287" s="7" t="n">
        <x:v>6</x:v>
      </x:c>
      <x:c r="G2287" s="7" t="n">
        <x:v>200</x:v>
      </x:c>
      <x:c r="H2287" s="9" t="n">
        <x:v>0.05</x:v>
      </x:c>
      <x:c r="I2287" s="7" t="n">
        <x:v>1140</x:v>
      </x:c>
    </x:row>
    <x:row r="2288" ht="23" customHeight="1">
      <x:c r="A2288" s="7" t="str">
        <x:v>INV02283</x:v>
      </x:c>
      <x:c r="B2288" s="15" t="d">
        <x:v>2026-06-16T00:00:00.000Z</x:v>
      </x:c>
      <x:c r="C2288" s="14" t="d">
        <x:v>2026-06-01T00:00:00.000Z</x:v>
      </x:c>
      <x:c r="D2288" s="34" t="str">
        <x:v>0004</x:v>
      </x:c>
      <x:c r="E2288" s="7" t="str">
        <x:v>East</x:v>
      </x:c>
      <x:c r="F2288" s="7" t="n">
        <x:v>5</x:v>
      </x:c>
      <x:c r="G2288" s="7" t="n">
        <x:v>220</x:v>
      </x:c>
      <x:c r="H2288" s="9" t="n">
        <x:v>0</x:v>
      </x:c>
      <x:c r="I2288" s="7" t="n">
        <x:v>1100</x:v>
      </x:c>
    </x:row>
    <x:row r="2289" ht="23" customHeight="1">
      <x:c r="A2289" s="7" t="str">
        <x:v>INV02284</x:v>
      </x:c>
      <x:c r="B2289" s="15" t="d">
        <x:v>2026-06-17T00:00:00.000Z</x:v>
      </x:c>
      <x:c r="C2289" s="14" t="d">
        <x:v>2026-06-01T00:00:00.000Z</x:v>
      </x:c>
      <x:c r="D2289" s="34" t="str">
        <x:v>0005</x:v>
      </x:c>
      <x:c r="E2289" s="7" t="str">
        <x:v>East</x:v>
      </x:c>
      <x:c r="F2289" s="7" t="n">
        <x:v>5</x:v>
      </x:c>
      <x:c r="G2289" s="7" t="n">
        <x:v>240</x:v>
      </x:c>
      <x:c r="H2289" s="9" t="n">
        <x:v>0.02</x:v>
      </x:c>
      <x:c r="I2289" s="7" t="n">
        <x:v>1176</x:v>
      </x:c>
    </x:row>
    <x:row r="2290" ht="23" customHeight="1">
      <x:c r="A2290" s="7" t="str">
        <x:v>INV02285</x:v>
      </x:c>
      <x:c r="B2290" s="15" t="d">
        <x:v>2026-06-18T00:00:00.000Z</x:v>
      </x:c>
      <x:c r="C2290" s="14" t="d">
        <x:v>2026-06-01T00:00:00.000Z</x:v>
      </x:c>
      <x:c r="D2290" s="34" t="str">
        <x:v>0006</x:v>
      </x:c>
      <x:c r="E2290" s="7" t="str">
        <x:v>East</x:v>
      </x:c>
      <x:c r="F2290" s="7" t="n">
        <x:v>5</x:v>
      </x:c>
      <x:c r="G2290" s="7" t="n">
        <x:v>260</x:v>
      </x:c>
      <x:c r="H2290" s="9" t="n">
        <x:v>0.05</x:v>
      </x:c>
      <x:c r="I2290" s="7" t="n">
        <x:v>1235</x:v>
      </x:c>
    </x:row>
    <x:row r="2291" ht="23" customHeight="1">
      <x:c r="A2291" s="7" t="str">
        <x:v>INV02286</x:v>
      </x:c>
      <x:c r="B2291" s="15" t="d">
        <x:v>2026-06-19T00:00:00.000Z</x:v>
      </x:c>
      <x:c r="C2291" s="14" t="d">
        <x:v>2026-06-01T00:00:00.000Z</x:v>
      </x:c>
      <x:c r="D2291" s="34" t="str">
        <x:v>0007</x:v>
      </x:c>
      <x:c r="E2291" s="7" t="str">
        <x:v>East</x:v>
      </x:c>
      <x:c r="F2291" s="7" t="n">
        <x:v>1</x:v>
      </x:c>
      <x:c r="G2291" s="7" t="n">
        <x:v>280</x:v>
      </x:c>
      <x:c r="H2291" s="9" t="n">
        <x:v>0</x:v>
      </x:c>
      <x:c r="I2291" s="7" t="n">
        <x:v>280</x:v>
      </x:c>
    </x:row>
    <x:row r="2292" ht="23" customHeight="1">
      <x:c r="A2292" s="7" t="str">
        <x:v>INV02287</x:v>
      </x:c>
      <x:c r="B2292" s="15" t="d">
        <x:v>2026-06-20T00:00:00.000Z</x:v>
      </x:c>
      <x:c r="C2292" s="14" t="d">
        <x:v>2026-06-01T00:00:00.000Z</x:v>
      </x:c>
      <x:c r="D2292" s="34" t="str">
        <x:v>0008</x:v>
      </x:c>
      <x:c r="E2292" s="7" t="str">
        <x:v>East</x:v>
      </x:c>
      <x:c r="F2292" s="7" t="n">
        <x:v>7</x:v>
      </x:c>
      <x:c r="G2292" s="7" t="n">
        <x:v>300</x:v>
      </x:c>
      <x:c r="H2292" s="9" t="n">
        <x:v>0.02</x:v>
      </x:c>
      <x:c r="I2292" s="7" t="n">
        <x:v>2058</x:v>
      </x:c>
    </x:row>
    <x:row r="2293" ht="23" customHeight="1">
      <x:c r="A2293" s="7" t="str">
        <x:v>INV02288</x:v>
      </x:c>
      <x:c r="B2293" s="15" t="d">
        <x:v>2026-06-21T00:00:00.000Z</x:v>
      </x:c>
      <x:c r="C2293" s="14" t="d">
        <x:v>2026-06-01T00:00:00.000Z</x:v>
      </x:c>
      <x:c r="D2293" s="34" t="str">
        <x:v>0001</x:v>
      </x:c>
      <x:c r="E2293" s="7" t="str">
        <x:v>West</x:v>
      </x:c>
      <x:c r="F2293" s="7" t="n">
        <x:v>1</x:v>
      </x:c>
      <x:c r="G2293" s="7" t="n">
        <x:v>160</x:v>
      </x:c>
      <x:c r="H2293" s="9" t="n">
        <x:v>0.05</x:v>
      </x:c>
      <x:c r="I2293" s="7" t="n">
        <x:v>152</x:v>
      </x:c>
    </x:row>
    <x:row r="2294" ht="23" customHeight="1">
      <x:c r="A2294" s="7" t="str">
        <x:v>INV02289</x:v>
      </x:c>
      <x:c r="B2294" s="15" t="d">
        <x:v>2026-06-22T00:00:00.000Z</x:v>
      </x:c>
      <x:c r="C2294" s="14" t="d">
        <x:v>2026-06-01T00:00:00.000Z</x:v>
      </x:c>
      <x:c r="D2294" s="34" t="str">
        <x:v>0002</x:v>
      </x:c>
      <x:c r="E2294" s="7" t="str">
        <x:v>West</x:v>
      </x:c>
      <x:c r="F2294" s="7" t="n">
        <x:v>2</x:v>
      </x:c>
      <x:c r="G2294" s="7" t="n">
        <x:v>180</x:v>
      </x:c>
      <x:c r="H2294" s="9" t="n">
        <x:v>0</x:v>
      </x:c>
      <x:c r="I2294" s="7" t="n">
        <x:v>360</x:v>
      </x:c>
    </x:row>
    <x:row r="2295" ht="23" customHeight="1">
      <x:c r="A2295" s="7" t="str">
        <x:v>INV02290</x:v>
      </x:c>
      <x:c r="B2295" s="15" t="d">
        <x:v>2026-06-23T00:00:00.000Z</x:v>
      </x:c>
      <x:c r="C2295" s="14" t="d">
        <x:v>2026-06-01T00:00:00.000Z</x:v>
      </x:c>
      <x:c r="D2295" s="34" t="str">
        <x:v>0003</x:v>
      </x:c>
      <x:c r="E2295" s="7" t="str">
        <x:v>West</x:v>
      </x:c>
      <x:c r="F2295" s="7" t="n">
        <x:v>7</x:v>
      </x:c>
      <x:c r="G2295" s="7" t="n">
        <x:v>200</x:v>
      </x:c>
      <x:c r="H2295" s="9" t="n">
        <x:v>0.02</x:v>
      </x:c>
      <x:c r="I2295" s="7" t="n">
        <x:v>1372</x:v>
      </x:c>
    </x:row>
    <x:row r="2296" ht="23" customHeight="1">
      <x:c r="A2296" s="7" t="str">
        <x:v>INV02291</x:v>
      </x:c>
      <x:c r="B2296" s="15" t="d">
        <x:v>2026-06-24T00:00:00.000Z</x:v>
      </x:c>
      <x:c r="C2296" s="14" t="d">
        <x:v>2026-06-01T00:00:00.000Z</x:v>
      </x:c>
      <x:c r="D2296" s="34" t="str">
        <x:v>0004</x:v>
      </x:c>
      <x:c r="E2296" s="7" t="str">
        <x:v>West</x:v>
      </x:c>
      <x:c r="F2296" s="7" t="n">
        <x:v>7</x:v>
      </x:c>
      <x:c r="G2296" s="7" t="n">
        <x:v>220</x:v>
      </x:c>
      <x:c r="H2296" s="9" t="n">
        <x:v>0.05</x:v>
      </x:c>
      <x:c r="I2296" s="7" t="n">
        <x:v>1463</x:v>
      </x:c>
    </x:row>
    <x:row r="2297" ht="23" customHeight="1">
      <x:c r="A2297" s="7" t="str">
        <x:v>INV02292</x:v>
      </x:c>
      <x:c r="B2297" s="15" t="d">
        <x:v>2026-06-25T00:00:00.000Z</x:v>
      </x:c>
      <x:c r="C2297" s="14" t="d">
        <x:v>2026-06-01T00:00:00.000Z</x:v>
      </x:c>
      <x:c r="D2297" s="34" t="str">
        <x:v>0005</x:v>
      </x:c>
      <x:c r="E2297" s="7" t="str">
        <x:v>West</x:v>
      </x:c>
      <x:c r="F2297" s="7" t="n">
        <x:v>6</x:v>
      </x:c>
      <x:c r="G2297" s="7" t="n">
        <x:v>240</x:v>
      </x:c>
      <x:c r="H2297" s="9" t="n">
        <x:v>0</x:v>
      </x:c>
      <x:c r="I2297" s="7" t="n">
        <x:v>1440</x:v>
      </x:c>
    </x:row>
    <x:row r="2298" ht="23" customHeight="1">
      <x:c r="A2298" s="7" t="str">
        <x:v>INV02293</x:v>
      </x:c>
      <x:c r="B2298" s="15" t="d">
        <x:v>2026-06-26T00:00:00.000Z</x:v>
      </x:c>
      <x:c r="C2298" s="14" t="d">
        <x:v>2026-06-01T00:00:00.000Z</x:v>
      </x:c>
      <x:c r="D2298" s="34" t="str">
        <x:v>0006</x:v>
      </x:c>
      <x:c r="E2298" s="7" t="str">
        <x:v>West</x:v>
      </x:c>
      <x:c r="F2298" s="7" t="n">
        <x:v>5</x:v>
      </x:c>
      <x:c r="G2298" s="7" t="n">
        <x:v>260</x:v>
      </x:c>
      <x:c r="H2298" s="9" t="n">
        <x:v>0.02</x:v>
      </x:c>
      <x:c r="I2298" s="7" t="n">
        <x:v>1274</x:v>
      </x:c>
    </x:row>
    <x:row r="2299" ht="23" customHeight="1">
      <x:c r="A2299" s="7" t="str">
        <x:v>INV02294</x:v>
      </x:c>
      <x:c r="B2299" s="15" t="d">
        <x:v>2026-06-27T00:00:00.000Z</x:v>
      </x:c>
      <x:c r="C2299" s="14" t="d">
        <x:v>2026-06-01T00:00:00.000Z</x:v>
      </x:c>
      <x:c r="D2299" s="34" t="str">
        <x:v>0007</x:v>
      </x:c>
      <x:c r="E2299" s="7" t="str">
        <x:v>West</x:v>
      </x:c>
      <x:c r="F2299" s="7" t="n">
        <x:v>1</x:v>
      </x:c>
      <x:c r="G2299" s="7" t="n">
        <x:v>280</x:v>
      </x:c>
      <x:c r="H2299" s="9" t="n">
        <x:v>0.05</x:v>
      </x:c>
      <x:c r="I2299" s="7" t="n">
        <x:v>266</x:v>
      </x:c>
    </x:row>
    <x:row r="2300" ht="23" customHeight="1">
      <x:c r="A2300" s="7" t="str">
        <x:v>INV02295</x:v>
      </x:c>
      <x:c r="B2300" s="15" t="d">
        <x:v>2026-06-01T00:00:00.000Z</x:v>
      </x:c>
      <x:c r="C2300" s="14" t="d">
        <x:v>2026-06-01T00:00:00.000Z</x:v>
      </x:c>
      <x:c r="D2300" s="34" t="str">
        <x:v>0008</x:v>
      </x:c>
      <x:c r="E2300" s="7" t="str">
        <x:v>West</x:v>
      </x:c>
      <x:c r="F2300" s="7" t="n">
        <x:v>6</x:v>
      </x:c>
      <x:c r="G2300" s="7" t="n">
        <x:v>300</x:v>
      </x:c>
      <x:c r="H2300" s="9" t="n">
        <x:v>0</x:v>
      </x:c>
      <x:c r="I2300" s="7" t="n">
        <x:v>1800</x:v>
      </x:c>
    </x:row>
    <x:row r="2301" ht="23" customHeight="1">
      <x:c r="A2301" s="7" t="str">
        <x:v>INV02296</x:v>
      </x:c>
      <x:c r="B2301" s="15" t="d">
        <x:v>2026-06-02T00:00:00.000Z</x:v>
      </x:c>
      <x:c r="C2301" s="14" t="d">
        <x:v>2026-06-01T00:00:00.000Z</x:v>
      </x:c>
      <x:c r="D2301" s="34" t="str">
        <x:v>0001</x:v>
      </x:c>
      <x:c r="E2301" s="7" t="str">
        <x:v>North</x:v>
      </x:c>
      <x:c r="F2301" s="7" t="n">
        <x:v>-6</x:v>
      </x:c>
      <x:c r="G2301" s="7" t="n">
        <x:v>160</x:v>
      </x:c>
      <x:c r="H2301" s="9" t="n">
        <x:v>0.02</x:v>
      </x:c>
      <x:c r="I2301" s="7" t="n">
        <x:v>-940.8</x:v>
      </x:c>
    </x:row>
    <x:row r="2302" ht="23" customHeight="1">
      <x:c r="A2302" s="7" t="str">
        <x:v>INV02297</x:v>
      </x:c>
      <x:c r="B2302" s="15" t="d">
        <x:v>2026-06-03T00:00:00.000Z</x:v>
      </x:c>
      <x:c r="C2302" s="14" t="d">
        <x:v>2026-06-01T00:00:00.000Z</x:v>
      </x:c>
      <x:c r="D2302" s="34" t="str">
        <x:v>0002</x:v>
      </x:c>
      <x:c r="E2302" s="7" t="str">
        <x:v>North</x:v>
      </x:c>
      <x:c r="F2302" s="7" t="n">
        <x:v>2</x:v>
      </x:c>
      <x:c r="G2302" s="7" t="n">
        <x:v>180</x:v>
      </x:c>
      <x:c r="H2302" s="9" t="n">
        <x:v>0.05</x:v>
      </x:c>
      <x:c r="I2302" s="7" t="n">
        <x:v>342</x:v>
      </x:c>
    </x:row>
    <x:row r="2303" ht="23" customHeight="1">
      <x:c r="A2303" s="7" t="str">
        <x:v>INV02298</x:v>
      </x:c>
      <x:c r="B2303" s="15" t="d">
        <x:v>2026-06-04T00:00:00.000Z</x:v>
      </x:c>
      <x:c r="C2303" s="14" t="d">
        <x:v>2026-06-01T00:00:00.000Z</x:v>
      </x:c>
      <x:c r="D2303" s="34" t="str">
        <x:v>0003</x:v>
      </x:c>
      <x:c r="E2303" s="7" t="str">
        <x:v>North</x:v>
      </x:c>
      <x:c r="F2303" s="7" t="n">
        <x:v>6</x:v>
      </x:c>
      <x:c r="G2303" s="7" t="n">
        <x:v>200</x:v>
      </x:c>
      <x:c r="H2303" s="9" t="n">
        <x:v>0</x:v>
      </x:c>
      <x:c r="I2303" s="7" t="n">
        <x:v>1200</x:v>
      </x:c>
    </x:row>
    <x:row r="2304" ht="23" customHeight="1">
      <x:c r="A2304" s="7" t="str">
        <x:v>INV02299</x:v>
      </x:c>
      <x:c r="B2304" s="15" t="d">
        <x:v>2026-06-05T00:00:00.000Z</x:v>
      </x:c>
      <x:c r="C2304" s="14" t="d">
        <x:v>2026-06-01T00:00:00.000Z</x:v>
      </x:c>
      <x:c r="D2304" s="34" t="str">
        <x:v>0004</x:v>
      </x:c>
      <x:c r="E2304" s="7" t="str">
        <x:v>North</x:v>
      </x:c>
      <x:c r="F2304" s="7" t="n">
        <x:v>1</x:v>
      </x:c>
      <x:c r="G2304" s="7" t="n">
        <x:v>220</x:v>
      </x:c>
      <x:c r="H2304" s="9" t="n">
        <x:v>0.02</x:v>
      </x:c>
      <x:c r="I2304" s="7" t="n">
        <x:v>215.6</x:v>
      </x:c>
    </x:row>
    <x:row r="2305" ht="23" customHeight="1">
      <x:c r="A2305" s="7" t="str">
        <x:v>INV02300</x:v>
      </x:c>
      <x:c r="B2305" s="15" t="d">
        <x:v>2026-06-06T00:00:00.000Z</x:v>
      </x:c>
      <x:c r="C2305" s="14" t="d">
        <x:v>2026-06-01T00:00:00.000Z</x:v>
      </x:c>
      <x:c r="D2305" s="34" t="str">
        <x:v>0005</x:v>
      </x:c>
      <x:c r="E2305" s="7" t="str">
        <x:v>North</x:v>
      </x:c>
      <x:c r="F2305" s="7" t="n">
        <x:v>1</x:v>
      </x:c>
      <x:c r="G2305" s="7" t="n">
        <x:v>240</x:v>
      </x:c>
      <x:c r="H2305" s="9" t="n">
        <x:v>0.05</x:v>
      </x:c>
      <x:c r="I2305" s="7" t="n">
        <x:v>228</x:v>
      </x:c>
    </x:row>
    <x:row r="2306" ht="23" customHeight="1">
      <x:c r="A2306" s="7" t="str">
        <x:v>INV02301</x:v>
      </x:c>
      <x:c r="B2306" s="15" t="d">
        <x:v>2026-06-07T00:00:00.000Z</x:v>
      </x:c>
      <x:c r="C2306" s="14" t="d">
        <x:v>2026-06-01T00:00:00.000Z</x:v>
      </x:c>
      <x:c r="D2306" s="34" t="str">
        <x:v>0006</x:v>
      </x:c>
      <x:c r="E2306" s="7" t="str">
        <x:v>North</x:v>
      </x:c>
      <x:c r="F2306" s="7" t="n">
        <x:v>2</x:v>
      </x:c>
      <x:c r="G2306" s="7" t="n">
        <x:v>260</x:v>
      </x:c>
      <x:c r="H2306" s="9" t="n">
        <x:v>0</x:v>
      </x:c>
      <x:c r="I2306" s="7" t="n">
        <x:v>520</x:v>
      </x:c>
    </x:row>
    <x:row r="2307" ht="23" customHeight="1">
      <x:c r="A2307" s="7" t="str">
        <x:v>INV02302</x:v>
      </x:c>
      <x:c r="B2307" s="15" t="d">
        <x:v>2026-06-08T00:00:00.000Z</x:v>
      </x:c>
      <x:c r="C2307" s="14" t="d">
        <x:v>2026-06-01T00:00:00.000Z</x:v>
      </x:c>
      <x:c r="D2307" s="34" t="str">
        <x:v>0007</x:v>
      </x:c>
      <x:c r="E2307" s="7" t="str">
        <x:v>North</x:v>
      </x:c>
      <x:c r="F2307" s="7" t="n">
        <x:v>4</x:v>
      </x:c>
      <x:c r="G2307" s="7" t="n">
        <x:v>280</x:v>
      </x:c>
      <x:c r="H2307" s="9" t="n">
        <x:v>0.02</x:v>
      </x:c>
      <x:c r="I2307" s="7" t="n">
        <x:v>1097.6</x:v>
      </x:c>
    </x:row>
    <x:row r="2308" ht="23" customHeight="1">
      <x:c r="A2308" s="7" t="str">
        <x:v>INV02303</x:v>
      </x:c>
      <x:c r="B2308" s="15" t="d">
        <x:v>2026-06-09T00:00:00.000Z</x:v>
      </x:c>
      <x:c r="C2308" s="14" t="d">
        <x:v>2026-06-01T00:00:00.000Z</x:v>
      </x:c>
      <x:c r="D2308" s="34" t="str">
        <x:v>0008</x:v>
      </x:c>
      <x:c r="E2308" s="7" t="str">
        <x:v>North</x:v>
      </x:c>
      <x:c r="F2308" s="7" t="n">
        <x:v>5</x:v>
      </x:c>
      <x:c r="G2308" s="7" t="n">
        <x:v>300</x:v>
      </x:c>
      <x:c r="H2308" s="9" t="n">
        <x:v>0.05</x:v>
      </x:c>
      <x:c r="I2308" s="7" t="n">
        <x:v>1425</x:v>
      </x:c>
    </x:row>
    <x:row r="2309" ht="23" customHeight="1">
      <x:c r="A2309" s="7" t="str">
        <x:v>INV02304</x:v>
      </x:c>
      <x:c r="B2309" s="15" t="d">
        <x:v>2026-01-10T00:00:00.000Z</x:v>
      </x:c>
      <x:c r="C2309" s="14" t="d">
        <x:v>2026-01-01T00:00:00.000Z</x:v>
      </x:c>
      <x:c r="D2309" s="34" t="str">
        <x:v>0001</x:v>
      </x:c>
      <x:c r="E2309" s="7" t="str">
        <x:v>Central</x:v>
      </x:c>
      <x:c r="F2309" s="7" t="n">
        <x:v>1</x:v>
      </x:c>
      <x:c r="G2309" s="7" t="n">
        <x:v>160</x:v>
      </x:c>
      <x:c r="H2309" s="9" t="n">
        <x:v>0</x:v>
      </x:c>
      <x:c r="I2309" s="7" t="n">
        <x:v>160</x:v>
      </x:c>
    </x:row>
    <x:row r="2310" ht="23" customHeight="1">
      <x:c r="A2310" s="7" t="str">
        <x:v>INV02305</x:v>
      </x:c>
      <x:c r="B2310" s="15" t="d">
        <x:v>2026-01-11T00:00:00.000Z</x:v>
      </x:c>
      <x:c r="C2310" s="14" t="d">
        <x:v>2026-01-01T00:00:00.000Z</x:v>
      </x:c>
      <x:c r="D2310" s="34" t="str">
        <x:v>0002</x:v>
      </x:c>
      <x:c r="E2310" s="7" t="str">
        <x:v>Central</x:v>
      </x:c>
      <x:c r="F2310" s="7" t="n">
        <x:v>4</x:v>
      </x:c>
      <x:c r="G2310" s="7" t="n">
        <x:v>180</x:v>
      </x:c>
      <x:c r="H2310" s="9" t="n">
        <x:v>0.02</x:v>
      </x:c>
      <x:c r="I2310" s="7" t="n">
        <x:v>705.6</x:v>
      </x:c>
    </x:row>
    <x:row r="2311" ht="23" customHeight="1">
      <x:c r="A2311" s="7" t="str">
        <x:v>INV02306</x:v>
      </x:c>
      <x:c r="B2311" s="15" t="d">
        <x:v>2026-01-12T00:00:00.000Z</x:v>
      </x:c>
      <x:c r="C2311" s="14" t="d">
        <x:v>2026-01-01T00:00:00.000Z</x:v>
      </x:c>
      <x:c r="D2311" s="34" t="str">
        <x:v>0003</x:v>
      </x:c>
      <x:c r="E2311" s="7" t="str">
        <x:v>Central</x:v>
      </x:c>
      <x:c r="F2311" s="7" t="n">
        <x:v>5</x:v>
      </x:c>
      <x:c r="G2311" s="7" t="n">
        <x:v>200</x:v>
      </x:c>
      <x:c r="H2311" s="9" t="n">
        <x:v>0.05</x:v>
      </x:c>
      <x:c r="I2311" s="7" t="n">
        <x:v>950</x:v>
      </x:c>
    </x:row>
    <x:row r="2312" ht="23" customHeight="1">
      <x:c r="A2312" s="7" t="str">
        <x:v>INV02307</x:v>
      </x:c>
      <x:c r="B2312" s="15" t="d">
        <x:v>2026-01-13T00:00:00.000Z</x:v>
      </x:c>
      <x:c r="C2312" s="14" t="d">
        <x:v>2026-01-01T00:00:00.000Z</x:v>
      </x:c>
      <x:c r="D2312" s="34" t="str">
        <x:v>0004</x:v>
      </x:c>
      <x:c r="E2312" s="7" t="str">
        <x:v>Central</x:v>
      </x:c>
      <x:c r="F2312" s="7" t="n">
        <x:v>4</x:v>
      </x:c>
      <x:c r="G2312" s="7" t="n">
        <x:v>220</x:v>
      </x:c>
      <x:c r="H2312" s="9" t="n">
        <x:v>0</x:v>
      </x:c>
      <x:c r="I2312" s="7" t="n">
        <x:v>880</x:v>
      </x:c>
    </x:row>
    <x:row r="2313" ht="23" customHeight="1">
      <x:c r="A2313" s="7" t="str">
        <x:v>INV02308</x:v>
      </x:c>
      <x:c r="B2313" s="15" t="d">
        <x:v>2026-01-14T00:00:00.000Z</x:v>
      </x:c>
      <x:c r="C2313" s="14" t="d">
        <x:v>2026-01-01T00:00:00.000Z</x:v>
      </x:c>
      <x:c r="D2313" s="34" t="str">
        <x:v>0005</x:v>
      </x:c>
      <x:c r="E2313" s="7" t="str">
        <x:v>Central</x:v>
      </x:c>
      <x:c r="F2313" s="7" t="n">
        <x:v>2</x:v>
      </x:c>
      <x:c r="G2313" s="7" t="n">
        <x:v>240</x:v>
      </x:c>
      <x:c r="H2313" s="9" t="n">
        <x:v>0.02</x:v>
      </x:c>
      <x:c r="I2313" s="7" t="n">
        <x:v>470.4</x:v>
      </x:c>
    </x:row>
    <x:row r="2314" ht="23" customHeight="1">
      <x:c r="A2314" s="7" t="str">
        <x:v>INV02309</x:v>
      </x:c>
      <x:c r="B2314" s="15" t="d">
        <x:v>2026-01-15T00:00:00.000Z</x:v>
      </x:c>
      <x:c r="C2314" s="14" t="d">
        <x:v>2026-01-01T00:00:00.000Z</x:v>
      </x:c>
      <x:c r="D2314" s="34" t="str">
        <x:v>0006</x:v>
      </x:c>
      <x:c r="E2314" s="7" t="str">
        <x:v>Central</x:v>
      </x:c>
      <x:c r="F2314" s="7" t="n">
        <x:v>2</x:v>
      </x:c>
      <x:c r="G2314" s="7" t="n">
        <x:v>260</x:v>
      </x:c>
      <x:c r="H2314" s="9" t="n">
        <x:v>0.05</x:v>
      </x:c>
      <x:c r="I2314" s="7" t="n">
        <x:v>494</x:v>
      </x:c>
    </x:row>
    <x:row r="2315" ht="23" customHeight="1">
      <x:c r="A2315" s="7" t="str">
        <x:v>INV02310</x:v>
      </x:c>
      <x:c r="B2315" s="15" t="d">
        <x:v>2026-01-16T00:00:00.000Z</x:v>
      </x:c>
      <x:c r="C2315" s="14" t="d">
        <x:v>2026-01-01T00:00:00.000Z</x:v>
      </x:c>
      <x:c r="D2315" s="34" t="str">
        <x:v>0007</x:v>
      </x:c>
      <x:c r="E2315" s="7" t="str">
        <x:v>Central</x:v>
      </x:c>
      <x:c r="F2315" s="7" t="n">
        <x:v>6</x:v>
      </x:c>
      <x:c r="G2315" s="7" t="n">
        <x:v>280</x:v>
      </x:c>
      <x:c r="H2315" s="9" t="n">
        <x:v>0</x:v>
      </x:c>
      <x:c r="I2315" s="7" t="n">
        <x:v>1680</x:v>
      </x:c>
    </x:row>
    <x:row r="2316" ht="23" customHeight="1">
      <x:c r="A2316" s="7" t="str">
        <x:v>INV02311</x:v>
      </x:c>
      <x:c r="B2316" s="15" t="d">
        <x:v>2026-01-17T00:00:00.000Z</x:v>
      </x:c>
      <x:c r="C2316" s="14" t="d">
        <x:v>2026-01-01T00:00:00.000Z</x:v>
      </x:c>
      <x:c r="D2316" s="34" t="str">
        <x:v>0008</x:v>
      </x:c>
      <x:c r="E2316" s="7" t="str">
        <x:v>Central</x:v>
      </x:c>
      <x:c r="F2316" s="7" t="n">
        <x:v>7</x:v>
      </x:c>
      <x:c r="G2316" s="7" t="n">
        <x:v>300</x:v>
      </x:c>
      <x:c r="H2316" s="9" t="n">
        <x:v>0.02</x:v>
      </x:c>
      <x:c r="I2316" s="7" t="n">
        <x:v>2058</x:v>
      </x:c>
    </x:row>
    <x:row r="2317" ht="23" customHeight="1">
      <x:c r="A2317" s="7" t="str">
        <x:v>INV02312</x:v>
      </x:c>
      <x:c r="B2317" s="15" t="d">
        <x:v>2026-01-18T00:00:00.000Z</x:v>
      </x:c>
      <x:c r="C2317" s="14" t="d">
        <x:v>2026-01-01T00:00:00.000Z</x:v>
      </x:c>
      <x:c r="D2317" s="34" t="str">
        <x:v>0001</x:v>
      </x:c>
      <x:c r="E2317" s="7" t="str">
        <x:v>East</x:v>
      </x:c>
      <x:c r="F2317" s="7" t="n">
        <x:v>6</x:v>
      </x:c>
      <x:c r="G2317" s="7" t="n">
        <x:v>160</x:v>
      </x:c>
      <x:c r="H2317" s="9" t="n">
        <x:v>0.05</x:v>
      </x:c>
      <x:c r="I2317" s="7" t="n">
        <x:v>912</x:v>
      </x:c>
    </x:row>
    <x:row r="2318" ht="23" customHeight="1">
      <x:c r="A2318" s="7" t="str">
        <x:v>INV02313</x:v>
      </x:c>
      <x:c r="B2318" s="15" t="d">
        <x:v>2026-01-19T00:00:00.000Z</x:v>
      </x:c>
      <x:c r="C2318" s="14" t="d">
        <x:v>2026-01-01T00:00:00.000Z</x:v>
      </x:c>
      <x:c r="D2318" s="34" t="str">
        <x:v>0002</x:v>
      </x:c>
      <x:c r="E2318" s="7" t="str">
        <x:v>East</x:v>
      </x:c>
      <x:c r="F2318" s="7" t="n">
        <x:v>2</x:v>
      </x:c>
      <x:c r="G2318" s="7" t="n">
        <x:v>180</x:v>
      </x:c>
      <x:c r="H2318" s="9" t="n">
        <x:v>0</x:v>
      </x:c>
      <x:c r="I2318" s="7" t="n">
        <x:v>360</x:v>
      </x:c>
    </x:row>
    <x:row r="2319" ht="23" customHeight="1">
      <x:c r="A2319" s="7" t="str">
        <x:v>INV02314</x:v>
      </x:c>
      <x:c r="B2319" s="15" t="d">
        <x:v>2026-01-20T00:00:00.000Z</x:v>
      </x:c>
      <x:c r="C2319" s="14" t="d">
        <x:v>2026-01-01T00:00:00.000Z</x:v>
      </x:c>
      <x:c r="D2319" s="34" t="str">
        <x:v>0003</x:v>
      </x:c>
      <x:c r="E2319" s="7" t="str">
        <x:v>East</x:v>
      </x:c>
      <x:c r="F2319" s="7" t="n">
        <x:v>3</x:v>
      </x:c>
      <x:c r="G2319" s="7" t="n">
        <x:v>200</x:v>
      </x:c>
      <x:c r="H2319" s="9" t="n">
        <x:v>0.02</x:v>
      </x:c>
      <x:c r="I2319" s="7" t="n">
        <x:v>588</x:v>
      </x:c>
    </x:row>
    <x:row r="2320" ht="23" customHeight="1">
      <x:c r="A2320" s="7" t="str">
        <x:v>INV02315</x:v>
      </x:c>
      <x:c r="B2320" s="15" t="d">
        <x:v>2026-01-21T00:00:00.000Z</x:v>
      </x:c>
      <x:c r="C2320" s="14" t="d">
        <x:v>2026-01-01T00:00:00.000Z</x:v>
      </x:c>
      <x:c r="D2320" s="34" t="str">
        <x:v>0004</x:v>
      </x:c>
      <x:c r="E2320" s="7" t="str">
        <x:v>East</x:v>
      </x:c>
      <x:c r="F2320" s="7" t="n">
        <x:v>6</x:v>
      </x:c>
      <x:c r="G2320" s="7" t="n">
        <x:v>220</x:v>
      </x:c>
      <x:c r="H2320" s="9" t="n">
        <x:v>0.05</x:v>
      </x:c>
      <x:c r="I2320" s="7" t="n">
        <x:v>1254</x:v>
      </x:c>
    </x:row>
    <x:row r="2321" ht="23" customHeight="1">
      <x:c r="A2321" s="7" t="str">
        <x:v>INV02316</x:v>
      </x:c>
      <x:c r="B2321" s="15" t="d">
        <x:v>2026-01-22T00:00:00.000Z</x:v>
      </x:c>
      <x:c r="C2321" s="14" t="d">
        <x:v>2026-01-01T00:00:00.000Z</x:v>
      </x:c>
      <x:c r="D2321" s="34" t="str">
        <x:v>0005</x:v>
      </x:c>
      <x:c r="E2321" s="7" t="str">
        <x:v>East</x:v>
      </x:c>
      <x:c r="F2321" s="7" t="n">
        <x:v>2</x:v>
      </x:c>
      <x:c r="G2321" s="7" t="n">
        <x:v>240</x:v>
      </x:c>
      <x:c r="H2321" s="9" t="n">
        <x:v>0</x:v>
      </x:c>
      <x:c r="I2321" s="7" t="n">
        <x:v>480</x:v>
      </x:c>
    </x:row>
    <x:row r="2322" ht="23" customHeight="1">
      <x:c r="A2322" s="7" t="str">
        <x:v>INV02317</x:v>
      </x:c>
      <x:c r="B2322" s="15" t="d">
        <x:v>2026-01-23T00:00:00.000Z</x:v>
      </x:c>
      <x:c r="C2322" s="14" t="d">
        <x:v>2026-01-01T00:00:00.000Z</x:v>
      </x:c>
      <x:c r="D2322" s="34" t="str">
        <x:v>0006</x:v>
      </x:c>
      <x:c r="E2322" s="7" t="str">
        <x:v>East</x:v>
      </x:c>
      <x:c r="F2322" s="7" t="n">
        <x:v>6</x:v>
      </x:c>
      <x:c r="G2322" s="7" t="n">
        <x:v>260</x:v>
      </x:c>
      <x:c r="H2322" s="9" t="n">
        <x:v>0.02</x:v>
      </x:c>
      <x:c r="I2322" s="7" t="n">
        <x:v>1528.8</x:v>
      </x:c>
    </x:row>
    <x:row r="2323" ht="23" customHeight="1">
      <x:c r="A2323" s="7" t="str">
        <x:v>INV02318</x:v>
      </x:c>
      <x:c r="B2323" s="15" t="d">
        <x:v>2026-01-24T00:00:00.000Z</x:v>
      </x:c>
      <x:c r="C2323" s="14" t="d">
        <x:v>2026-01-01T00:00:00.000Z</x:v>
      </x:c>
      <x:c r="D2323" s="34" t="str">
        <x:v>0007</x:v>
      </x:c>
      <x:c r="E2323" s="7" t="str">
        <x:v>East</x:v>
      </x:c>
      <x:c r="F2323" s="7" t="n">
        <x:v>3</x:v>
      </x:c>
      <x:c r="G2323" s="7" t="n">
        <x:v>280</x:v>
      </x:c>
      <x:c r="H2323" s="9" t="n">
        <x:v>0.05</x:v>
      </x:c>
      <x:c r="I2323" s="7" t="n">
        <x:v>798</x:v>
      </x:c>
    </x:row>
    <x:row r="2324" ht="23" customHeight="1">
      <x:c r="A2324" s="7" t="str">
        <x:v>INV02319</x:v>
      </x:c>
      <x:c r="B2324" s="15" t="d">
        <x:v>2026-01-25T00:00:00.000Z</x:v>
      </x:c>
      <x:c r="C2324" s="14" t="d">
        <x:v>2026-01-01T00:00:00.000Z</x:v>
      </x:c>
      <x:c r="D2324" s="34" t="str">
        <x:v>0008</x:v>
      </x:c>
      <x:c r="E2324" s="7" t="str">
        <x:v>East</x:v>
      </x:c>
      <x:c r="F2324" s="7" t="n">
        <x:v>6</x:v>
      </x:c>
      <x:c r="G2324" s="7" t="n">
        <x:v>300</x:v>
      </x:c>
      <x:c r="H2324" s="9" t="n">
        <x:v>0</x:v>
      </x:c>
      <x:c r="I2324" s="7" t="n">
        <x:v>1800</x:v>
      </x:c>
    </x:row>
    <x:row r="2325" ht="23" customHeight="1">
      <x:c r="A2325" s="7" t="str">
        <x:v>INV02320</x:v>
      </x:c>
      <x:c r="B2325" s="15" t="d">
        <x:v>2026-01-26T00:00:00.000Z</x:v>
      </x:c>
      <x:c r="C2325" s="14" t="d">
        <x:v>2026-01-01T00:00:00.000Z</x:v>
      </x:c>
      <x:c r="D2325" s="34" t="str">
        <x:v>0001</x:v>
      </x:c>
      <x:c r="E2325" s="7" t="str">
        <x:v>West</x:v>
      </x:c>
      <x:c r="F2325" s="7" t="n">
        <x:v>3</x:v>
      </x:c>
      <x:c r="G2325" s="7" t="n">
        <x:v>160</x:v>
      </x:c>
      <x:c r="H2325" s="9" t="n">
        <x:v>0.02</x:v>
      </x:c>
      <x:c r="I2325" s="7" t="n">
        <x:v>470.4</x:v>
      </x:c>
    </x:row>
    <x:row r="2326" ht="23" customHeight="1">
      <x:c r="A2326" s="7" t="str">
        <x:v>INV02321</x:v>
      </x:c>
      <x:c r="B2326" s="15" t="d">
        <x:v>2026-01-27T00:00:00.000Z</x:v>
      </x:c>
      <x:c r="C2326" s="14" t="d">
        <x:v>2026-01-01T00:00:00.000Z</x:v>
      </x:c>
      <x:c r="D2326" s="34" t="str">
        <x:v>0002</x:v>
      </x:c>
      <x:c r="E2326" s="7" t="str">
        <x:v>West</x:v>
      </x:c>
      <x:c r="F2326" s="7" t="n">
        <x:v>4</x:v>
      </x:c>
      <x:c r="G2326" s="7" t="n">
        <x:v>180</x:v>
      </x:c>
      <x:c r="H2326" s="9" t="n">
        <x:v>0.05</x:v>
      </x:c>
      <x:c r="I2326" s="7" t="n">
        <x:v>684</x:v>
      </x:c>
    </x:row>
    <x:row r="2327" ht="23" customHeight="1">
      <x:c r="A2327" s="7" t="str">
        <x:v>INV02322</x:v>
      </x:c>
      <x:c r="B2327" s="15" t="d">
        <x:v>2026-01-01T00:00:00.000Z</x:v>
      </x:c>
      <x:c r="C2327" s="14" t="d">
        <x:v>2026-01-01T00:00:00.000Z</x:v>
      </x:c>
      <x:c r="D2327" s="34" t="str">
        <x:v>0003</x:v>
      </x:c>
      <x:c r="E2327" s="7" t="str">
        <x:v>West</x:v>
      </x:c>
      <x:c r="F2327" s="7" t="n">
        <x:v>3</x:v>
      </x:c>
      <x:c r="G2327" s="7" t="n">
        <x:v>200</x:v>
      </x:c>
      <x:c r="H2327" s="9" t="n">
        <x:v>0</x:v>
      </x:c>
      <x:c r="I2327" s="7" t="n">
        <x:v>600</x:v>
      </x:c>
    </x:row>
    <x:row r="2328" ht="23" customHeight="1">
      <x:c r="A2328" s="7" t="str">
        <x:v>INV02323</x:v>
      </x:c>
      <x:c r="B2328" s="15" t="d">
        <x:v>2026-01-02T00:00:00.000Z</x:v>
      </x:c>
      <x:c r="C2328" s="14" t="d">
        <x:v>2026-01-01T00:00:00.000Z</x:v>
      </x:c>
      <x:c r="D2328" s="34" t="str">
        <x:v>0004</x:v>
      </x:c>
      <x:c r="E2328" s="7" t="str">
        <x:v>West</x:v>
      </x:c>
      <x:c r="F2328" s="7" t="n">
        <x:v>6</x:v>
      </x:c>
      <x:c r="G2328" s="7" t="n">
        <x:v>220</x:v>
      </x:c>
      <x:c r="H2328" s="9" t="n">
        <x:v>0.02</x:v>
      </x:c>
      <x:c r="I2328" s="7" t="n">
        <x:v>1293.6</x:v>
      </x:c>
    </x:row>
    <x:row r="2329" ht="23" customHeight="1">
      <x:c r="A2329" s="7" t="str">
        <x:v>INV02324</x:v>
      </x:c>
      <x:c r="B2329" s="15" t="d">
        <x:v>2026-01-03T00:00:00.000Z</x:v>
      </x:c>
      <x:c r="C2329" s="14" t="d">
        <x:v>2026-01-01T00:00:00.000Z</x:v>
      </x:c>
      <x:c r="D2329" s="34" t="str">
        <x:v>0005</x:v>
      </x:c>
      <x:c r="E2329" s="7" t="str">
        <x:v>West</x:v>
      </x:c>
      <x:c r="F2329" s="7" t="n">
        <x:v>5</x:v>
      </x:c>
      <x:c r="G2329" s="7" t="n">
        <x:v>240</x:v>
      </x:c>
      <x:c r="H2329" s="9" t="n">
        <x:v>0.05</x:v>
      </x:c>
      <x:c r="I2329" s="7" t="n">
        <x:v>1140</x:v>
      </x:c>
    </x:row>
    <x:row r="2330" ht="23" customHeight="1">
      <x:c r="A2330" s="7" t="str">
        <x:v>INV02325</x:v>
      </x:c>
      <x:c r="B2330" s="15" t="d">
        <x:v>2026-01-04T00:00:00.000Z</x:v>
      </x:c>
      <x:c r="C2330" s="14" t="d">
        <x:v>2026-01-01T00:00:00.000Z</x:v>
      </x:c>
      <x:c r="D2330" s="34" t="str">
        <x:v>0006</x:v>
      </x:c>
      <x:c r="E2330" s="7" t="str">
        <x:v>West</x:v>
      </x:c>
      <x:c r="F2330" s="7" t="n">
        <x:v>2</x:v>
      </x:c>
      <x:c r="G2330" s="7" t="n">
        <x:v>260</x:v>
      </x:c>
      <x:c r="H2330" s="9" t="n">
        <x:v>0</x:v>
      </x:c>
      <x:c r="I2330" s="7" t="n">
        <x:v>520</x:v>
      </x:c>
    </x:row>
    <x:row r="2331" ht="23" customHeight="1">
      <x:c r="A2331" s="7" t="str">
        <x:v>INV02326</x:v>
      </x:c>
      <x:c r="B2331" s="15" t="d">
        <x:v>2026-01-05T00:00:00.000Z</x:v>
      </x:c>
      <x:c r="C2331" s="14" t="d">
        <x:v>2026-01-01T00:00:00.000Z</x:v>
      </x:c>
      <x:c r="D2331" s="34" t="str">
        <x:v>0007</x:v>
      </x:c>
      <x:c r="E2331" s="7" t="str">
        <x:v>West</x:v>
      </x:c>
      <x:c r="F2331" s="7" t="n">
        <x:v>6</x:v>
      </x:c>
      <x:c r="G2331" s="7" t="n">
        <x:v>280</x:v>
      </x:c>
      <x:c r="H2331" s="9" t="n">
        <x:v>0.02</x:v>
      </x:c>
      <x:c r="I2331" s="7" t="n">
        <x:v>1646.4</x:v>
      </x:c>
    </x:row>
    <x:row r="2332" ht="23" customHeight="1">
      <x:c r="A2332" s="7" t="str">
        <x:v>INV02327</x:v>
      </x:c>
      <x:c r="B2332" s="15" t="d">
        <x:v>2026-01-06T00:00:00.000Z</x:v>
      </x:c>
      <x:c r="C2332" s="14" t="d">
        <x:v>2026-01-01T00:00:00.000Z</x:v>
      </x:c>
      <x:c r="D2332" s="34" t="str">
        <x:v>0008</x:v>
      </x:c>
      <x:c r="E2332" s="7" t="str">
        <x:v>West</x:v>
      </x:c>
      <x:c r="F2332" s="7" t="n">
        <x:v>7</x:v>
      </x:c>
      <x:c r="G2332" s="7" t="n">
        <x:v>300</x:v>
      </x:c>
      <x:c r="H2332" s="9" t="n">
        <x:v>0.05</x:v>
      </x:c>
      <x:c r="I2332" s="7" t="n">
        <x:v>1995</x:v>
      </x:c>
    </x:row>
    <x:row r="2333" ht="23" customHeight="1">
      <x:c r="A2333" s="7" t="str">
        <x:v>INV02328</x:v>
      </x:c>
      <x:c r="B2333" s="15" t="d">
        <x:v>2026-01-07T00:00:00.000Z</x:v>
      </x:c>
      <x:c r="C2333" s="14" t="d">
        <x:v>2026-01-01T00:00:00.000Z</x:v>
      </x:c>
      <x:c r="D2333" s="34" t="str">
        <x:v>0001</x:v>
      </x:c>
      <x:c r="E2333" s="7" t="str">
        <x:v>North</x:v>
      </x:c>
      <x:c r="F2333" s="7" t="n">
        <x:v>1</x:v>
      </x:c>
      <x:c r="G2333" s="7" t="n">
        <x:v>160</x:v>
      </x:c>
      <x:c r="H2333" s="9" t="n">
        <x:v>0</x:v>
      </x:c>
      <x:c r="I2333" s="7" t="n">
        <x:v>160</x:v>
      </x:c>
    </x:row>
    <x:row r="2334" ht="23" customHeight="1">
      <x:c r="A2334" s="7" t="str">
        <x:v>INV02329</x:v>
      </x:c>
      <x:c r="B2334" s="15" t="d">
        <x:v>2026-01-08T00:00:00.000Z</x:v>
      </x:c>
      <x:c r="C2334" s="14" t="d">
        <x:v>2026-01-01T00:00:00.000Z</x:v>
      </x:c>
      <x:c r="D2334" s="34" t="str">
        <x:v>0002</x:v>
      </x:c>
      <x:c r="E2334" s="7" t="str">
        <x:v>North</x:v>
      </x:c>
      <x:c r="F2334" s="7" t="n">
        <x:v>3</x:v>
      </x:c>
      <x:c r="G2334" s="7" t="n">
        <x:v>180</x:v>
      </x:c>
      <x:c r="H2334" s="9" t="n">
        <x:v>0.02</x:v>
      </x:c>
      <x:c r="I2334" s="7" t="n">
        <x:v>529.2</x:v>
      </x:c>
    </x:row>
    <x:row r="2335" ht="23" customHeight="1">
      <x:c r="A2335" s="7" t="str">
        <x:v>INV02330</x:v>
      </x:c>
      <x:c r="B2335" s="15" t="d">
        <x:v>2026-01-09T00:00:00.000Z</x:v>
      </x:c>
      <x:c r="C2335" s="14" t="d">
        <x:v>2026-01-01T00:00:00.000Z</x:v>
      </x:c>
      <x:c r="D2335" s="34" t="str">
        <x:v>0003</x:v>
      </x:c>
      <x:c r="E2335" s="7" t="str">
        <x:v>North</x:v>
      </x:c>
      <x:c r="F2335" s="7" t="n">
        <x:v>4</x:v>
      </x:c>
      <x:c r="G2335" s="7" t="n">
        <x:v>200</x:v>
      </x:c>
      <x:c r="H2335" s="9" t="n">
        <x:v>0.05</x:v>
      </x:c>
      <x:c r="I2335" s="7" t="n">
        <x:v>760</x:v>
      </x:c>
    </x:row>
    <x:row r="2336" ht="23" customHeight="1">
      <x:c r="A2336" s="7" t="str">
        <x:v>INV02331</x:v>
      </x:c>
      <x:c r="B2336" s="15" t="d">
        <x:v>2026-01-10T00:00:00.000Z</x:v>
      </x:c>
      <x:c r="C2336" s="14" t="d">
        <x:v>2026-01-01T00:00:00.000Z</x:v>
      </x:c>
      <x:c r="D2336" s="34" t="str">
        <x:v>0004</x:v>
      </x:c>
      <x:c r="E2336" s="7" t="str">
        <x:v>North</x:v>
      </x:c>
      <x:c r="F2336" s="7" t="n">
        <x:v>7</x:v>
      </x:c>
      <x:c r="G2336" s="7" t="n">
        <x:v>220</x:v>
      </x:c>
      <x:c r="H2336" s="9" t="n">
        <x:v>0</x:v>
      </x:c>
      <x:c r="I2336" s="7" t="n">
        <x:v>1540</x:v>
      </x:c>
    </x:row>
    <x:row r="2337" ht="23" customHeight="1">
      <x:c r="A2337" s="7" t="str">
        <x:v>INV02332</x:v>
      </x:c>
      <x:c r="B2337" s="15" t="d">
        <x:v>2026-01-11T00:00:00.000Z</x:v>
      </x:c>
      <x:c r="C2337" s="14" t="d">
        <x:v>2026-01-01T00:00:00.000Z</x:v>
      </x:c>
      <x:c r="D2337" s="34" t="str">
        <x:v>0005</x:v>
      </x:c>
      <x:c r="E2337" s="7" t="str">
        <x:v>North</x:v>
      </x:c>
      <x:c r="F2337" s="7" t="n">
        <x:v>3</x:v>
      </x:c>
      <x:c r="G2337" s="7" t="n">
        <x:v>240</x:v>
      </x:c>
      <x:c r="H2337" s="9" t="n">
        <x:v>0.02</x:v>
      </x:c>
      <x:c r="I2337" s="7" t="n">
        <x:v>705.6</x:v>
      </x:c>
    </x:row>
    <x:row r="2338" ht="23" customHeight="1">
      <x:c r="A2338" s="7" t="str">
        <x:v>INV02333</x:v>
      </x:c>
      <x:c r="B2338" s="15" t="d">
        <x:v>2026-01-12T00:00:00.000Z</x:v>
      </x:c>
      <x:c r="C2338" s="14" t="d">
        <x:v>2026-01-01T00:00:00.000Z</x:v>
      </x:c>
      <x:c r="D2338" s="34" t="str">
        <x:v>0006</x:v>
      </x:c>
      <x:c r="E2338" s="7" t="str">
        <x:v>North</x:v>
      </x:c>
      <x:c r="F2338" s="7" t="n">
        <x:v>4</x:v>
      </x:c>
      <x:c r="G2338" s="7" t="n">
        <x:v>260</x:v>
      </x:c>
      <x:c r="H2338" s="9" t="n">
        <x:v>0.05</x:v>
      </x:c>
      <x:c r="I2338" s="7" t="n">
        <x:v>988</x:v>
      </x:c>
    </x:row>
    <x:row r="2339" ht="23" customHeight="1">
      <x:c r="A2339" s="7" t="str">
        <x:v>INV02334</x:v>
      </x:c>
      <x:c r="B2339" s="15" t="d">
        <x:v>2026-01-13T00:00:00.000Z</x:v>
      </x:c>
      <x:c r="C2339" s="14" t="d">
        <x:v>2026-01-01T00:00:00.000Z</x:v>
      </x:c>
      <x:c r="D2339" s="34" t="str">
        <x:v>0007</x:v>
      </x:c>
      <x:c r="E2339" s="7" t="str">
        <x:v>North</x:v>
      </x:c>
      <x:c r="F2339" s="7" t="n">
        <x:v>5</x:v>
      </x:c>
      <x:c r="G2339" s="7" t="n">
        <x:v>280</x:v>
      </x:c>
      <x:c r="H2339" s="9" t="n">
        <x:v>0</x:v>
      </x:c>
      <x:c r="I2339" s="7" t="n">
        <x:v>1400</x:v>
      </x:c>
    </x:row>
    <x:row r="2340" ht="23" customHeight="1">
      <x:c r="A2340" s="7" t="str">
        <x:v>INV02335</x:v>
      </x:c>
      <x:c r="B2340" s="15" t="d">
        <x:v>2026-01-14T00:00:00.000Z</x:v>
      </x:c>
      <x:c r="C2340" s="14" t="d">
        <x:v>2026-01-01T00:00:00.000Z</x:v>
      </x:c>
      <x:c r="D2340" s="34" t="str">
        <x:v>0008</x:v>
      </x:c>
      <x:c r="E2340" s="7" t="str">
        <x:v>North</x:v>
      </x:c>
      <x:c r="F2340" s="7" t="n">
        <x:v>1</x:v>
      </x:c>
      <x:c r="G2340" s="7" t="n">
        <x:v>300</x:v>
      </x:c>
      <x:c r="H2340" s="9" t="n">
        <x:v>0.02</x:v>
      </x:c>
      <x:c r="I2340" s="7" t="n">
        <x:v>294</x:v>
      </x:c>
    </x:row>
    <x:row r="2341" ht="23" customHeight="1">
      <x:c r="A2341" s="7" t="str">
        <x:v>INV02336</x:v>
      </x:c>
      <x:c r="B2341" s="15" t="d">
        <x:v>2026-02-15T00:00:00.000Z</x:v>
      </x:c>
      <x:c r="C2341" s="14" t="d">
        <x:v>2026-02-01T00:00:00.000Z</x:v>
      </x:c>
      <x:c r="D2341" s="34" t="str">
        <x:v>0001</x:v>
      </x:c>
      <x:c r="E2341" s="7" t="str">
        <x:v>Central</x:v>
      </x:c>
      <x:c r="F2341" s="7" t="n">
        <x:v>7</x:v>
      </x:c>
      <x:c r="G2341" s="7" t="n">
        <x:v>160</x:v>
      </x:c>
      <x:c r="H2341" s="9" t="n">
        <x:v>0.05</x:v>
      </x:c>
      <x:c r="I2341" s="7" t="n">
        <x:v>1064</x:v>
      </x:c>
    </x:row>
    <x:row r="2342" ht="23" customHeight="1">
      <x:c r="A2342" s="7" t="str">
        <x:v>INV02337</x:v>
      </x:c>
      <x:c r="B2342" s="15" t="d">
        <x:v>2026-02-16T00:00:00.000Z</x:v>
      </x:c>
      <x:c r="C2342" s="14" t="d">
        <x:v>2026-02-01T00:00:00.000Z</x:v>
      </x:c>
      <x:c r="D2342" s="34" t="str">
        <x:v>0002</x:v>
      </x:c>
      <x:c r="E2342" s="7" t="str">
        <x:v>Central</x:v>
      </x:c>
      <x:c r="F2342" s="7" t="n">
        <x:v>-3</x:v>
      </x:c>
      <x:c r="G2342" s="7" t="n">
        <x:v>180</x:v>
      </x:c>
      <x:c r="H2342" s="9" t="n">
        <x:v>0</x:v>
      </x:c>
      <x:c r="I2342" s="7" t="n">
        <x:v>-540</x:v>
      </x:c>
    </x:row>
    <x:row r="2343" ht="23" customHeight="1">
      <x:c r="A2343" s="7" t="str">
        <x:v>INV02338</x:v>
      </x:c>
      <x:c r="B2343" s="15" t="d">
        <x:v>2026-02-17T00:00:00.000Z</x:v>
      </x:c>
      <x:c r="C2343" s="14" t="d">
        <x:v>2026-02-01T00:00:00.000Z</x:v>
      </x:c>
      <x:c r="D2343" s="34" t="str">
        <x:v>0003</x:v>
      </x:c>
      <x:c r="E2343" s="7" t="str">
        <x:v>Central</x:v>
      </x:c>
      <x:c r="F2343" s="7" t="n">
        <x:v>7</x:v>
      </x:c>
      <x:c r="G2343" s="7" t="n">
        <x:v>200</x:v>
      </x:c>
      <x:c r="H2343" s="9" t="n">
        <x:v>0.02</x:v>
      </x:c>
      <x:c r="I2343" s="7" t="n">
        <x:v>1372</x:v>
      </x:c>
    </x:row>
    <x:row r="2344" ht="23" customHeight="1">
      <x:c r="A2344" s="7" t="str">
        <x:v>INV02339</x:v>
      </x:c>
      <x:c r="B2344" s="15" t="d">
        <x:v>2026-02-18T00:00:00.000Z</x:v>
      </x:c>
      <x:c r="C2344" s="14" t="d">
        <x:v>2026-02-01T00:00:00.000Z</x:v>
      </x:c>
      <x:c r="D2344" s="34" t="str">
        <x:v>0004</x:v>
      </x:c>
      <x:c r="E2344" s="7" t="str">
        <x:v>Central</x:v>
      </x:c>
      <x:c r="F2344" s="7" t="n">
        <x:v>3</x:v>
      </x:c>
      <x:c r="G2344" s="7" t="n">
        <x:v>220</x:v>
      </x:c>
      <x:c r="H2344" s="9" t="n">
        <x:v>0.05</x:v>
      </x:c>
      <x:c r="I2344" s="7" t="n">
        <x:v>627</x:v>
      </x:c>
    </x:row>
    <x:row r="2345" ht="23" customHeight="1">
      <x:c r="A2345" s="7" t="str">
        <x:v>INV02340</x:v>
      </x:c>
      <x:c r="B2345" s="15" t="d">
        <x:v>2026-02-19T00:00:00.000Z</x:v>
      </x:c>
      <x:c r="C2345" s="14" t="d">
        <x:v>2026-02-01T00:00:00.000Z</x:v>
      </x:c>
      <x:c r="D2345" s="34" t="str">
        <x:v>0005</x:v>
      </x:c>
      <x:c r="E2345" s="7" t="str">
        <x:v>Central</x:v>
      </x:c>
      <x:c r="F2345" s="7" t="n">
        <x:v>1</x:v>
      </x:c>
      <x:c r="G2345" s="7" t="n">
        <x:v>240</x:v>
      </x:c>
      <x:c r="H2345" s="9" t="n">
        <x:v>0</x:v>
      </x:c>
      <x:c r="I2345" s="7" t="n">
        <x:v>240</x:v>
      </x:c>
    </x:row>
    <x:row r="2346" ht="23" customHeight="1">
      <x:c r="A2346" s="7" t="str">
        <x:v>INV02341</x:v>
      </x:c>
      <x:c r="B2346" s="15" t="d">
        <x:v>2026-02-20T00:00:00.000Z</x:v>
      </x:c>
      <x:c r="C2346" s="14" t="d">
        <x:v>2026-02-01T00:00:00.000Z</x:v>
      </x:c>
      <x:c r="D2346" s="34" t="str">
        <x:v>0006</x:v>
      </x:c>
      <x:c r="E2346" s="7" t="str">
        <x:v>Central</x:v>
      </x:c>
      <x:c r="F2346" s="7" t="n">
        <x:v>6</x:v>
      </x:c>
      <x:c r="G2346" s="7" t="n">
        <x:v>260</x:v>
      </x:c>
      <x:c r="H2346" s="9" t="n">
        <x:v>0.02</x:v>
      </x:c>
      <x:c r="I2346" s="7" t="n">
        <x:v>1528.8</x:v>
      </x:c>
    </x:row>
    <x:row r="2347" ht="23" customHeight="1">
      <x:c r="A2347" s="7" t="str">
        <x:v>INV02342</x:v>
      </x:c>
      <x:c r="B2347" s="15" t="d">
        <x:v>2026-02-21T00:00:00.000Z</x:v>
      </x:c>
      <x:c r="C2347" s="14" t="d">
        <x:v>2026-02-01T00:00:00.000Z</x:v>
      </x:c>
      <x:c r="D2347" s="34" t="str">
        <x:v>0007</x:v>
      </x:c>
      <x:c r="E2347" s="7" t="str">
        <x:v>Central</x:v>
      </x:c>
      <x:c r="F2347" s="7" t="n">
        <x:v>1</x:v>
      </x:c>
      <x:c r="G2347" s="7" t="n">
        <x:v>280</x:v>
      </x:c>
      <x:c r="H2347" s="9" t="n">
        <x:v>0.05</x:v>
      </x:c>
      <x:c r="I2347" s="7" t="n">
        <x:v>266</x:v>
      </x:c>
    </x:row>
    <x:row r="2348" ht="23" customHeight="1">
      <x:c r="A2348" s="7" t="str">
        <x:v>INV02343</x:v>
      </x:c>
      <x:c r="B2348" s="15" t="d">
        <x:v>2026-02-22T00:00:00.000Z</x:v>
      </x:c>
      <x:c r="C2348" s="14" t="d">
        <x:v>2026-02-01T00:00:00.000Z</x:v>
      </x:c>
      <x:c r="D2348" s="34" t="str">
        <x:v>0008</x:v>
      </x:c>
      <x:c r="E2348" s="7" t="str">
        <x:v>Central</x:v>
      </x:c>
      <x:c r="F2348" s="7" t="n">
        <x:v>5</x:v>
      </x:c>
      <x:c r="G2348" s="7" t="n">
        <x:v>300</x:v>
      </x:c>
      <x:c r="H2348" s="9" t="n">
        <x:v>0</x:v>
      </x:c>
      <x:c r="I2348" s="7" t="n">
        <x:v>1500</x:v>
      </x:c>
    </x:row>
    <x:row r="2349" ht="23" customHeight="1">
      <x:c r="A2349" s="7" t="str">
        <x:v>INV02344</x:v>
      </x:c>
      <x:c r="B2349" s="15" t="d">
        <x:v>2026-02-23T00:00:00.000Z</x:v>
      </x:c>
      <x:c r="C2349" s="14" t="d">
        <x:v>2026-02-01T00:00:00.000Z</x:v>
      </x:c>
      <x:c r="D2349" s="34" t="str">
        <x:v>0001</x:v>
      </x:c>
      <x:c r="E2349" s="7" t="str">
        <x:v>East</x:v>
      </x:c>
      <x:c r="F2349" s="7" t="n">
        <x:v>7</x:v>
      </x:c>
      <x:c r="G2349" s="7" t="n">
        <x:v>160</x:v>
      </x:c>
      <x:c r="H2349" s="9" t="n">
        <x:v>0.02</x:v>
      </x:c>
      <x:c r="I2349" s="7" t="n">
        <x:v>1097.6</x:v>
      </x:c>
    </x:row>
    <x:row r="2350" ht="23" customHeight="1">
      <x:c r="A2350" s="7" t="str">
        <x:v>INV02345</x:v>
      </x:c>
      <x:c r="B2350" s="15" t="d">
        <x:v>2026-02-24T00:00:00.000Z</x:v>
      </x:c>
      <x:c r="C2350" s="14" t="d">
        <x:v>2026-02-01T00:00:00.000Z</x:v>
      </x:c>
      <x:c r="D2350" s="34" t="str">
        <x:v>0002</x:v>
      </x:c>
      <x:c r="E2350" s="7" t="str">
        <x:v>East</x:v>
      </x:c>
      <x:c r="F2350" s="7" t="n">
        <x:v>3</x:v>
      </x:c>
      <x:c r="G2350" s="7" t="n">
        <x:v>180</x:v>
      </x:c>
      <x:c r="H2350" s="9" t="n">
        <x:v>0.05</x:v>
      </x:c>
      <x:c r="I2350" s="7" t="n">
        <x:v>513</x:v>
      </x:c>
    </x:row>
    <x:row r="2351" ht="23" customHeight="1">
      <x:c r="A2351" s="7" t="str">
        <x:v>INV02346</x:v>
      </x:c>
      <x:c r="B2351" s="15" t="d">
        <x:v>2026-02-25T00:00:00.000Z</x:v>
      </x:c>
      <x:c r="C2351" s="14" t="d">
        <x:v>2026-02-01T00:00:00.000Z</x:v>
      </x:c>
      <x:c r="D2351" s="34" t="str">
        <x:v>0003</x:v>
      </x:c>
      <x:c r="E2351" s="7" t="str">
        <x:v>East</x:v>
      </x:c>
      <x:c r="F2351" s="7" t="n">
        <x:v>4</x:v>
      </x:c>
      <x:c r="G2351" s="7" t="n">
        <x:v>200</x:v>
      </x:c>
      <x:c r="H2351" s="9" t="n">
        <x:v>0</x:v>
      </x:c>
      <x:c r="I2351" s="7" t="n">
        <x:v>800</x:v>
      </x:c>
    </x:row>
    <x:row r="2352" ht="23" customHeight="1">
      <x:c r="A2352" s="7" t="str">
        <x:v>INV02347</x:v>
      </x:c>
      <x:c r="B2352" s="15" t="d">
        <x:v>2026-02-26T00:00:00.000Z</x:v>
      </x:c>
      <x:c r="C2352" s="14" t="d">
        <x:v>2026-02-01T00:00:00.000Z</x:v>
      </x:c>
      <x:c r="D2352" s="34" t="str">
        <x:v>0004</x:v>
      </x:c>
      <x:c r="E2352" s="7" t="str">
        <x:v>East</x:v>
      </x:c>
      <x:c r="F2352" s="7" t="n">
        <x:v>7</x:v>
      </x:c>
      <x:c r="G2352" s="7" t="n">
        <x:v>220</x:v>
      </x:c>
      <x:c r="H2352" s="9" t="n">
        <x:v>0.02</x:v>
      </x:c>
      <x:c r="I2352" s="7" t="n">
        <x:v>1509.2</x:v>
      </x:c>
    </x:row>
    <x:row r="2353" ht="23" customHeight="1">
      <x:c r="A2353" s="7" t="str">
        <x:v>INV02348</x:v>
      </x:c>
      <x:c r="B2353" s="15" t="d">
        <x:v>2026-02-27T00:00:00.000Z</x:v>
      </x:c>
      <x:c r="C2353" s="14" t="d">
        <x:v>2026-02-01T00:00:00.000Z</x:v>
      </x:c>
      <x:c r="D2353" s="34" t="str">
        <x:v>0005</x:v>
      </x:c>
      <x:c r="E2353" s="7" t="str">
        <x:v>East</x:v>
      </x:c>
      <x:c r="F2353" s="7" t="n">
        <x:v>2</x:v>
      </x:c>
      <x:c r="G2353" s="7" t="n">
        <x:v>240</x:v>
      </x:c>
      <x:c r="H2353" s="9" t="n">
        <x:v>0.05</x:v>
      </x:c>
      <x:c r="I2353" s="7" t="n">
        <x:v>456</x:v>
      </x:c>
    </x:row>
    <x:row r="2354" ht="23" customHeight="1">
      <x:c r="A2354" s="7" t="str">
        <x:v>INV02349</x:v>
      </x:c>
      <x:c r="B2354" s="15" t="d">
        <x:v>2026-02-01T00:00:00.000Z</x:v>
      </x:c>
      <x:c r="C2354" s="14" t="d">
        <x:v>2026-02-01T00:00:00.000Z</x:v>
      </x:c>
      <x:c r="D2354" s="34" t="str">
        <x:v>0006</x:v>
      </x:c>
      <x:c r="E2354" s="7" t="str">
        <x:v>East</x:v>
      </x:c>
      <x:c r="F2354" s="7" t="n">
        <x:v>7</x:v>
      </x:c>
      <x:c r="G2354" s="7" t="n">
        <x:v>260</x:v>
      </x:c>
      <x:c r="H2354" s="9" t="n">
        <x:v>0</x:v>
      </x:c>
      <x:c r="I2354" s="7" t="n">
        <x:v>1820</x:v>
      </x:c>
    </x:row>
    <x:row r="2355" ht="23" customHeight="1">
      <x:c r="A2355" s="7" t="str">
        <x:v>INV02350</x:v>
      </x:c>
      <x:c r="B2355" s="15" t="d">
        <x:v>2026-02-02T00:00:00.000Z</x:v>
      </x:c>
      <x:c r="C2355" s="14" t="d">
        <x:v>2026-02-01T00:00:00.000Z</x:v>
      </x:c>
      <x:c r="D2355" s="34" t="str">
        <x:v>0007</x:v>
      </x:c>
      <x:c r="E2355" s="7" t="str">
        <x:v>East</x:v>
      </x:c>
      <x:c r="F2355" s="7" t="n">
        <x:v>5</x:v>
      </x:c>
      <x:c r="G2355" s="7" t="n">
        <x:v>280</x:v>
      </x:c>
      <x:c r="H2355" s="9" t="n">
        <x:v>0.02</x:v>
      </x:c>
      <x:c r="I2355" s="7" t="n">
        <x:v>1372</x:v>
      </x:c>
    </x:row>
    <x:row r="2356" ht="23" customHeight="1">
      <x:c r="A2356" s="7" t="str">
        <x:v>INV02351</x:v>
      </x:c>
      <x:c r="B2356" s="15" t="d">
        <x:v>2026-02-03T00:00:00.000Z</x:v>
      </x:c>
      <x:c r="C2356" s="14" t="d">
        <x:v>2026-02-01T00:00:00.000Z</x:v>
      </x:c>
      <x:c r="D2356" s="34" t="str">
        <x:v>0008</x:v>
      </x:c>
      <x:c r="E2356" s="7" t="str">
        <x:v>East</x:v>
      </x:c>
      <x:c r="F2356" s="7" t="n">
        <x:v>2</x:v>
      </x:c>
      <x:c r="G2356" s="7" t="n">
        <x:v>300</x:v>
      </x:c>
      <x:c r="H2356" s="9" t="n">
        <x:v>0.05</x:v>
      </x:c>
      <x:c r="I2356" s="7" t="n">
        <x:v>570</x:v>
      </x:c>
    </x:row>
    <x:row r="2357" ht="23" customHeight="1">
      <x:c r="A2357" s="7" t="str">
        <x:v>INV02352</x:v>
      </x:c>
      <x:c r="B2357" s="15" t="d">
        <x:v>2026-02-04T00:00:00.000Z</x:v>
      </x:c>
      <x:c r="C2357" s="14" t="d">
        <x:v>2026-02-01T00:00:00.000Z</x:v>
      </x:c>
      <x:c r="D2357" s="34" t="str">
        <x:v>0001</x:v>
      </x:c>
      <x:c r="E2357" s="7" t="str">
        <x:v>West</x:v>
      </x:c>
      <x:c r="F2357" s="7" t="n">
        <x:v>5</x:v>
      </x:c>
      <x:c r="G2357" s="7" t="n">
        <x:v>160</x:v>
      </x:c>
      <x:c r="H2357" s="9" t="n">
        <x:v>0</x:v>
      </x:c>
      <x:c r="I2357" s="7" t="n">
        <x:v>800</x:v>
      </x:c>
    </x:row>
    <x:row r="2358" ht="23" customHeight="1">
      <x:c r="A2358" s="7" t="str">
        <x:v>INV02353</x:v>
      </x:c>
      <x:c r="B2358" s="15" t="d">
        <x:v>2026-02-05T00:00:00.000Z</x:v>
      </x:c>
      <x:c r="C2358" s="14" t="d">
        <x:v>2026-02-01T00:00:00.000Z</x:v>
      </x:c>
      <x:c r="D2358" s="34" t="str">
        <x:v>0002</x:v>
      </x:c>
      <x:c r="E2358" s="7" t="str">
        <x:v>West</x:v>
      </x:c>
      <x:c r="F2358" s="7" t="n">
        <x:v>6</x:v>
      </x:c>
      <x:c r="G2358" s="7" t="n">
        <x:v>180</x:v>
      </x:c>
      <x:c r="H2358" s="9" t="n">
        <x:v>0.02</x:v>
      </x:c>
      <x:c r="I2358" s="7" t="n">
        <x:v>1058.4</x:v>
      </x:c>
    </x:row>
    <x:row r="2359" ht="23" customHeight="1">
      <x:c r="A2359" s="7" t="str">
        <x:v>INV02354</x:v>
      </x:c>
      <x:c r="B2359" s="15" t="d">
        <x:v>2026-02-06T00:00:00.000Z</x:v>
      </x:c>
      <x:c r="C2359" s="14" t="d">
        <x:v>2026-02-01T00:00:00.000Z</x:v>
      </x:c>
      <x:c r="D2359" s="34" t="str">
        <x:v>0003</x:v>
      </x:c>
      <x:c r="E2359" s="7" t="str">
        <x:v>West</x:v>
      </x:c>
      <x:c r="F2359" s="7" t="n">
        <x:v>7</x:v>
      </x:c>
      <x:c r="G2359" s="7" t="n">
        <x:v>200</x:v>
      </x:c>
      <x:c r="H2359" s="9" t="n">
        <x:v>0.05</x:v>
      </x:c>
      <x:c r="I2359" s="7" t="n">
        <x:v>1330</x:v>
      </x:c>
    </x:row>
    <x:row r="2360" ht="23" customHeight="1">
      <x:c r="A2360" s="7" t="str">
        <x:v>INV02355</x:v>
      </x:c>
      <x:c r="B2360" s="15" t="d">
        <x:v>2026-02-07T00:00:00.000Z</x:v>
      </x:c>
      <x:c r="C2360" s="14" t="d">
        <x:v>2026-02-01T00:00:00.000Z</x:v>
      </x:c>
      <x:c r="D2360" s="34" t="str">
        <x:v>0004</x:v>
      </x:c>
      <x:c r="E2360" s="7" t="str">
        <x:v>West</x:v>
      </x:c>
      <x:c r="F2360" s="7" t="n">
        <x:v>7</x:v>
      </x:c>
      <x:c r="G2360" s="7" t="n">
        <x:v>220</x:v>
      </x:c>
      <x:c r="H2360" s="9" t="n">
        <x:v>0</x:v>
      </x:c>
      <x:c r="I2360" s="7" t="n">
        <x:v>1540</x:v>
      </x:c>
    </x:row>
    <x:row r="2361" ht="23" customHeight="1">
      <x:c r="A2361" s="7" t="str">
        <x:v>INV02356</x:v>
      </x:c>
      <x:c r="B2361" s="15" t="d">
        <x:v>2026-02-08T00:00:00.000Z</x:v>
      </x:c>
      <x:c r="C2361" s="14" t="d">
        <x:v>2026-02-01T00:00:00.000Z</x:v>
      </x:c>
      <x:c r="D2361" s="34" t="str">
        <x:v>0005</x:v>
      </x:c>
      <x:c r="E2361" s="7" t="str">
        <x:v>West</x:v>
      </x:c>
      <x:c r="F2361" s="7" t="n">
        <x:v>3</x:v>
      </x:c>
      <x:c r="G2361" s="7" t="n">
        <x:v>240</x:v>
      </x:c>
      <x:c r="H2361" s="9" t="n">
        <x:v>0.02</x:v>
      </x:c>
      <x:c r="I2361" s="7" t="n">
        <x:v>705.6</x:v>
      </x:c>
    </x:row>
    <x:row r="2362" ht="23" customHeight="1">
      <x:c r="A2362" s="7" t="str">
        <x:v>INV02357</x:v>
      </x:c>
      <x:c r="B2362" s="15" t="d">
        <x:v>2026-02-09T00:00:00.000Z</x:v>
      </x:c>
      <x:c r="C2362" s="14" t="d">
        <x:v>2026-02-01T00:00:00.000Z</x:v>
      </x:c>
      <x:c r="D2362" s="34" t="str">
        <x:v>0006</x:v>
      </x:c>
      <x:c r="E2362" s="7" t="str">
        <x:v>West</x:v>
      </x:c>
      <x:c r="F2362" s="7" t="n">
        <x:v>7</x:v>
      </x:c>
      <x:c r="G2362" s="7" t="n">
        <x:v>260</x:v>
      </x:c>
      <x:c r="H2362" s="9" t="n">
        <x:v>0.05</x:v>
      </x:c>
      <x:c r="I2362" s="7" t="n">
        <x:v>1729</x:v>
      </x:c>
    </x:row>
    <x:row r="2363" ht="23" customHeight="1">
      <x:c r="A2363" s="7" t="str">
        <x:v>INV02358</x:v>
      </x:c>
      <x:c r="B2363" s="15" t="d">
        <x:v>2026-02-10T00:00:00.000Z</x:v>
      </x:c>
      <x:c r="C2363" s="14" t="d">
        <x:v>2026-02-01T00:00:00.000Z</x:v>
      </x:c>
      <x:c r="D2363" s="34" t="str">
        <x:v>0007</x:v>
      </x:c>
      <x:c r="E2363" s="7" t="str">
        <x:v>West</x:v>
      </x:c>
      <x:c r="F2363" s="7" t="n">
        <x:v>1</x:v>
      </x:c>
      <x:c r="G2363" s="7" t="n">
        <x:v>280</x:v>
      </x:c>
      <x:c r="H2363" s="9" t="n">
        <x:v>0</x:v>
      </x:c>
      <x:c r="I2363" s="7" t="n">
        <x:v>280</x:v>
      </x:c>
    </x:row>
    <x:row r="2364" ht="23" customHeight="1">
      <x:c r="A2364" s="7" t="str">
        <x:v>INV02359</x:v>
      </x:c>
      <x:c r="B2364" s="15" t="d">
        <x:v>2026-02-11T00:00:00.000Z</x:v>
      </x:c>
      <x:c r="C2364" s="14" t="d">
        <x:v>2026-02-01T00:00:00.000Z</x:v>
      </x:c>
      <x:c r="D2364" s="34" t="str">
        <x:v>0008</x:v>
      </x:c>
      <x:c r="E2364" s="7" t="str">
        <x:v>West</x:v>
      </x:c>
      <x:c r="F2364" s="7" t="n">
        <x:v>1</x:v>
      </x:c>
      <x:c r="G2364" s="7" t="n">
        <x:v>300</x:v>
      </x:c>
      <x:c r="H2364" s="9" t="n">
        <x:v>0.02</x:v>
      </x:c>
      <x:c r="I2364" s="7" t="n">
        <x:v>294</x:v>
      </x:c>
    </x:row>
    <x:row r="2365" ht="23" customHeight="1">
      <x:c r="A2365" s="7" t="str">
        <x:v>INV02360</x:v>
      </x:c>
      <x:c r="B2365" s="15" t="d">
        <x:v>2026-02-12T00:00:00.000Z</x:v>
      </x:c>
      <x:c r="C2365" s="14" t="d">
        <x:v>2026-02-01T00:00:00.000Z</x:v>
      </x:c>
      <x:c r="D2365" s="34" t="str">
        <x:v>0001</x:v>
      </x:c>
      <x:c r="E2365" s="7" t="str">
        <x:v>North</x:v>
      </x:c>
      <x:c r="F2365" s="7" t="n">
        <x:v>2</x:v>
      </x:c>
      <x:c r="G2365" s="7" t="n">
        <x:v>160</x:v>
      </x:c>
      <x:c r="H2365" s="9" t="n">
        <x:v>0.05</x:v>
      </x:c>
      <x:c r="I2365" s="7" t="n">
        <x:v>304</x:v>
      </x:c>
    </x:row>
    <x:row r="2366" ht="23" customHeight="1">
      <x:c r="A2366" s="7" t="str">
        <x:v>INV02361</x:v>
      </x:c>
      <x:c r="B2366" s="15" t="d">
        <x:v>2026-02-13T00:00:00.000Z</x:v>
      </x:c>
      <x:c r="C2366" s="14" t="d">
        <x:v>2026-02-01T00:00:00.000Z</x:v>
      </x:c>
      <x:c r="D2366" s="34" t="str">
        <x:v>0002</x:v>
      </x:c>
      <x:c r="E2366" s="7" t="str">
        <x:v>North</x:v>
      </x:c>
      <x:c r="F2366" s="7" t="n">
        <x:v>7</x:v>
      </x:c>
      <x:c r="G2366" s="7" t="n">
        <x:v>180</x:v>
      </x:c>
      <x:c r="H2366" s="9" t="n">
        <x:v>0</x:v>
      </x:c>
      <x:c r="I2366" s="7" t="n">
        <x:v>1260</x:v>
      </x:c>
    </x:row>
    <x:row r="2367" ht="23" customHeight="1">
      <x:c r="A2367" s="7" t="str">
        <x:v>INV02362</x:v>
      </x:c>
      <x:c r="B2367" s="15" t="d">
        <x:v>2026-02-14T00:00:00.000Z</x:v>
      </x:c>
      <x:c r="C2367" s="14" t="d">
        <x:v>2026-02-01T00:00:00.000Z</x:v>
      </x:c>
      <x:c r="D2367" s="34" t="str">
        <x:v>0003</x:v>
      </x:c>
      <x:c r="E2367" s="7" t="str">
        <x:v>North</x:v>
      </x:c>
      <x:c r="F2367" s="7" t="n">
        <x:v>3</x:v>
      </x:c>
      <x:c r="G2367" s="7" t="n">
        <x:v>200</x:v>
      </x:c>
      <x:c r="H2367" s="9" t="n">
        <x:v>0.02</x:v>
      </x:c>
      <x:c r="I2367" s="7" t="n">
        <x:v>588</x:v>
      </x:c>
    </x:row>
    <x:row r="2368" ht="23" customHeight="1">
      <x:c r="A2368" s="7" t="str">
        <x:v>INV02363</x:v>
      </x:c>
      <x:c r="B2368" s="15" t="d">
        <x:v>2026-02-15T00:00:00.000Z</x:v>
      </x:c>
      <x:c r="C2368" s="14" t="d">
        <x:v>2026-02-01T00:00:00.000Z</x:v>
      </x:c>
      <x:c r="D2368" s="34" t="str">
        <x:v>0004</x:v>
      </x:c>
      <x:c r="E2368" s="7" t="str">
        <x:v>North</x:v>
      </x:c>
      <x:c r="F2368" s="7" t="n">
        <x:v>7</x:v>
      </x:c>
      <x:c r="G2368" s="7" t="n">
        <x:v>220</x:v>
      </x:c>
      <x:c r="H2368" s="9" t="n">
        <x:v>0.05</x:v>
      </x:c>
      <x:c r="I2368" s="7" t="n">
        <x:v>1463</x:v>
      </x:c>
    </x:row>
    <x:row r="2369" ht="23" customHeight="1">
      <x:c r="A2369" s="7" t="str">
        <x:v>INV02364</x:v>
      </x:c>
      <x:c r="B2369" s="15" t="d">
        <x:v>2026-02-16T00:00:00.000Z</x:v>
      </x:c>
      <x:c r="C2369" s="14" t="d">
        <x:v>2026-02-01T00:00:00.000Z</x:v>
      </x:c>
      <x:c r="D2369" s="34" t="str">
        <x:v>0005</x:v>
      </x:c>
      <x:c r="E2369" s="7" t="str">
        <x:v>North</x:v>
      </x:c>
      <x:c r="F2369" s="7" t="n">
        <x:v>3</x:v>
      </x:c>
      <x:c r="G2369" s="7" t="n">
        <x:v>240</x:v>
      </x:c>
      <x:c r="H2369" s="9" t="n">
        <x:v>0</x:v>
      </x:c>
      <x:c r="I2369" s="7" t="n">
        <x:v>720</x:v>
      </x:c>
    </x:row>
    <x:row r="2370" ht="23" customHeight="1">
      <x:c r="A2370" s="7" t="str">
        <x:v>INV02365</x:v>
      </x:c>
      <x:c r="B2370" s="15" t="d">
        <x:v>2026-02-17T00:00:00.000Z</x:v>
      </x:c>
      <x:c r="C2370" s="14" t="d">
        <x:v>2026-02-01T00:00:00.000Z</x:v>
      </x:c>
      <x:c r="D2370" s="34" t="str">
        <x:v>0006</x:v>
      </x:c>
      <x:c r="E2370" s="7" t="str">
        <x:v>North</x:v>
      </x:c>
      <x:c r="F2370" s="7" t="n">
        <x:v>2</x:v>
      </x:c>
      <x:c r="G2370" s="7" t="n">
        <x:v>260</x:v>
      </x:c>
      <x:c r="H2370" s="9" t="n">
        <x:v>0.02</x:v>
      </x:c>
      <x:c r="I2370" s="7" t="n">
        <x:v>509.6</x:v>
      </x:c>
    </x:row>
    <x:row r="2371" ht="23" customHeight="1">
      <x:c r="A2371" s="7" t="str">
        <x:v>INV02366</x:v>
      </x:c>
      <x:c r="B2371" s="15" t="d">
        <x:v>2026-02-18T00:00:00.000Z</x:v>
      </x:c>
      <x:c r="C2371" s="14" t="d">
        <x:v>2026-02-01T00:00:00.000Z</x:v>
      </x:c>
      <x:c r="D2371" s="34" t="str">
        <x:v>0007</x:v>
      </x:c>
      <x:c r="E2371" s="7" t="str">
        <x:v>North</x:v>
      </x:c>
      <x:c r="F2371" s="7" t="n">
        <x:v>1</x:v>
      </x:c>
      <x:c r="G2371" s="7" t="n">
        <x:v>280</x:v>
      </x:c>
      <x:c r="H2371" s="9" t="n">
        <x:v>0.05</x:v>
      </x:c>
      <x:c r="I2371" s="7" t="n">
        <x:v>266</x:v>
      </x:c>
    </x:row>
    <x:row r="2372" ht="23" customHeight="1">
      <x:c r="A2372" s="7" t="str">
        <x:v>INV02367</x:v>
      </x:c>
      <x:c r="B2372" s="15" t="d">
        <x:v>2026-02-19T00:00:00.000Z</x:v>
      </x:c>
      <x:c r="C2372" s="14" t="d">
        <x:v>2026-02-01T00:00:00.000Z</x:v>
      </x:c>
      <x:c r="D2372" s="34" t="str">
        <x:v>0008</x:v>
      </x:c>
      <x:c r="E2372" s="7" t="str">
        <x:v>North</x:v>
      </x:c>
      <x:c r="F2372" s="7" t="n">
        <x:v>7</x:v>
      </x:c>
      <x:c r="G2372" s="7" t="n">
        <x:v>300</x:v>
      </x:c>
      <x:c r="H2372" s="9" t="n">
        <x:v>0</x:v>
      </x:c>
      <x:c r="I2372" s="7" t="n">
        <x:v>2100</x:v>
      </x:c>
    </x:row>
    <x:row r="2373" ht="23" customHeight="1">
      <x:c r="A2373" s="7" t="str">
        <x:v>INV02368</x:v>
      </x:c>
      <x:c r="B2373" s="15" t="d">
        <x:v>2026-03-20T00:00:00.000Z</x:v>
      </x:c>
      <x:c r="C2373" s="14" t="d">
        <x:v>2026-03-01T00:00:00.000Z</x:v>
      </x:c>
      <x:c r="D2373" s="34" t="str">
        <x:v>0001</x:v>
      </x:c>
      <x:c r="E2373" s="7" t="str">
        <x:v>Central</x:v>
      </x:c>
      <x:c r="F2373" s="7" t="n">
        <x:v>2</x:v>
      </x:c>
      <x:c r="G2373" s="7" t="n">
        <x:v>160</x:v>
      </x:c>
      <x:c r="H2373" s="9" t="n">
        <x:v>0.02</x:v>
      </x:c>
      <x:c r="I2373" s="7" t="n">
        <x:v>313.6</x:v>
      </x:c>
    </x:row>
    <x:row r="2374" ht="23" customHeight="1">
      <x:c r="A2374" s="7" t="str">
        <x:v>INV02369</x:v>
      </x:c>
      <x:c r="B2374" s="15" t="d">
        <x:v>2026-03-21T00:00:00.000Z</x:v>
      </x:c>
      <x:c r="C2374" s="14" t="d">
        <x:v>2026-03-01T00:00:00.000Z</x:v>
      </x:c>
      <x:c r="D2374" s="34" t="str">
        <x:v>0002</x:v>
      </x:c>
      <x:c r="E2374" s="7" t="str">
        <x:v>Central</x:v>
      </x:c>
      <x:c r="F2374" s="7" t="n">
        <x:v>6</x:v>
      </x:c>
      <x:c r="G2374" s="7" t="n">
        <x:v>180</x:v>
      </x:c>
      <x:c r="H2374" s="9" t="n">
        <x:v>0.05</x:v>
      </x:c>
      <x:c r="I2374" s="7" t="n">
        <x:v>1026</x:v>
      </x:c>
    </x:row>
    <x:row r="2375" ht="23" customHeight="1">
      <x:c r="A2375" s="7" t="str">
        <x:v>INV02370</x:v>
      </x:c>
      <x:c r="B2375" s="15" t="d">
        <x:v>2026-03-22T00:00:00.000Z</x:v>
      </x:c>
      <x:c r="C2375" s="14" t="d">
        <x:v>2026-03-01T00:00:00.000Z</x:v>
      </x:c>
      <x:c r="D2375" s="34" t="str">
        <x:v>0003</x:v>
      </x:c>
      <x:c r="E2375" s="7" t="str">
        <x:v>Central</x:v>
      </x:c>
      <x:c r="F2375" s="7" t="n">
        <x:v>6</x:v>
      </x:c>
      <x:c r="G2375" s="7" t="n">
        <x:v>200</x:v>
      </x:c>
      <x:c r="H2375" s="9" t="n">
        <x:v>0</x:v>
      </x:c>
      <x:c r="I2375" s="7" t="n">
        <x:v>1200</x:v>
      </x:c>
    </x:row>
    <x:row r="2376" ht="23" customHeight="1">
      <x:c r="A2376" s="7" t="str">
        <x:v>INV02371</x:v>
      </x:c>
      <x:c r="B2376" s="15" t="d">
        <x:v>2026-03-23T00:00:00.000Z</x:v>
      </x:c>
      <x:c r="C2376" s="14" t="d">
        <x:v>2026-03-01T00:00:00.000Z</x:v>
      </x:c>
      <x:c r="D2376" s="34" t="str">
        <x:v>0004</x:v>
      </x:c>
      <x:c r="E2376" s="7" t="str">
        <x:v>Central</x:v>
      </x:c>
      <x:c r="F2376" s="7" t="n">
        <x:v>4</x:v>
      </x:c>
      <x:c r="G2376" s="7" t="n">
        <x:v>220</x:v>
      </x:c>
      <x:c r="H2376" s="9" t="n">
        <x:v>0.02</x:v>
      </x:c>
      <x:c r="I2376" s="7" t="n">
        <x:v>862.4</x:v>
      </x:c>
    </x:row>
    <x:row r="2377" ht="23" customHeight="1">
      <x:c r="A2377" s="7" t="str">
        <x:v>INV02372</x:v>
      </x:c>
      <x:c r="B2377" s="15" t="d">
        <x:v>2026-03-24T00:00:00.000Z</x:v>
      </x:c>
      <x:c r="C2377" s="14" t="d">
        <x:v>2026-03-01T00:00:00.000Z</x:v>
      </x:c>
      <x:c r="D2377" s="34" t="str">
        <x:v>0005</x:v>
      </x:c>
      <x:c r="E2377" s="7" t="str">
        <x:v>Central</x:v>
      </x:c>
      <x:c r="F2377" s="7" t="n">
        <x:v>1</x:v>
      </x:c>
      <x:c r="G2377" s="7" t="n">
        <x:v>240</x:v>
      </x:c>
      <x:c r="H2377" s="9" t="n">
        <x:v>0.05</x:v>
      </x:c>
      <x:c r="I2377" s="7" t="n">
        <x:v>228</x:v>
      </x:c>
    </x:row>
    <x:row r="2378" ht="23" customHeight="1">
      <x:c r="A2378" s="7" t="str">
        <x:v>INV02373</x:v>
      </x:c>
      <x:c r="B2378" s="15" t="d">
        <x:v>2026-03-25T00:00:00.000Z</x:v>
      </x:c>
      <x:c r="C2378" s="14" t="d">
        <x:v>2026-03-01T00:00:00.000Z</x:v>
      </x:c>
      <x:c r="D2378" s="34" t="str">
        <x:v>0006</x:v>
      </x:c>
      <x:c r="E2378" s="7" t="str">
        <x:v>Central</x:v>
      </x:c>
      <x:c r="F2378" s="7" t="n">
        <x:v>4</x:v>
      </x:c>
      <x:c r="G2378" s="7" t="n">
        <x:v>260</x:v>
      </x:c>
      <x:c r="H2378" s="9" t="n">
        <x:v>0</x:v>
      </x:c>
      <x:c r="I2378" s="7" t="n">
        <x:v>1040</x:v>
      </x:c>
    </x:row>
    <x:row r="2379" ht="23" customHeight="1">
      <x:c r="A2379" s="7" t="str">
        <x:v>INV02374</x:v>
      </x:c>
      <x:c r="B2379" s="15" t="d">
        <x:v>2026-03-26T00:00:00.000Z</x:v>
      </x:c>
      <x:c r="C2379" s="14" t="d">
        <x:v>2026-03-01T00:00:00.000Z</x:v>
      </x:c>
      <x:c r="D2379" s="34" t="str">
        <x:v>0007</x:v>
      </x:c>
      <x:c r="E2379" s="7" t="str">
        <x:v>Central</x:v>
      </x:c>
      <x:c r="F2379" s="7" t="n">
        <x:v>6</x:v>
      </x:c>
      <x:c r="G2379" s="7" t="n">
        <x:v>280</x:v>
      </x:c>
      <x:c r="H2379" s="9" t="n">
        <x:v>0.02</x:v>
      </x:c>
      <x:c r="I2379" s="7" t="n">
        <x:v>1646.4</x:v>
      </x:c>
    </x:row>
    <x:row r="2380" ht="23" customHeight="1">
      <x:c r="A2380" s="7" t="str">
        <x:v>INV02375</x:v>
      </x:c>
      <x:c r="B2380" s="15" t="d">
        <x:v>2026-03-27T00:00:00.000Z</x:v>
      </x:c>
      <x:c r="C2380" s="14" t="d">
        <x:v>2026-03-01T00:00:00.000Z</x:v>
      </x:c>
      <x:c r="D2380" s="34" t="str">
        <x:v>0008</x:v>
      </x:c>
      <x:c r="E2380" s="7" t="str">
        <x:v>Central</x:v>
      </x:c>
      <x:c r="F2380" s="7" t="n">
        <x:v>1</x:v>
      </x:c>
      <x:c r="G2380" s="7" t="n">
        <x:v>300</x:v>
      </x:c>
      <x:c r="H2380" s="9" t="n">
        <x:v>0.05</x:v>
      </x:c>
      <x:c r="I2380" s="7" t="n">
        <x:v>285</x:v>
      </x:c>
    </x:row>
    <x:row r="2381" ht="23" customHeight="1">
      <x:c r="A2381" s="7" t="str">
        <x:v>INV02376</x:v>
      </x:c>
      <x:c r="B2381" s="15" t="d">
        <x:v>2026-03-01T00:00:00.000Z</x:v>
      </x:c>
      <x:c r="C2381" s="14" t="d">
        <x:v>2026-03-01T00:00:00.000Z</x:v>
      </x:c>
      <x:c r="D2381" s="34" t="str">
        <x:v>0001</x:v>
      </x:c>
      <x:c r="E2381" s="7" t="str">
        <x:v>East</x:v>
      </x:c>
      <x:c r="F2381" s="7" t="n">
        <x:v>1</x:v>
      </x:c>
      <x:c r="G2381" s="7" t="n">
        <x:v>160</x:v>
      </x:c>
      <x:c r="H2381" s="9" t="n">
        <x:v>0</x:v>
      </x:c>
      <x:c r="I2381" s="7" t="n">
        <x:v>160</x:v>
      </x:c>
    </x:row>
    <x:row r="2382" ht="23" customHeight="1">
      <x:c r="A2382" s="7" t="str">
        <x:v>INV02377</x:v>
      </x:c>
      <x:c r="B2382" s="15" t="d">
        <x:v>2026-03-02T00:00:00.000Z</x:v>
      </x:c>
      <x:c r="C2382" s="14" t="d">
        <x:v>2026-03-01T00:00:00.000Z</x:v>
      </x:c>
      <x:c r="D2382" s="34" t="str">
        <x:v>0002</x:v>
      </x:c>
      <x:c r="E2382" s="7" t="str">
        <x:v>East</x:v>
      </x:c>
      <x:c r="F2382" s="7" t="n">
        <x:v>5</x:v>
      </x:c>
      <x:c r="G2382" s="7" t="n">
        <x:v>180</x:v>
      </x:c>
      <x:c r="H2382" s="9" t="n">
        <x:v>0.02</x:v>
      </x:c>
      <x:c r="I2382" s="7" t="n">
        <x:v>882</x:v>
      </x:c>
    </x:row>
    <x:row r="2383" ht="23" customHeight="1">
      <x:c r="A2383" s="7" t="str">
        <x:v>INV02378</x:v>
      </x:c>
      <x:c r="B2383" s="15" t="d">
        <x:v>2026-03-03T00:00:00.000Z</x:v>
      </x:c>
      <x:c r="C2383" s="14" t="d">
        <x:v>2026-03-01T00:00:00.000Z</x:v>
      </x:c>
      <x:c r="D2383" s="34" t="str">
        <x:v>0003</x:v>
      </x:c>
      <x:c r="E2383" s="7" t="str">
        <x:v>East</x:v>
      </x:c>
      <x:c r="F2383" s="7" t="n">
        <x:v>-7</x:v>
      </x:c>
      <x:c r="G2383" s="7" t="n">
        <x:v>200</x:v>
      </x:c>
      <x:c r="H2383" s="9" t="n">
        <x:v>0.05</x:v>
      </x:c>
      <x:c r="I2383" s="7" t="n">
        <x:v>-1330</x:v>
      </x:c>
    </x:row>
    <x:row r="2384" ht="23" customHeight="1">
      <x:c r="A2384" s="7" t="str">
        <x:v>INV02379</x:v>
      </x:c>
      <x:c r="B2384" s="15" t="d">
        <x:v>2026-03-04T00:00:00.000Z</x:v>
      </x:c>
      <x:c r="C2384" s="14" t="d">
        <x:v>2026-03-01T00:00:00.000Z</x:v>
      </x:c>
      <x:c r="D2384" s="34" t="str">
        <x:v>0004</x:v>
      </x:c>
      <x:c r="E2384" s="7" t="str">
        <x:v>East</x:v>
      </x:c>
      <x:c r="F2384" s="7" t="n">
        <x:v>1</x:v>
      </x:c>
      <x:c r="G2384" s="7" t="n">
        <x:v>220</x:v>
      </x:c>
      <x:c r="H2384" s="9" t="n">
        <x:v>0</x:v>
      </x:c>
      <x:c r="I2384" s="7" t="n">
        <x:v>220</x:v>
      </x:c>
    </x:row>
    <x:row r="2385" ht="23" customHeight="1">
      <x:c r="A2385" s="7" t="str">
        <x:v>INV02380</x:v>
      </x:c>
      <x:c r="B2385" s="15" t="d">
        <x:v>2026-03-05T00:00:00.000Z</x:v>
      </x:c>
      <x:c r="C2385" s="14" t="d">
        <x:v>2026-03-01T00:00:00.000Z</x:v>
      </x:c>
      <x:c r="D2385" s="34" t="str">
        <x:v>0005</x:v>
      </x:c>
      <x:c r="E2385" s="7" t="str">
        <x:v>East</x:v>
      </x:c>
      <x:c r="F2385" s="7" t="n">
        <x:v>6</x:v>
      </x:c>
      <x:c r="G2385" s="7" t="n">
        <x:v>240</x:v>
      </x:c>
      <x:c r="H2385" s="9" t="n">
        <x:v>0.02</x:v>
      </x:c>
      <x:c r="I2385" s="7" t="n">
        <x:v>1411.2</x:v>
      </x:c>
    </x:row>
    <x:row r="2386" ht="23" customHeight="1">
      <x:c r="A2386" s="7" t="str">
        <x:v>INV02381</x:v>
      </x:c>
      <x:c r="B2386" s="15" t="d">
        <x:v>2026-03-06T00:00:00.000Z</x:v>
      </x:c>
      <x:c r="C2386" s="14" t="d">
        <x:v>2026-03-01T00:00:00.000Z</x:v>
      </x:c>
      <x:c r="D2386" s="34" t="str">
        <x:v>0006</x:v>
      </x:c>
      <x:c r="E2386" s="7" t="str">
        <x:v>East</x:v>
      </x:c>
      <x:c r="F2386" s="7" t="n">
        <x:v>4</x:v>
      </x:c>
      <x:c r="G2386" s="7" t="n">
        <x:v>260</x:v>
      </x:c>
      <x:c r="H2386" s="9" t="n">
        <x:v>0.05</x:v>
      </x:c>
      <x:c r="I2386" s="7" t="n">
        <x:v>988</x:v>
      </x:c>
    </x:row>
    <x:row r="2387" ht="23" customHeight="1">
      <x:c r="A2387" s="7" t="str">
        <x:v>INV02382</x:v>
      </x:c>
      <x:c r="B2387" s="15" t="d">
        <x:v>2026-03-07T00:00:00.000Z</x:v>
      </x:c>
      <x:c r="C2387" s="14" t="d">
        <x:v>2026-03-01T00:00:00.000Z</x:v>
      </x:c>
      <x:c r="D2387" s="34" t="str">
        <x:v>0007</x:v>
      </x:c>
      <x:c r="E2387" s="7" t="str">
        <x:v>East</x:v>
      </x:c>
      <x:c r="F2387" s="7" t="n">
        <x:v>4</x:v>
      </x:c>
      <x:c r="G2387" s="7" t="n">
        <x:v>280</x:v>
      </x:c>
      <x:c r="H2387" s="9" t="n">
        <x:v>0</x:v>
      </x:c>
      <x:c r="I2387" s="7" t="n">
        <x:v>1120</x:v>
      </x:c>
    </x:row>
    <x:row r="2388" ht="23" customHeight="1">
      <x:c r="A2388" s="7" t="str">
        <x:v>INV02383</x:v>
      </x:c>
      <x:c r="B2388" s="15" t="d">
        <x:v>2026-03-08T00:00:00.000Z</x:v>
      </x:c>
      <x:c r="C2388" s="14" t="d">
        <x:v>2026-03-01T00:00:00.000Z</x:v>
      </x:c>
      <x:c r="D2388" s="34" t="str">
        <x:v>0008</x:v>
      </x:c>
      <x:c r="E2388" s="7" t="str">
        <x:v>East</x:v>
      </x:c>
      <x:c r="F2388" s="7" t="n">
        <x:v>7</x:v>
      </x:c>
      <x:c r="G2388" s="7" t="n">
        <x:v>300</x:v>
      </x:c>
      <x:c r="H2388" s="9" t="n">
        <x:v>0.02</x:v>
      </x:c>
      <x:c r="I2388" s="7" t="n">
        <x:v>2058</x:v>
      </x:c>
    </x:row>
    <x:row r="2389" ht="23" customHeight="1">
      <x:c r="A2389" s="7" t="str">
        <x:v>INV02384</x:v>
      </x:c>
      <x:c r="B2389" s="15" t="d">
        <x:v>2026-03-09T00:00:00.000Z</x:v>
      </x:c>
      <x:c r="C2389" s="14" t="d">
        <x:v>2026-03-01T00:00:00.000Z</x:v>
      </x:c>
      <x:c r="D2389" s="34" t="str">
        <x:v>0001</x:v>
      </x:c>
      <x:c r="E2389" s="7" t="str">
        <x:v>West</x:v>
      </x:c>
      <x:c r="F2389" s="7" t="n">
        <x:v>3</x:v>
      </x:c>
      <x:c r="G2389" s="7" t="n">
        <x:v>160</x:v>
      </x:c>
      <x:c r="H2389" s="9" t="n">
        <x:v>0.05</x:v>
      </x:c>
      <x:c r="I2389" s="7" t="n">
        <x:v>456</x:v>
      </x:c>
    </x:row>
    <x:row r="2390" ht="23" customHeight="1">
      <x:c r="A2390" s="7" t="str">
        <x:v>INV02385</x:v>
      </x:c>
      <x:c r="B2390" s="15" t="d">
        <x:v>2026-03-10T00:00:00.000Z</x:v>
      </x:c>
      <x:c r="C2390" s="14" t="d">
        <x:v>2026-03-01T00:00:00.000Z</x:v>
      </x:c>
      <x:c r="D2390" s="34" t="str">
        <x:v>0002</x:v>
      </x:c>
      <x:c r="E2390" s="7" t="str">
        <x:v>West</x:v>
      </x:c>
      <x:c r="F2390" s="7" t="n">
        <x:v>5</x:v>
      </x:c>
      <x:c r="G2390" s="7" t="n">
        <x:v>180</x:v>
      </x:c>
      <x:c r="H2390" s="9" t="n">
        <x:v>0</x:v>
      </x:c>
      <x:c r="I2390" s="7" t="n">
        <x:v>900</x:v>
      </x:c>
    </x:row>
    <x:row r="2391" ht="23" customHeight="1">
      <x:c r="A2391" s="7" t="str">
        <x:v>INV02386</x:v>
      </x:c>
      <x:c r="B2391" s="15" t="d">
        <x:v>2026-03-11T00:00:00.000Z</x:v>
      </x:c>
      <x:c r="C2391" s="14" t="d">
        <x:v>2026-03-01T00:00:00.000Z</x:v>
      </x:c>
      <x:c r="D2391" s="34" t="str">
        <x:v>0003</x:v>
      </x:c>
      <x:c r="E2391" s="7" t="str">
        <x:v>West</x:v>
      </x:c>
      <x:c r="F2391" s="7" t="n">
        <x:v>1</x:v>
      </x:c>
      <x:c r="G2391" s="7" t="n">
        <x:v>200</x:v>
      </x:c>
      <x:c r="H2391" s="9" t="n">
        <x:v>0.02</x:v>
      </x:c>
      <x:c r="I2391" s="7" t="n">
        <x:v>196</x:v>
      </x:c>
    </x:row>
    <x:row r="2392" ht="23" customHeight="1">
      <x:c r="A2392" s="7" t="str">
        <x:v>INV02387</x:v>
      </x:c>
      <x:c r="B2392" s="15" t="d">
        <x:v>2026-03-12T00:00:00.000Z</x:v>
      </x:c>
      <x:c r="C2392" s="14" t="d">
        <x:v>2026-03-01T00:00:00.000Z</x:v>
      </x:c>
      <x:c r="D2392" s="34" t="str">
        <x:v>0004</x:v>
      </x:c>
      <x:c r="E2392" s="7" t="str">
        <x:v>West</x:v>
      </x:c>
      <x:c r="F2392" s="7" t="n">
        <x:v>2</x:v>
      </x:c>
      <x:c r="G2392" s="7" t="n">
        <x:v>220</x:v>
      </x:c>
      <x:c r="H2392" s="9" t="n">
        <x:v>0.05</x:v>
      </x:c>
      <x:c r="I2392" s="7" t="n">
        <x:v>418</x:v>
      </x:c>
    </x:row>
    <x:row r="2393" ht="23" customHeight="1">
      <x:c r="A2393" s="7" t="str">
        <x:v>INV02388</x:v>
      </x:c>
      <x:c r="B2393" s="15" t="d">
        <x:v>2026-03-13T00:00:00.000Z</x:v>
      </x:c>
      <x:c r="C2393" s="14" t="d">
        <x:v>2026-03-01T00:00:00.000Z</x:v>
      </x:c>
      <x:c r="D2393" s="34" t="str">
        <x:v>0005</x:v>
      </x:c>
      <x:c r="E2393" s="7" t="str">
        <x:v>West</x:v>
      </x:c>
      <x:c r="F2393" s="7" t="n">
        <x:v>5</x:v>
      </x:c>
      <x:c r="G2393" s="7" t="n">
        <x:v>240</x:v>
      </x:c>
      <x:c r="H2393" s="9" t="n">
        <x:v>0</x:v>
      </x:c>
      <x:c r="I2393" s="7" t="n">
        <x:v>1200</x:v>
      </x:c>
    </x:row>
    <x:row r="2394" ht="23" customHeight="1">
      <x:c r="A2394" s="7" t="str">
        <x:v>INV02389</x:v>
      </x:c>
      <x:c r="B2394" s="15" t="d">
        <x:v>2026-03-14T00:00:00.000Z</x:v>
      </x:c>
      <x:c r="C2394" s="14" t="d">
        <x:v>2026-03-01T00:00:00.000Z</x:v>
      </x:c>
      <x:c r="D2394" s="34" t="str">
        <x:v>0006</x:v>
      </x:c>
      <x:c r="E2394" s="7" t="str">
        <x:v>West</x:v>
      </x:c>
      <x:c r="F2394" s="7" t="n">
        <x:v>6</x:v>
      </x:c>
      <x:c r="G2394" s="7" t="n">
        <x:v>260</x:v>
      </x:c>
      <x:c r="H2394" s="9" t="n">
        <x:v>0.02</x:v>
      </x:c>
      <x:c r="I2394" s="7" t="n">
        <x:v>1528.8</x:v>
      </x:c>
    </x:row>
    <x:row r="2395" ht="23" customHeight="1">
      <x:c r="A2395" s="7" t="str">
        <x:v>INV02390</x:v>
      </x:c>
      <x:c r="B2395" s="15" t="d">
        <x:v>2026-03-15T00:00:00.000Z</x:v>
      </x:c>
      <x:c r="C2395" s="14" t="d">
        <x:v>2026-03-01T00:00:00.000Z</x:v>
      </x:c>
      <x:c r="D2395" s="34" t="str">
        <x:v>0007</x:v>
      </x:c>
      <x:c r="E2395" s="7" t="str">
        <x:v>West</x:v>
      </x:c>
      <x:c r="F2395" s="7" t="n">
        <x:v>2</x:v>
      </x:c>
      <x:c r="G2395" s="7" t="n">
        <x:v>280</x:v>
      </x:c>
      <x:c r="H2395" s="9" t="n">
        <x:v>0.05</x:v>
      </x:c>
      <x:c r="I2395" s="7" t="n">
        <x:v>532</x:v>
      </x:c>
    </x:row>
    <x:row r="2396" ht="23" customHeight="1">
      <x:c r="A2396" s="7" t="str">
        <x:v>INV02391</x:v>
      </x:c>
      <x:c r="B2396" s="15" t="d">
        <x:v>2026-03-16T00:00:00.000Z</x:v>
      </x:c>
      <x:c r="C2396" s="14" t="d">
        <x:v>2026-03-01T00:00:00.000Z</x:v>
      </x:c>
      <x:c r="D2396" s="34" t="str">
        <x:v>0008</x:v>
      </x:c>
      <x:c r="E2396" s="7" t="str">
        <x:v>West</x:v>
      </x:c>
      <x:c r="F2396" s="7" t="n">
        <x:v>7</x:v>
      </x:c>
      <x:c r="G2396" s="7" t="n">
        <x:v>300</x:v>
      </x:c>
      <x:c r="H2396" s="9" t="n">
        <x:v>0</x:v>
      </x:c>
      <x:c r="I2396" s="7" t="n">
        <x:v>2100</x:v>
      </x:c>
    </x:row>
    <x:row r="2397" ht="23" customHeight="1">
      <x:c r="A2397" s="7" t="str">
        <x:v>INV02392</x:v>
      </x:c>
      <x:c r="B2397" s="15" t="d">
        <x:v>2026-03-17T00:00:00.000Z</x:v>
      </x:c>
      <x:c r="C2397" s="14" t="d">
        <x:v>2026-03-01T00:00:00.000Z</x:v>
      </x:c>
      <x:c r="D2397" s="34" t="str">
        <x:v>0001</x:v>
      </x:c>
      <x:c r="E2397" s="7" t="str">
        <x:v>North</x:v>
      </x:c>
      <x:c r="F2397" s="7" t="n">
        <x:v>3</x:v>
      </x:c>
      <x:c r="G2397" s="7" t="n">
        <x:v>160</x:v>
      </x:c>
      <x:c r="H2397" s="9" t="n">
        <x:v>0.02</x:v>
      </x:c>
      <x:c r="I2397" s="7" t="n">
        <x:v>470.4</x:v>
      </x:c>
    </x:row>
    <x:row r="2398" ht="23" customHeight="1">
      <x:c r="A2398" s="7" t="str">
        <x:v>INV02393</x:v>
      </x:c>
      <x:c r="B2398" s="15" t="d">
        <x:v>2026-03-18T00:00:00.000Z</x:v>
      </x:c>
      <x:c r="C2398" s="14" t="d">
        <x:v>2026-03-01T00:00:00.000Z</x:v>
      </x:c>
      <x:c r="D2398" s="34" t="str">
        <x:v>0002</x:v>
      </x:c>
      <x:c r="E2398" s="7" t="str">
        <x:v>North</x:v>
      </x:c>
      <x:c r="F2398" s="7" t="n">
        <x:v>4</x:v>
      </x:c>
      <x:c r="G2398" s="7" t="n">
        <x:v>180</x:v>
      </x:c>
      <x:c r="H2398" s="9" t="n">
        <x:v>0.05</x:v>
      </x:c>
      <x:c r="I2398" s="7" t="n">
        <x:v>684</x:v>
      </x:c>
    </x:row>
    <x:row r="2399" ht="23" customHeight="1">
      <x:c r="A2399" s="7" t="str">
        <x:v>INV02394</x:v>
      </x:c>
      <x:c r="B2399" s="15" t="d">
        <x:v>2026-03-19T00:00:00.000Z</x:v>
      </x:c>
      <x:c r="C2399" s="14" t="d">
        <x:v>2026-03-01T00:00:00.000Z</x:v>
      </x:c>
      <x:c r="D2399" s="34" t="str">
        <x:v>0003</x:v>
      </x:c>
      <x:c r="E2399" s="7" t="str">
        <x:v>North</x:v>
      </x:c>
      <x:c r="F2399" s="7" t="n">
        <x:v>6</x:v>
      </x:c>
      <x:c r="G2399" s="7" t="n">
        <x:v>200</x:v>
      </x:c>
      <x:c r="H2399" s="9" t="n">
        <x:v>0</x:v>
      </x:c>
      <x:c r="I2399" s="7" t="n">
        <x:v>1200</x:v>
      </x:c>
    </x:row>
    <x:row r="2400" ht="23" customHeight="1">
      <x:c r="A2400" s="7" t="str">
        <x:v>INV02395</x:v>
      </x:c>
      <x:c r="B2400" s="15" t="d">
        <x:v>2026-03-20T00:00:00.000Z</x:v>
      </x:c>
      <x:c r="C2400" s="14" t="d">
        <x:v>2026-03-01T00:00:00.000Z</x:v>
      </x:c>
      <x:c r="D2400" s="34" t="str">
        <x:v>0004</x:v>
      </x:c>
      <x:c r="E2400" s="7" t="str">
        <x:v>North</x:v>
      </x:c>
      <x:c r="F2400" s="7" t="n">
        <x:v>6</x:v>
      </x:c>
      <x:c r="G2400" s="7" t="n">
        <x:v>220</x:v>
      </x:c>
      <x:c r="H2400" s="9" t="n">
        <x:v>0.02</x:v>
      </x:c>
      <x:c r="I2400" s="7" t="n">
        <x:v>1293.6</x:v>
      </x:c>
    </x:row>
    <x:row r="2401" ht="23" customHeight="1">
      <x:c r="A2401" s="7" t="str">
        <x:v>INV02396</x:v>
      </x:c>
      <x:c r="B2401" s="15" t="d">
        <x:v>2026-03-21T00:00:00.000Z</x:v>
      </x:c>
      <x:c r="C2401" s="14" t="d">
        <x:v>2026-03-01T00:00:00.000Z</x:v>
      </x:c>
      <x:c r="D2401" s="34" t="str">
        <x:v>0005</x:v>
      </x:c>
      <x:c r="E2401" s="7" t="str">
        <x:v>North</x:v>
      </x:c>
      <x:c r="F2401" s="7" t="n">
        <x:v>2</x:v>
      </x:c>
      <x:c r="G2401" s="7" t="n">
        <x:v>240</x:v>
      </x:c>
      <x:c r="H2401" s="9" t="n">
        <x:v>0.05</x:v>
      </x:c>
      <x:c r="I2401" s="7" t="n">
        <x:v>456</x:v>
      </x:c>
    </x:row>
    <x:row r="2402" ht="23" customHeight="1">
      <x:c r="A2402" s="7" t="str">
        <x:v>INV02397</x:v>
      </x:c>
      <x:c r="B2402" s="15" t="d">
        <x:v>2026-03-22T00:00:00.000Z</x:v>
      </x:c>
      <x:c r="C2402" s="14" t="d">
        <x:v>2026-03-01T00:00:00.000Z</x:v>
      </x:c>
      <x:c r="D2402" s="34" t="str">
        <x:v>0006</x:v>
      </x:c>
      <x:c r="E2402" s="7" t="str">
        <x:v>North</x:v>
      </x:c>
      <x:c r="F2402" s="7" t="n">
        <x:v>7</x:v>
      </x:c>
      <x:c r="G2402" s="7" t="n">
        <x:v>260</x:v>
      </x:c>
      <x:c r="H2402" s="9" t="n">
        <x:v>0</x:v>
      </x:c>
      <x:c r="I2402" s="7" t="n">
        <x:v>1820</x:v>
      </x:c>
    </x:row>
    <x:row r="2403" ht="23" customHeight="1">
      <x:c r="A2403" s="7" t="str">
        <x:v>INV02398</x:v>
      </x:c>
      <x:c r="B2403" s="15" t="d">
        <x:v>2026-03-23T00:00:00.000Z</x:v>
      </x:c>
      <x:c r="C2403" s="14" t="d">
        <x:v>2026-03-01T00:00:00.000Z</x:v>
      </x:c>
      <x:c r="D2403" s="34" t="str">
        <x:v>0007</x:v>
      </x:c>
      <x:c r="E2403" s="7" t="str">
        <x:v>North</x:v>
      </x:c>
      <x:c r="F2403" s="7" t="n">
        <x:v>5</x:v>
      </x:c>
      <x:c r="G2403" s="7" t="n">
        <x:v>280</x:v>
      </x:c>
      <x:c r="H2403" s="9" t="n">
        <x:v>0.02</x:v>
      </x:c>
      <x:c r="I2403" s="7" t="n">
        <x:v>1372</x:v>
      </x:c>
    </x:row>
    <x:row r="2404" ht="23" customHeight="1">
      <x:c r="A2404" s="7" t="str">
        <x:v>INV02399</x:v>
      </x:c>
      <x:c r="B2404" s="15" t="d">
        <x:v>2026-03-24T00:00:00.000Z</x:v>
      </x:c>
      <x:c r="C2404" s="14" t="d">
        <x:v>2026-03-01T00:00:00.000Z</x:v>
      </x:c>
      <x:c r="D2404" s="34" t="str">
        <x:v>0008</x:v>
      </x:c>
      <x:c r="E2404" s="7" t="str">
        <x:v>North</x:v>
      </x:c>
      <x:c r="F2404" s="7" t="n">
        <x:v>6</x:v>
      </x:c>
      <x:c r="G2404" s="7" t="n">
        <x:v>300</x:v>
      </x:c>
      <x:c r="H2404" s="9" t="n">
        <x:v>0.05</x:v>
      </x:c>
      <x:c r="I2404" s="7" t="n">
        <x:v>1710</x:v>
      </x:c>
    </x:row>
    <x:row r="2405" ht="23" customHeight="1">
      <x:c r="A2405" s="7" t="str">
        <x:v>INV02400</x:v>
      </x:c>
      <x:c r="B2405" s="15" t="d">
        <x:v>2026-04-25T00:00:00.000Z</x:v>
      </x:c>
      <x:c r="C2405" s="14" t="d">
        <x:v>2026-04-01T00:00:00.000Z</x:v>
      </x:c>
      <x:c r="D2405" s="34" t="str">
        <x:v>0001</x:v>
      </x:c>
      <x:c r="E2405" s="7" t="str">
        <x:v>Central</x:v>
      </x:c>
      <x:c r="F2405" s="7" t="n">
        <x:v>1</x:v>
      </x:c>
      <x:c r="G2405" s="7" t="n">
        <x:v>160</x:v>
      </x:c>
      <x:c r="H2405" s="9" t="n">
        <x:v>0</x:v>
      </x:c>
      <x:c r="I2405" s="7" t="n">
        <x:v>160</x:v>
      </x:c>
    </x:row>
    <x:row r="2406" ht="23" customHeight="1">
      <x:c r="A2406" s="7" t="str">
        <x:v>INV02401</x:v>
      </x:c>
      <x:c r="B2406" s="15" t="d">
        <x:v>2026-04-26T00:00:00.000Z</x:v>
      </x:c>
      <x:c r="C2406" s="14" t="d">
        <x:v>2026-04-01T00:00:00.000Z</x:v>
      </x:c>
      <x:c r="D2406" s="34" t="str">
        <x:v>0002</x:v>
      </x:c>
      <x:c r="E2406" s="7" t="str">
        <x:v>Central</x:v>
      </x:c>
      <x:c r="F2406" s="7" t="n">
        <x:v>3</x:v>
      </x:c>
      <x:c r="G2406" s="7" t="n">
        <x:v>180</x:v>
      </x:c>
      <x:c r="H2406" s="9" t="n">
        <x:v>0.02</x:v>
      </x:c>
      <x:c r="I2406" s="7" t="n">
        <x:v>529.2</x:v>
      </x:c>
    </x:row>
    <x:row r="2407" ht="23" customHeight="1">
      <x:c r="A2407" s="7" t="str">
        <x:v>INV02402</x:v>
      </x:c>
      <x:c r="B2407" s="15" t="d">
        <x:v>2026-04-27T00:00:00.000Z</x:v>
      </x:c>
      <x:c r="C2407" s="14" t="d">
        <x:v>2026-04-01T00:00:00.000Z</x:v>
      </x:c>
      <x:c r="D2407" s="34" t="str">
        <x:v>0003</x:v>
      </x:c>
      <x:c r="E2407" s="7" t="str">
        <x:v>Central</x:v>
      </x:c>
      <x:c r="F2407" s="7" t="n">
        <x:v>3</x:v>
      </x:c>
      <x:c r="G2407" s="7" t="n">
        <x:v>200</x:v>
      </x:c>
      <x:c r="H2407" s="9" t="n">
        <x:v>0.05</x:v>
      </x:c>
      <x:c r="I2407" s="7" t="n">
        <x:v>570</x:v>
      </x:c>
    </x:row>
    <x:row r="2408" ht="23" customHeight="1">
      <x:c r="A2408" s="7" t="str">
        <x:v>INV02403</x:v>
      </x:c>
      <x:c r="B2408" s="15" t="d">
        <x:v>2026-04-01T00:00:00.000Z</x:v>
      </x:c>
      <x:c r="C2408" s="14" t="d">
        <x:v>2026-04-01T00:00:00.000Z</x:v>
      </x:c>
      <x:c r="D2408" s="34" t="str">
        <x:v>0004</x:v>
      </x:c>
      <x:c r="E2408" s="7" t="str">
        <x:v>Central</x:v>
      </x:c>
      <x:c r="F2408" s="7" t="n">
        <x:v>6</x:v>
      </x:c>
      <x:c r="G2408" s="7" t="n">
        <x:v>220</x:v>
      </x:c>
      <x:c r="H2408" s="9" t="n">
        <x:v>0</x:v>
      </x:c>
      <x:c r="I2408" s="7" t="n">
        <x:v>1320</x:v>
      </x:c>
    </x:row>
    <x:row r="2409" ht="23" customHeight="1">
      <x:c r="A2409" s="7" t="str">
        <x:v>INV02404</x:v>
      </x:c>
      <x:c r="B2409" s="15" t="d">
        <x:v>2026-04-02T00:00:00.000Z</x:v>
      </x:c>
      <x:c r="C2409" s="14" t="d">
        <x:v>2026-04-01T00:00:00.000Z</x:v>
      </x:c>
      <x:c r="D2409" s="34" t="str">
        <x:v>0005</x:v>
      </x:c>
      <x:c r="E2409" s="7" t="str">
        <x:v>Central</x:v>
      </x:c>
      <x:c r="F2409" s="7" t="n">
        <x:v>1</x:v>
      </x:c>
      <x:c r="G2409" s="7" t="n">
        <x:v>240</x:v>
      </x:c>
      <x:c r="H2409" s="9" t="n">
        <x:v>0.02</x:v>
      </x:c>
      <x:c r="I2409" s="7" t="n">
        <x:v>235.2</x:v>
      </x:c>
    </x:row>
    <x:row r="2410" ht="23" customHeight="1">
      <x:c r="A2410" s="7" t="str">
        <x:v>INV02405</x:v>
      </x:c>
      <x:c r="B2410" s="15" t="d">
        <x:v>2026-04-03T00:00:00.000Z</x:v>
      </x:c>
      <x:c r="C2410" s="14" t="d">
        <x:v>2026-04-01T00:00:00.000Z</x:v>
      </x:c>
      <x:c r="D2410" s="34" t="str">
        <x:v>0006</x:v>
      </x:c>
      <x:c r="E2410" s="7" t="str">
        <x:v>Central</x:v>
      </x:c>
      <x:c r="F2410" s="7" t="n">
        <x:v>3</x:v>
      </x:c>
      <x:c r="G2410" s="7" t="n">
        <x:v>260</x:v>
      </x:c>
      <x:c r="H2410" s="9" t="n">
        <x:v>0.05</x:v>
      </x:c>
      <x:c r="I2410" s="7" t="n">
        <x:v>741</x:v>
      </x:c>
    </x:row>
    <x:row r="2411" ht="23" customHeight="1">
      <x:c r="A2411" s="7" t="str">
        <x:v>INV02406</x:v>
      </x:c>
      <x:c r="B2411" s="15" t="d">
        <x:v>2026-04-04T00:00:00.000Z</x:v>
      </x:c>
      <x:c r="C2411" s="14" t="d">
        <x:v>2026-04-01T00:00:00.000Z</x:v>
      </x:c>
      <x:c r="D2411" s="34" t="str">
        <x:v>0007</x:v>
      </x:c>
      <x:c r="E2411" s="7" t="str">
        <x:v>Central</x:v>
      </x:c>
      <x:c r="F2411" s="7" t="n">
        <x:v>4</x:v>
      </x:c>
      <x:c r="G2411" s="7" t="n">
        <x:v>280</x:v>
      </x:c>
      <x:c r="H2411" s="9" t="n">
        <x:v>0</x:v>
      </x:c>
      <x:c r="I2411" s="7" t="n">
        <x:v>1120</x:v>
      </x:c>
    </x:row>
    <x:row r="2412" ht="23" customHeight="1">
      <x:c r="A2412" s="7" t="str">
        <x:v>INV02407</x:v>
      </x:c>
      <x:c r="B2412" s="15" t="d">
        <x:v>2026-04-05T00:00:00.000Z</x:v>
      </x:c>
      <x:c r="C2412" s="14" t="d">
        <x:v>2026-04-01T00:00:00.000Z</x:v>
      </x:c>
      <x:c r="D2412" s="34" t="str">
        <x:v>0008</x:v>
      </x:c>
      <x:c r="E2412" s="7" t="str">
        <x:v>Central</x:v>
      </x:c>
      <x:c r="F2412" s="7" t="n">
        <x:v>2</x:v>
      </x:c>
      <x:c r="G2412" s="7" t="n">
        <x:v>300</x:v>
      </x:c>
      <x:c r="H2412" s="9" t="n">
        <x:v>0.02</x:v>
      </x:c>
      <x:c r="I2412" s="7" t="n">
        <x:v>588</x:v>
      </x:c>
    </x:row>
    <x:row r="2413" ht="23" customHeight="1">
      <x:c r="A2413" s="7" t="str">
        <x:v>INV02408</x:v>
      </x:c>
      <x:c r="B2413" s="15" t="d">
        <x:v>2026-04-06T00:00:00.000Z</x:v>
      </x:c>
      <x:c r="C2413" s="14" t="d">
        <x:v>2026-04-01T00:00:00.000Z</x:v>
      </x:c>
      <x:c r="D2413" s="34" t="str">
        <x:v>0001</x:v>
      </x:c>
      <x:c r="E2413" s="7" t="str">
        <x:v>East</x:v>
      </x:c>
      <x:c r="F2413" s="7" t="n">
        <x:v>3</x:v>
      </x:c>
      <x:c r="G2413" s="7" t="n">
        <x:v>160</x:v>
      </x:c>
      <x:c r="H2413" s="9" t="n">
        <x:v>0.05</x:v>
      </x:c>
      <x:c r="I2413" s="7" t="n">
        <x:v>456</x:v>
      </x:c>
    </x:row>
    <x:row r="2414" ht="23" customHeight="1">
      <x:c r="A2414" s="7" t="str">
        <x:v>INV02409</x:v>
      </x:c>
      <x:c r="B2414" s="15" t="d">
        <x:v>2026-04-07T00:00:00.000Z</x:v>
      </x:c>
      <x:c r="C2414" s="14" t="d">
        <x:v>2026-04-01T00:00:00.000Z</x:v>
      </x:c>
      <x:c r="D2414" s="34" t="str">
        <x:v>0002</x:v>
      </x:c>
      <x:c r="E2414" s="7" t="str">
        <x:v>East</x:v>
      </x:c>
      <x:c r="F2414" s="7" t="n">
        <x:v>5</x:v>
      </x:c>
      <x:c r="G2414" s="7" t="n">
        <x:v>180</x:v>
      </x:c>
      <x:c r="H2414" s="9" t="n">
        <x:v>0</x:v>
      </x:c>
      <x:c r="I2414" s="7" t="n">
        <x:v>900</x:v>
      </x:c>
    </x:row>
    <x:row r="2415" ht="23" customHeight="1">
      <x:c r="A2415" s="7" t="str">
        <x:v>INV02410</x:v>
      </x:c>
      <x:c r="B2415" s="15" t="d">
        <x:v>2026-04-08T00:00:00.000Z</x:v>
      </x:c>
      <x:c r="C2415" s="14" t="d">
        <x:v>2026-04-01T00:00:00.000Z</x:v>
      </x:c>
      <x:c r="D2415" s="34" t="str">
        <x:v>0003</x:v>
      </x:c>
      <x:c r="E2415" s="7" t="str">
        <x:v>East</x:v>
      </x:c>
      <x:c r="F2415" s="7" t="n">
        <x:v>3</x:v>
      </x:c>
      <x:c r="G2415" s="7" t="n">
        <x:v>200</x:v>
      </x:c>
      <x:c r="H2415" s="9" t="n">
        <x:v>0.02</x:v>
      </x:c>
      <x:c r="I2415" s="7" t="n">
        <x:v>588</x:v>
      </x:c>
    </x:row>
    <x:row r="2416" ht="23" customHeight="1">
      <x:c r="A2416" s="7" t="str">
        <x:v>INV02411</x:v>
      </x:c>
      <x:c r="B2416" s="15" t="d">
        <x:v>2026-04-09T00:00:00.000Z</x:v>
      </x:c>
      <x:c r="C2416" s="14" t="d">
        <x:v>2026-04-01T00:00:00.000Z</x:v>
      </x:c>
      <x:c r="D2416" s="34" t="str">
        <x:v>0004</x:v>
      </x:c>
      <x:c r="E2416" s="7" t="str">
        <x:v>East</x:v>
      </x:c>
      <x:c r="F2416" s="7" t="n">
        <x:v>3</x:v>
      </x:c>
      <x:c r="G2416" s="7" t="n">
        <x:v>220</x:v>
      </x:c>
      <x:c r="H2416" s="9" t="n">
        <x:v>0.05</x:v>
      </x:c>
      <x:c r="I2416" s="7" t="n">
        <x:v>627</x:v>
      </x:c>
    </x:row>
    <x:row r="2417" ht="23" customHeight="1">
      <x:c r="A2417" s="7" t="str">
        <x:v>INV02412</x:v>
      </x:c>
      <x:c r="B2417" s="15" t="d">
        <x:v>2026-04-10T00:00:00.000Z</x:v>
      </x:c>
      <x:c r="C2417" s="14" t="d">
        <x:v>2026-04-01T00:00:00.000Z</x:v>
      </x:c>
      <x:c r="D2417" s="34" t="str">
        <x:v>0005</x:v>
      </x:c>
      <x:c r="E2417" s="7" t="str">
        <x:v>East</x:v>
      </x:c>
      <x:c r="F2417" s="7" t="n">
        <x:v>3</x:v>
      </x:c>
      <x:c r="G2417" s="7" t="n">
        <x:v>240</x:v>
      </x:c>
      <x:c r="H2417" s="9" t="n">
        <x:v>0</x:v>
      </x:c>
      <x:c r="I2417" s="7" t="n">
        <x:v>720</x:v>
      </x:c>
    </x:row>
    <x:row r="2418" ht="23" customHeight="1">
      <x:c r="A2418" s="7" t="str">
        <x:v>INV02413</x:v>
      </x:c>
      <x:c r="B2418" s="15" t="d">
        <x:v>2026-04-11T00:00:00.000Z</x:v>
      </x:c>
      <x:c r="C2418" s="14" t="d">
        <x:v>2026-04-01T00:00:00.000Z</x:v>
      </x:c>
      <x:c r="D2418" s="34" t="str">
        <x:v>0006</x:v>
      </x:c>
      <x:c r="E2418" s="7" t="str">
        <x:v>East</x:v>
      </x:c>
      <x:c r="F2418" s="7" t="n">
        <x:v>6</x:v>
      </x:c>
      <x:c r="G2418" s="7" t="n">
        <x:v>260</x:v>
      </x:c>
      <x:c r="H2418" s="9" t="n">
        <x:v>0.02</x:v>
      </x:c>
      <x:c r="I2418" s="7" t="n">
        <x:v>1528.8</x:v>
      </x:c>
    </x:row>
    <x:row r="2419" ht="23" customHeight="1">
      <x:c r="A2419" s="7" t="str">
        <x:v>INV02414</x:v>
      </x:c>
      <x:c r="B2419" s="15" t="d">
        <x:v>2026-04-12T00:00:00.000Z</x:v>
      </x:c>
      <x:c r="C2419" s="14" t="d">
        <x:v>2026-04-01T00:00:00.000Z</x:v>
      </x:c>
      <x:c r="D2419" s="34" t="str">
        <x:v>0007</x:v>
      </x:c>
      <x:c r="E2419" s="7" t="str">
        <x:v>East</x:v>
      </x:c>
      <x:c r="F2419" s="7" t="n">
        <x:v>5</x:v>
      </x:c>
      <x:c r="G2419" s="7" t="n">
        <x:v>280</x:v>
      </x:c>
      <x:c r="H2419" s="9" t="n">
        <x:v>0.05</x:v>
      </x:c>
      <x:c r="I2419" s="7" t="n">
        <x:v>1330</x:v>
      </x:c>
    </x:row>
    <x:row r="2420" ht="23" customHeight="1">
      <x:c r="A2420" s="7" t="str">
        <x:v>INV02415</x:v>
      </x:c>
      <x:c r="B2420" s="15" t="d">
        <x:v>2026-04-13T00:00:00.000Z</x:v>
      </x:c>
      <x:c r="C2420" s="14" t="d">
        <x:v>2026-04-01T00:00:00.000Z</x:v>
      </x:c>
      <x:c r="D2420" s="34" t="str">
        <x:v>0008</x:v>
      </x:c>
      <x:c r="E2420" s="7" t="str">
        <x:v>East</x:v>
      </x:c>
      <x:c r="F2420" s="7" t="n">
        <x:v>7</x:v>
      </x:c>
      <x:c r="G2420" s="7" t="n">
        <x:v>300</x:v>
      </x:c>
      <x:c r="H2420" s="9" t="n">
        <x:v>0</x:v>
      </x:c>
      <x:c r="I2420" s="7" t="n">
        <x:v>2100</x:v>
      </x:c>
    </x:row>
    <x:row r="2421" ht="23" customHeight="1">
      <x:c r="A2421" s="7" t="str">
        <x:v>INV02416</x:v>
      </x:c>
      <x:c r="B2421" s="15" t="d">
        <x:v>2026-04-14T00:00:00.000Z</x:v>
      </x:c>
      <x:c r="C2421" s="14" t="d">
        <x:v>2026-04-01T00:00:00.000Z</x:v>
      </x:c>
      <x:c r="D2421" s="34" t="str">
        <x:v>0001</x:v>
      </x:c>
      <x:c r="E2421" s="7" t="str">
        <x:v>West</x:v>
      </x:c>
      <x:c r="F2421" s="7" t="n">
        <x:v>4</x:v>
      </x:c>
      <x:c r="G2421" s="7" t="n">
        <x:v>160</x:v>
      </x:c>
      <x:c r="H2421" s="9" t="n">
        <x:v>0.02</x:v>
      </x:c>
      <x:c r="I2421" s="7" t="n">
        <x:v>627.2</x:v>
      </x:c>
    </x:row>
    <x:row r="2422" ht="23" customHeight="1">
      <x:c r="A2422" s="7" t="str">
        <x:v>INV02417</x:v>
      </x:c>
      <x:c r="B2422" s="15" t="d">
        <x:v>2026-04-15T00:00:00.000Z</x:v>
      </x:c>
      <x:c r="C2422" s="14" t="d">
        <x:v>2026-04-01T00:00:00.000Z</x:v>
      </x:c>
      <x:c r="D2422" s="34" t="str">
        <x:v>0002</x:v>
      </x:c>
      <x:c r="E2422" s="7" t="str">
        <x:v>West</x:v>
      </x:c>
      <x:c r="F2422" s="7" t="n">
        <x:v>2</x:v>
      </x:c>
      <x:c r="G2422" s="7" t="n">
        <x:v>180</x:v>
      </x:c>
      <x:c r="H2422" s="9" t="n">
        <x:v>0.05</x:v>
      </x:c>
      <x:c r="I2422" s="7" t="n">
        <x:v>342</x:v>
      </x:c>
    </x:row>
    <x:row r="2423" ht="23" customHeight="1">
      <x:c r="A2423" s="7" t="str">
        <x:v>INV02418</x:v>
      </x:c>
      <x:c r="B2423" s="15" t="d">
        <x:v>2026-04-16T00:00:00.000Z</x:v>
      </x:c>
      <x:c r="C2423" s="14" t="d">
        <x:v>2026-04-01T00:00:00.000Z</x:v>
      </x:c>
      <x:c r="D2423" s="34" t="str">
        <x:v>0003</x:v>
      </x:c>
      <x:c r="E2423" s="7" t="str">
        <x:v>West</x:v>
      </x:c>
      <x:c r="F2423" s="7" t="n">
        <x:v>1</x:v>
      </x:c>
      <x:c r="G2423" s="7" t="n">
        <x:v>200</x:v>
      </x:c>
      <x:c r="H2423" s="9" t="n">
        <x:v>0</x:v>
      </x:c>
      <x:c r="I2423" s="7" t="n">
        <x:v>200</x:v>
      </x:c>
    </x:row>
    <x:row r="2424" ht="23" customHeight="1">
      <x:c r="A2424" s="7" t="str">
        <x:v>INV02419</x:v>
      </x:c>
      <x:c r="B2424" s="15" t="d">
        <x:v>2026-04-17T00:00:00.000Z</x:v>
      </x:c>
      <x:c r="C2424" s="14" t="d">
        <x:v>2026-04-01T00:00:00.000Z</x:v>
      </x:c>
      <x:c r="D2424" s="34" t="str">
        <x:v>0004</x:v>
      </x:c>
      <x:c r="E2424" s="7" t="str">
        <x:v>West</x:v>
      </x:c>
      <x:c r="F2424" s="7" t="n">
        <x:v>-1</x:v>
      </x:c>
      <x:c r="G2424" s="7" t="n">
        <x:v>220</x:v>
      </x:c>
      <x:c r="H2424" s="9" t="n">
        <x:v>0.02</x:v>
      </x:c>
      <x:c r="I2424" s="7" t="n">
        <x:v>-215.6</x:v>
      </x:c>
    </x:row>
    <x:row r="2425" ht="23" customHeight="1">
      <x:c r="A2425" s="7" t="str">
        <x:v>INV02420</x:v>
      </x:c>
      <x:c r="B2425" s="15" t="d">
        <x:v>2026-04-18T00:00:00.000Z</x:v>
      </x:c>
      <x:c r="C2425" s="14" t="d">
        <x:v>2026-04-01T00:00:00.000Z</x:v>
      </x:c>
      <x:c r="D2425" s="34" t="str">
        <x:v>0005</x:v>
      </x:c>
      <x:c r="E2425" s="7" t="str">
        <x:v>West</x:v>
      </x:c>
      <x:c r="F2425" s="7" t="n">
        <x:v>1</x:v>
      </x:c>
      <x:c r="G2425" s="7" t="n">
        <x:v>240</x:v>
      </x:c>
      <x:c r="H2425" s="9" t="n">
        <x:v>0.05</x:v>
      </x:c>
      <x:c r="I2425" s="7" t="n">
        <x:v>228</x:v>
      </x:c>
    </x:row>
    <x:row r="2426" ht="23" customHeight="1">
      <x:c r="A2426" s="7" t="str">
        <x:v>INV02421</x:v>
      </x:c>
      <x:c r="B2426" s="15" t="d">
        <x:v>2026-04-19T00:00:00.000Z</x:v>
      </x:c>
      <x:c r="C2426" s="14" t="d">
        <x:v>2026-04-01T00:00:00.000Z</x:v>
      </x:c>
      <x:c r="D2426" s="34" t="str">
        <x:v>0006</x:v>
      </x:c>
      <x:c r="E2426" s="7" t="str">
        <x:v>West</x:v>
      </x:c>
      <x:c r="F2426" s="7" t="n">
        <x:v>3</x:v>
      </x:c>
      <x:c r="G2426" s="7" t="n">
        <x:v>260</x:v>
      </x:c>
      <x:c r="H2426" s="9" t="n">
        <x:v>0</x:v>
      </x:c>
      <x:c r="I2426" s="7" t="n">
        <x:v>780</x:v>
      </x:c>
    </x:row>
    <x:row r="2427" ht="23" customHeight="1">
      <x:c r="A2427" s="7" t="str">
        <x:v>INV02422</x:v>
      </x:c>
      <x:c r="B2427" s="15" t="d">
        <x:v>2026-04-20T00:00:00.000Z</x:v>
      </x:c>
      <x:c r="C2427" s="14" t="d">
        <x:v>2026-04-01T00:00:00.000Z</x:v>
      </x:c>
      <x:c r="D2427" s="34" t="str">
        <x:v>0007</x:v>
      </x:c>
      <x:c r="E2427" s="7" t="str">
        <x:v>West</x:v>
      </x:c>
      <x:c r="F2427" s="7" t="n">
        <x:v>6</x:v>
      </x:c>
      <x:c r="G2427" s="7" t="n">
        <x:v>280</x:v>
      </x:c>
      <x:c r="H2427" s="9" t="n">
        <x:v>0.02</x:v>
      </x:c>
      <x:c r="I2427" s="7" t="n">
        <x:v>1646.4</x:v>
      </x:c>
    </x:row>
    <x:row r="2428" ht="23" customHeight="1">
      <x:c r="A2428" s="7" t="str">
        <x:v>INV02423</x:v>
      </x:c>
      <x:c r="B2428" s="15" t="d">
        <x:v>2026-04-21T00:00:00.000Z</x:v>
      </x:c>
      <x:c r="C2428" s="14" t="d">
        <x:v>2026-04-01T00:00:00.000Z</x:v>
      </x:c>
      <x:c r="D2428" s="34" t="str">
        <x:v>0008</x:v>
      </x:c>
      <x:c r="E2428" s="7" t="str">
        <x:v>West</x:v>
      </x:c>
      <x:c r="F2428" s="7" t="n">
        <x:v>2</x:v>
      </x:c>
      <x:c r="G2428" s="7" t="n">
        <x:v>300</x:v>
      </x:c>
      <x:c r="H2428" s="9" t="n">
        <x:v>0.05</x:v>
      </x:c>
      <x:c r="I2428" s="7" t="n">
        <x:v>570</x:v>
      </x:c>
    </x:row>
    <x:row r="2429" ht="23" customHeight="1">
      <x:c r="A2429" s="7" t="str">
        <x:v>INV02424</x:v>
      </x:c>
      <x:c r="B2429" s="15" t="d">
        <x:v>2026-04-22T00:00:00.000Z</x:v>
      </x:c>
      <x:c r="C2429" s="14" t="d">
        <x:v>2026-04-01T00:00:00.000Z</x:v>
      </x:c>
      <x:c r="D2429" s="34" t="str">
        <x:v>0001</x:v>
      </x:c>
      <x:c r="E2429" s="7" t="str">
        <x:v>North</x:v>
      </x:c>
      <x:c r="F2429" s="7" t="n">
        <x:v>3</x:v>
      </x:c>
      <x:c r="G2429" s="7" t="n">
        <x:v>160</x:v>
      </x:c>
      <x:c r="H2429" s="9" t="n">
        <x:v>0</x:v>
      </x:c>
      <x:c r="I2429" s="7" t="n">
        <x:v>480</x:v>
      </x:c>
    </x:row>
    <x:row r="2430" ht="23" customHeight="1">
      <x:c r="A2430" s="7" t="str">
        <x:v>INV02425</x:v>
      </x:c>
      <x:c r="B2430" s="15" t="d">
        <x:v>2026-04-23T00:00:00.000Z</x:v>
      </x:c>
      <x:c r="C2430" s="14" t="d">
        <x:v>2026-04-01T00:00:00.000Z</x:v>
      </x:c>
      <x:c r="D2430" s="34" t="str">
        <x:v>0002</x:v>
      </x:c>
      <x:c r="E2430" s="7" t="str">
        <x:v>North</x:v>
      </x:c>
      <x:c r="F2430" s="7" t="n">
        <x:v>3</x:v>
      </x:c>
      <x:c r="G2430" s="7" t="n">
        <x:v>180</x:v>
      </x:c>
      <x:c r="H2430" s="9" t="n">
        <x:v>0.02</x:v>
      </x:c>
      <x:c r="I2430" s="7" t="n">
        <x:v>529.2</x:v>
      </x:c>
    </x:row>
    <x:row r="2431" ht="23" customHeight="1">
      <x:c r="A2431" s="7" t="str">
        <x:v>INV02426</x:v>
      </x:c>
      <x:c r="B2431" s="15" t="d">
        <x:v>2026-04-24T00:00:00.000Z</x:v>
      </x:c>
      <x:c r="C2431" s="14" t="d">
        <x:v>2026-04-01T00:00:00.000Z</x:v>
      </x:c>
      <x:c r="D2431" s="34" t="str">
        <x:v>0003</x:v>
      </x:c>
      <x:c r="E2431" s="7" t="str">
        <x:v>North</x:v>
      </x:c>
      <x:c r="F2431" s="7" t="n">
        <x:v>5</x:v>
      </x:c>
      <x:c r="G2431" s="7" t="n">
        <x:v>200</x:v>
      </x:c>
      <x:c r="H2431" s="9" t="n">
        <x:v>0.05</x:v>
      </x:c>
      <x:c r="I2431" s="7" t="n">
        <x:v>950</x:v>
      </x:c>
    </x:row>
    <x:row r="2432" ht="23" customHeight="1">
      <x:c r="A2432" s="7" t="str">
        <x:v>INV02427</x:v>
      </x:c>
      <x:c r="B2432" s="15" t="d">
        <x:v>2026-04-25T00:00:00.000Z</x:v>
      </x:c>
      <x:c r="C2432" s="14" t="d">
        <x:v>2026-04-01T00:00:00.000Z</x:v>
      </x:c>
      <x:c r="D2432" s="34" t="str">
        <x:v>0004</x:v>
      </x:c>
      <x:c r="E2432" s="7" t="str">
        <x:v>North</x:v>
      </x:c>
      <x:c r="F2432" s="7" t="n">
        <x:v>4</x:v>
      </x:c>
      <x:c r="G2432" s="7" t="n">
        <x:v>220</x:v>
      </x:c>
      <x:c r="H2432" s="9" t="n">
        <x:v>0</x:v>
      </x:c>
      <x:c r="I2432" s="7" t="n">
        <x:v>880</x:v>
      </x:c>
    </x:row>
    <x:row r="2433" ht="23" customHeight="1">
      <x:c r="A2433" s="7" t="str">
        <x:v>INV02428</x:v>
      </x:c>
      <x:c r="B2433" s="15" t="d">
        <x:v>2026-04-26T00:00:00.000Z</x:v>
      </x:c>
      <x:c r="C2433" s="14" t="d">
        <x:v>2026-04-01T00:00:00.000Z</x:v>
      </x:c>
      <x:c r="D2433" s="34" t="str">
        <x:v>0005</x:v>
      </x:c>
      <x:c r="E2433" s="7" t="str">
        <x:v>North</x:v>
      </x:c>
      <x:c r="F2433" s="7" t="n">
        <x:v>5</x:v>
      </x:c>
      <x:c r="G2433" s="7" t="n">
        <x:v>240</x:v>
      </x:c>
      <x:c r="H2433" s="9" t="n">
        <x:v>0.02</x:v>
      </x:c>
      <x:c r="I2433" s="7" t="n">
        <x:v>1176</x:v>
      </x:c>
    </x:row>
    <x:row r="2434" ht="23" customHeight="1">
      <x:c r="A2434" s="7" t="str">
        <x:v>INV02429</x:v>
      </x:c>
      <x:c r="B2434" s="15" t="d">
        <x:v>2026-04-27T00:00:00.000Z</x:v>
      </x:c>
      <x:c r="C2434" s="14" t="d">
        <x:v>2026-04-01T00:00:00.000Z</x:v>
      </x:c>
      <x:c r="D2434" s="34" t="str">
        <x:v>0006</x:v>
      </x:c>
      <x:c r="E2434" s="7" t="str">
        <x:v>North</x:v>
      </x:c>
      <x:c r="F2434" s="7" t="n">
        <x:v>3</x:v>
      </x:c>
      <x:c r="G2434" s="7" t="n">
        <x:v>260</x:v>
      </x:c>
      <x:c r="H2434" s="9" t="n">
        <x:v>0.05</x:v>
      </x:c>
      <x:c r="I2434" s="7" t="n">
        <x:v>741</x:v>
      </x:c>
    </x:row>
    <x:row r="2435" ht="23" customHeight="1">
      <x:c r="A2435" s="7" t="str">
        <x:v>INV02430</x:v>
      </x:c>
      <x:c r="B2435" s="15" t="d">
        <x:v>2026-04-01T00:00:00.000Z</x:v>
      </x:c>
      <x:c r="C2435" s="14" t="d">
        <x:v>2026-04-01T00:00:00.000Z</x:v>
      </x:c>
      <x:c r="D2435" s="34" t="str">
        <x:v>0007</x:v>
      </x:c>
      <x:c r="E2435" s="7" t="str">
        <x:v>North</x:v>
      </x:c>
      <x:c r="F2435" s="7" t="n">
        <x:v>3</x:v>
      </x:c>
      <x:c r="G2435" s="7" t="n">
        <x:v>280</x:v>
      </x:c>
      <x:c r="H2435" s="9" t="n">
        <x:v>0</x:v>
      </x:c>
      <x:c r="I2435" s="7" t="n">
        <x:v>840</x:v>
      </x:c>
    </x:row>
    <x:row r="2436" ht="23" customHeight="1">
      <x:c r="A2436" s="7" t="str">
        <x:v>INV02431</x:v>
      </x:c>
      <x:c r="B2436" s="15" t="d">
        <x:v>2026-04-02T00:00:00.000Z</x:v>
      </x:c>
      <x:c r="C2436" s="14" t="d">
        <x:v>2026-04-01T00:00:00.000Z</x:v>
      </x:c>
      <x:c r="D2436" s="34" t="str">
        <x:v>0008</x:v>
      </x:c>
      <x:c r="E2436" s="7" t="str">
        <x:v>North</x:v>
      </x:c>
      <x:c r="F2436" s="7" t="n">
        <x:v>5</x:v>
      </x:c>
      <x:c r="G2436" s="7" t="n">
        <x:v>300</x:v>
      </x:c>
      <x:c r="H2436" s="9" t="n">
        <x:v>0.02</x:v>
      </x:c>
      <x:c r="I2436" s="7" t="n">
        <x:v>1470</x:v>
      </x:c>
    </x:row>
    <x:row r="2437" ht="23" customHeight="1">
      <x:c r="A2437" s="7" t="str">
        <x:v>INV02432</x:v>
      </x:c>
      <x:c r="B2437" s="15" t="d">
        <x:v>2026-05-03T00:00:00.000Z</x:v>
      </x:c>
      <x:c r="C2437" s="14" t="d">
        <x:v>2026-05-01T00:00:00.000Z</x:v>
      </x:c>
      <x:c r="D2437" s="34" t="str">
        <x:v>0001</x:v>
      </x:c>
      <x:c r="E2437" s="7" t="str">
        <x:v>Central</x:v>
      </x:c>
      <x:c r="F2437" s="7" t="n">
        <x:v>2</x:v>
      </x:c>
      <x:c r="G2437" s="7" t="n">
        <x:v>160</x:v>
      </x:c>
      <x:c r="H2437" s="9" t="n">
        <x:v>0.05</x:v>
      </x:c>
      <x:c r="I2437" s="7" t="n">
        <x:v>304</x:v>
      </x:c>
    </x:row>
    <x:row r="2438" ht="23" customHeight="1">
      <x:c r="A2438" s="7" t="str">
        <x:v>INV02433</x:v>
      </x:c>
      <x:c r="B2438" s="15" t="d">
        <x:v>2026-05-04T00:00:00.000Z</x:v>
      </x:c>
      <x:c r="C2438" s="14" t="d">
        <x:v>2026-05-01T00:00:00.000Z</x:v>
      </x:c>
      <x:c r="D2438" s="34" t="str">
        <x:v>0002</x:v>
      </x:c>
      <x:c r="E2438" s="7" t="str">
        <x:v>Central</x:v>
      </x:c>
      <x:c r="F2438" s="7" t="n">
        <x:v>5</x:v>
      </x:c>
      <x:c r="G2438" s="7" t="n">
        <x:v>180</x:v>
      </x:c>
      <x:c r="H2438" s="9" t="n">
        <x:v>0</x:v>
      </x:c>
      <x:c r="I2438" s="7" t="n">
        <x:v>900</x:v>
      </x:c>
    </x:row>
    <x:row r="2439" ht="23" customHeight="1">
      <x:c r="A2439" s="7" t="str">
        <x:v>INV02434</x:v>
      </x:c>
      <x:c r="B2439" s="15" t="d">
        <x:v>2026-05-05T00:00:00.000Z</x:v>
      </x:c>
      <x:c r="C2439" s="14" t="d">
        <x:v>2026-05-01T00:00:00.000Z</x:v>
      </x:c>
      <x:c r="D2439" s="34" t="str">
        <x:v>0003</x:v>
      </x:c>
      <x:c r="E2439" s="7" t="str">
        <x:v>Central</x:v>
      </x:c>
      <x:c r="F2439" s="7" t="n">
        <x:v>4</x:v>
      </x:c>
      <x:c r="G2439" s="7" t="n">
        <x:v>200</x:v>
      </x:c>
      <x:c r="H2439" s="9" t="n">
        <x:v>0.02</x:v>
      </x:c>
      <x:c r="I2439" s="7" t="n">
        <x:v>784</x:v>
      </x:c>
    </x:row>
    <x:row r="2440" ht="23" customHeight="1">
      <x:c r="A2440" s="7" t="str">
        <x:v>INV02435</x:v>
      </x:c>
      <x:c r="B2440" s="15" t="d">
        <x:v>2026-05-06T00:00:00.000Z</x:v>
      </x:c>
      <x:c r="C2440" s="14" t="d">
        <x:v>2026-05-01T00:00:00.000Z</x:v>
      </x:c>
      <x:c r="D2440" s="34" t="str">
        <x:v>0004</x:v>
      </x:c>
      <x:c r="E2440" s="7" t="str">
        <x:v>Central</x:v>
      </x:c>
      <x:c r="F2440" s="7" t="n">
        <x:v>3</x:v>
      </x:c>
      <x:c r="G2440" s="7" t="n">
        <x:v>220</x:v>
      </x:c>
      <x:c r="H2440" s="9" t="n">
        <x:v>0.05</x:v>
      </x:c>
      <x:c r="I2440" s="7" t="n">
        <x:v>627</x:v>
      </x:c>
    </x:row>
    <x:row r="2441" ht="23" customHeight="1">
      <x:c r="A2441" s="7" t="str">
        <x:v>INV02436</x:v>
      </x:c>
      <x:c r="B2441" s="15" t="d">
        <x:v>2026-05-07T00:00:00.000Z</x:v>
      </x:c>
      <x:c r="C2441" s="14" t="d">
        <x:v>2026-05-01T00:00:00.000Z</x:v>
      </x:c>
      <x:c r="D2441" s="34" t="str">
        <x:v>0005</x:v>
      </x:c>
      <x:c r="E2441" s="7" t="str">
        <x:v>Central</x:v>
      </x:c>
      <x:c r="F2441" s="7" t="n">
        <x:v>3</x:v>
      </x:c>
      <x:c r="G2441" s="7" t="n">
        <x:v>240</x:v>
      </x:c>
      <x:c r="H2441" s="9" t="n">
        <x:v>0</x:v>
      </x:c>
      <x:c r="I2441" s="7" t="n">
        <x:v>720</x:v>
      </x:c>
    </x:row>
    <x:row r="2442" ht="23" customHeight="1">
      <x:c r="A2442" s="7" t="str">
        <x:v>INV02437</x:v>
      </x:c>
      <x:c r="B2442" s="15" t="d">
        <x:v>2026-05-08T00:00:00.000Z</x:v>
      </x:c>
      <x:c r="C2442" s="14" t="d">
        <x:v>2026-05-01T00:00:00.000Z</x:v>
      </x:c>
      <x:c r="D2442" s="34" t="str">
        <x:v>0006</x:v>
      </x:c>
      <x:c r="E2442" s="7" t="str">
        <x:v>Central</x:v>
      </x:c>
      <x:c r="F2442" s="7" t="n">
        <x:v>6</x:v>
      </x:c>
      <x:c r="G2442" s="7" t="n">
        <x:v>260</x:v>
      </x:c>
      <x:c r="H2442" s="9" t="n">
        <x:v>0.02</x:v>
      </x:c>
      <x:c r="I2442" s="7" t="n">
        <x:v>1528.8</x:v>
      </x:c>
    </x:row>
    <x:row r="2443" ht="23" customHeight="1">
      <x:c r="A2443" s="7" t="str">
        <x:v>INV02438</x:v>
      </x:c>
      <x:c r="B2443" s="15" t="d">
        <x:v>2026-05-09T00:00:00.000Z</x:v>
      </x:c>
      <x:c r="C2443" s="14" t="d">
        <x:v>2026-05-01T00:00:00.000Z</x:v>
      </x:c>
      <x:c r="D2443" s="34" t="str">
        <x:v>0007</x:v>
      </x:c>
      <x:c r="E2443" s="7" t="str">
        <x:v>Central</x:v>
      </x:c>
      <x:c r="F2443" s="7" t="n">
        <x:v>3</x:v>
      </x:c>
      <x:c r="G2443" s="7" t="n">
        <x:v>280</x:v>
      </x:c>
      <x:c r="H2443" s="9" t="n">
        <x:v>0.05</x:v>
      </x:c>
      <x:c r="I2443" s="7" t="n">
        <x:v>798</x:v>
      </x:c>
    </x:row>
    <x:row r="2444" ht="23" customHeight="1">
      <x:c r="A2444" s="7" t="str">
        <x:v>INV02439</x:v>
      </x:c>
      <x:c r="B2444" s="15" t="d">
        <x:v>2026-05-10T00:00:00.000Z</x:v>
      </x:c>
      <x:c r="C2444" s="14" t="d">
        <x:v>2026-05-01T00:00:00.000Z</x:v>
      </x:c>
      <x:c r="D2444" s="34" t="str">
        <x:v>0008</x:v>
      </x:c>
      <x:c r="E2444" s="7" t="str">
        <x:v>Central</x:v>
      </x:c>
      <x:c r="F2444" s="7" t="n">
        <x:v>1</x:v>
      </x:c>
      <x:c r="G2444" s="7" t="n">
        <x:v>300</x:v>
      </x:c>
      <x:c r="H2444" s="9" t="n">
        <x:v>0</x:v>
      </x:c>
      <x:c r="I2444" s="7" t="n">
        <x:v>300</x:v>
      </x:c>
    </x:row>
    <x:row r="2445" ht="23" customHeight="1">
      <x:c r="A2445" s="7" t="str">
        <x:v>INV02440</x:v>
      </x:c>
      <x:c r="B2445" s="15" t="d">
        <x:v>2026-05-11T00:00:00.000Z</x:v>
      </x:c>
      <x:c r="C2445" s="14" t="d">
        <x:v>2026-05-01T00:00:00.000Z</x:v>
      </x:c>
      <x:c r="D2445" s="34" t="str">
        <x:v>0001</x:v>
      </x:c>
      <x:c r="E2445" s="7" t="str">
        <x:v>East</x:v>
      </x:c>
      <x:c r="F2445" s="7" t="n">
        <x:v>3</x:v>
      </x:c>
      <x:c r="G2445" s="7" t="n">
        <x:v>160</x:v>
      </x:c>
      <x:c r="H2445" s="9" t="n">
        <x:v>0.02</x:v>
      </x:c>
      <x:c r="I2445" s="7" t="n">
        <x:v>470.4</x:v>
      </x:c>
    </x:row>
    <x:row r="2446" ht="23" customHeight="1">
      <x:c r="A2446" s="7" t="str">
        <x:v>INV02441</x:v>
      </x:c>
      <x:c r="B2446" s="15" t="d">
        <x:v>2026-05-12T00:00:00.000Z</x:v>
      </x:c>
      <x:c r="C2446" s="14" t="d">
        <x:v>2026-05-01T00:00:00.000Z</x:v>
      </x:c>
      <x:c r="D2446" s="34" t="str">
        <x:v>0002</x:v>
      </x:c>
      <x:c r="E2446" s="7" t="str">
        <x:v>East</x:v>
      </x:c>
      <x:c r="F2446" s="7" t="n">
        <x:v>7</x:v>
      </x:c>
      <x:c r="G2446" s="7" t="n">
        <x:v>180</x:v>
      </x:c>
      <x:c r="H2446" s="9" t="n">
        <x:v>0.05</x:v>
      </x:c>
      <x:c r="I2446" s="7" t="n">
        <x:v>1197</x:v>
      </x:c>
    </x:row>
    <x:row r="2447" ht="23" customHeight="1">
      <x:c r="A2447" s="7" t="str">
        <x:v>INV02442</x:v>
      </x:c>
      <x:c r="B2447" s="15" t="d">
        <x:v>2026-05-13T00:00:00.000Z</x:v>
      </x:c>
      <x:c r="C2447" s="14" t="d">
        <x:v>2026-05-01T00:00:00.000Z</x:v>
      </x:c>
      <x:c r="D2447" s="34" t="str">
        <x:v>0003</x:v>
      </x:c>
      <x:c r="E2447" s="7" t="str">
        <x:v>East</x:v>
      </x:c>
      <x:c r="F2447" s="7" t="n">
        <x:v>5</x:v>
      </x:c>
      <x:c r="G2447" s="7" t="n">
        <x:v>200</x:v>
      </x:c>
      <x:c r="H2447" s="9" t="n">
        <x:v>0</x:v>
      </x:c>
      <x:c r="I2447" s="7" t="n">
        <x:v>1000</x:v>
      </x:c>
    </x:row>
    <x:row r="2448" ht="23" customHeight="1">
      <x:c r="A2448" s="7" t="str">
        <x:v>INV02443</x:v>
      </x:c>
      <x:c r="B2448" s="15" t="d">
        <x:v>2026-05-14T00:00:00.000Z</x:v>
      </x:c>
      <x:c r="C2448" s="14" t="d">
        <x:v>2026-05-01T00:00:00.000Z</x:v>
      </x:c>
      <x:c r="D2448" s="34" t="str">
        <x:v>0004</x:v>
      </x:c>
      <x:c r="E2448" s="7" t="str">
        <x:v>East</x:v>
      </x:c>
      <x:c r="F2448" s="7" t="n">
        <x:v>2</x:v>
      </x:c>
      <x:c r="G2448" s="7" t="n">
        <x:v>220</x:v>
      </x:c>
      <x:c r="H2448" s="9" t="n">
        <x:v>0.02</x:v>
      </x:c>
      <x:c r="I2448" s="7" t="n">
        <x:v>431.2</x:v>
      </x:c>
    </x:row>
    <x:row r="2449" ht="23" customHeight="1">
      <x:c r="A2449" s="7" t="str">
        <x:v>INV02444</x:v>
      </x:c>
      <x:c r="B2449" s="15" t="d">
        <x:v>2026-05-15T00:00:00.000Z</x:v>
      </x:c>
      <x:c r="C2449" s="14" t="d">
        <x:v>2026-05-01T00:00:00.000Z</x:v>
      </x:c>
      <x:c r="D2449" s="34" t="str">
        <x:v>0005</x:v>
      </x:c>
      <x:c r="E2449" s="7" t="str">
        <x:v>East</x:v>
      </x:c>
      <x:c r="F2449" s="7" t="n">
        <x:v>1</x:v>
      </x:c>
      <x:c r="G2449" s="7" t="n">
        <x:v>240</x:v>
      </x:c>
      <x:c r="H2449" s="9" t="n">
        <x:v>0.05</x:v>
      </x:c>
      <x:c r="I2449" s="7" t="n">
        <x:v>228</x:v>
      </x:c>
    </x:row>
    <x:row r="2450" ht="23" customHeight="1">
      <x:c r="A2450" s="7" t="str">
        <x:v>INV02445</x:v>
      </x:c>
      <x:c r="B2450" s="15" t="d">
        <x:v>2026-05-16T00:00:00.000Z</x:v>
      </x:c>
      <x:c r="C2450" s="14" t="d">
        <x:v>2026-05-01T00:00:00.000Z</x:v>
      </x:c>
      <x:c r="D2450" s="34" t="str">
        <x:v>0006</x:v>
      </x:c>
      <x:c r="E2450" s="7" t="str">
        <x:v>East</x:v>
      </x:c>
      <x:c r="F2450" s="7" t="n">
        <x:v>6</x:v>
      </x:c>
      <x:c r="G2450" s="7" t="n">
        <x:v>260</x:v>
      </x:c>
      <x:c r="H2450" s="9" t="n">
        <x:v>0</x:v>
      </x:c>
      <x:c r="I2450" s="7" t="n">
        <x:v>1560</x:v>
      </x:c>
    </x:row>
    <x:row r="2451" ht="23" customHeight="1">
      <x:c r="A2451" s="7" t="str">
        <x:v>INV02446</x:v>
      </x:c>
      <x:c r="B2451" s="15" t="d">
        <x:v>2026-05-17T00:00:00.000Z</x:v>
      </x:c>
      <x:c r="C2451" s="14" t="d">
        <x:v>2026-05-01T00:00:00.000Z</x:v>
      </x:c>
      <x:c r="D2451" s="34" t="str">
        <x:v>0007</x:v>
      </x:c>
      <x:c r="E2451" s="7" t="str">
        <x:v>East</x:v>
      </x:c>
      <x:c r="F2451" s="7" t="n">
        <x:v>7</x:v>
      </x:c>
      <x:c r="G2451" s="7" t="n">
        <x:v>280</x:v>
      </x:c>
      <x:c r="H2451" s="9" t="n">
        <x:v>0.02</x:v>
      </x:c>
      <x:c r="I2451" s="7" t="n">
        <x:v>1920.8</x:v>
      </x:c>
    </x:row>
    <x:row r="2452" ht="23" customHeight="1">
      <x:c r="A2452" s="7" t="str">
        <x:v>INV02447</x:v>
      </x:c>
      <x:c r="B2452" s="15" t="d">
        <x:v>2026-05-18T00:00:00.000Z</x:v>
      </x:c>
      <x:c r="C2452" s="14" t="d">
        <x:v>2026-05-01T00:00:00.000Z</x:v>
      </x:c>
      <x:c r="D2452" s="34" t="str">
        <x:v>0008</x:v>
      </x:c>
      <x:c r="E2452" s="7" t="str">
        <x:v>East</x:v>
      </x:c>
      <x:c r="F2452" s="7" t="n">
        <x:v>3</x:v>
      </x:c>
      <x:c r="G2452" s="7" t="n">
        <x:v>300</x:v>
      </x:c>
      <x:c r="H2452" s="9" t="n">
        <x:v>0.05</x:v>
      </x:c>
      <x:c r="I2452" s="7" t="n">
        <x:v>855</x:v>
      </x:c>
    </x:row>
    <x:row r="2453" ht="23" customHeight="1">
      <x:c r="A2453" s="7" t="str">
        <x:v>INV02448</x:v>
      </x:c>
      <x:c r="B2453" s="15" t="d">
        <x:v>2026-05-19T00:00:00.000Z</x:v>
      </x:c>
      <x:c r="C2453" s="14" t="d">
        <x:v>2026-05-01T00:00:00.000Z</x:v>
      </x:c>
      <x:c r="D2453" s="34" t="str">
        <x:v>0001</x:v>
      </x:c>
      <x:c r="E2453" s="7" t="str">
        <x:v>West</x:v>
      </x:c>
      <x:c r="F2453" s="7" t="n">
        <x:v>2</x:v>
      </x:c>
      <x:c r="G2453" s="7" t="n">
        <x:v>160</x:v>
      </x:c>
      <x:c r="H2453" s="9" t="n">
        <x:v>0</x:v>
      </x:c>
      <x:c r="I2453" s="7" t="n">
        <x:v>320</x:v>
      </x:c>
    </x:row>
    <x:row r="2454" ht="23" customHeight="1">
      <x:c r="A2454" s="7" t="str">
        <x:v>INV02449</x:v>
      </x:c>
      <x:c r="B2454" s="15" t="d">
        <x:v>2026-05-20T00:00:00.000Z</x:v>
      </x:c>
      <x:c r="C2454" s="14" t="d">
        <x:v>2026-05-01T00:00:00.000Z</x:v>
      </x:c>
      <x:c r="D2454" s="34" t="str">
        <x:v>0002</x:v>
      </x:c>
      <x:c r="E2454" s="7" t="str">
        <x:v>West</x:v>
      </x:c>
      <x:c r="F2454" s="7" t="n">
        <x:v>2</x:v>
      </x:c>
      <x:c r="G2454" s="7" t="n">
        <x:v>180</x:v>
      </x:c>
      <x:c r="H2454" s="9" t="n">
        <x:v>0.02</x:v>
      </x:c>
      <x:c r="I2454" s="7" t="n">
        <x:v>352.8</x:v>
      </x:c>
    </x:row>
    <x:row r="2455" ht="23" customHeight="1">
      <x:c r="A2455" s="7" t="str">
        <x:v>INV02450</x:v>
      </x:c>
      <x:c r="B2455" s="15" t="d">
        <x:v>2026-05-21T00:00:00.000Z</x:v>
      </x:c>
      <x:c r="C2455" s="14" t="d">
        <x:v>2026-05-01T00:00:00.000Z</x:v>
      </x:c>
      <x:c r="D2455" s="34" t="str">
        <x:v>0003</x:v>
      </x:c>
      <x:c r="E2455" s="7" t="str">
        <x:v>West</x:v>
      </x:c>
      <x:c r="F2455" s="7" t="n">
        <x:v>7</x:v>
      </x:c>
      <x:c r="G2455" s="7" t="n">
        <x:v>200</x:v>
      </x:c>
      <x:c r="H2455" s="9" t="n">
        <x:v>0.05</x:v>
      </x:c>
      <x:c r="I2455" s="7" t="n">
        <x:v>1330</x:v>
      </x:c>
    </x:row>
    <x:row r="2456" ht="23" customHeight="1">
      <x:c r="A2456" s="7" t="str">
        <x:v>INV02451</x:v>
      </x:c>
      <x:c r="B2456" s="15" t="d">
        <x:v>2026-05-22T00:00:00.000Z</x:v>
      </x:c>
      <x:c r="C2456" s="14" t="d">
        <x:v>2026-05-01T00:00:00.000Z</x:v>
      </x:c>
      <x:c r="D2456" s="34" t="str">
        <x:v>0004</x:v>
      </x:c>
      <x:c r="E2456" s="7" t="str">
        <x:v>West</x:v>
      </x:c>
      <x:c r="F2456" s="7" t="n">
        <x:v>3</x:v>
      </x:c>
      <x:c r="G2456" s="7" t="n">
        <x:v>220</x:v>
      </x:c>
      <x:c r="H2456" s="9" t="n">
        <x:v>0</x:v>
      </x:c>
      <x:c r="I2456" s="7" t="n">
        <x:v>660</x:v>
      </x:c>
    </x:row>
    <x:row r="2457" ht="23" customHeight="1">
      <x:c r="A2457" s="7" t="str">
        <x:v>INV02452</x:v>
      </x:c>
      <x:c r="B2457" s="15" t="d">
        <x:v>2026-05-23T00:00:00.000Z</x:v>
      </x:c>
      <x:c r="C2457" s="14" t="d">
        <x:v>2026-05-01T00:00:00.000Z</x:v>
      </x:c>
      <x:c r="D2457" s="34" t="str">
        <x:v>0005</x:v>
      </x:c>
      <x:c r="E2457" s="7" t="str">
        <x:v>West</x:v>
      </x:c>
      <x:c r="F2457" s="7" t="n">
        <x:v>5</x:v>
      </x:c>
      <x:c r="G2457" s="7" t="n">
        <x:v>240</x:v>
      </x:c>
      <x:c r="H2457" s="9" t="n">
        <x:v>0.02</x:v>
      </x:c>
      <x:c r="I2457" s="7" t="n">
        <x:v>1176</x:v>
      </x:c>
    </x:row>
    <x:row r="2458" ht="23" customHeight="1">
      <x:c r="A2458" s="7" t="str">
        <x:v>INV02453</x:v>
      </x:c>
      <x:c r="B2458" s="15" t="d">
        <x:v>2026-05-24T00:00:00.000Z</x:v>
      </x:c>
      <x:c r="C2458" s="14" t="d">
        <x:v>2026-05-01T00:00:00.000Z</x:v>
      </x:c>
      <x:c r="D2458" s="34" t="str">
        <x:v>0006</x:v>
      </x:c>
      <x:c r="E2458" s="7" t="str">
        <x:v>West</x:v>
      </x:c>
      <x:c r="F2458" s="7" t="n">
        <x:v>6</x:v>
      </x:c>
      <x:c r="G2458" s="7" t="n">
        <x:v>260</x:v>
      </x:c>
      <x:c r="H2458" s="9" t="n">
        <x:v>0.05</x:v>
      </x:c>
      <x:c r="I2458" s="7" t="n">
        <x:v>1482</x:v>
      </x:c>
    </x:row>
    <x:row r="2459" ht="23" customHeight="1">
      <x:c r="A2459" s="7" t="str">
        <x:v>INV02454</x:v>
      </x:c>
      <x:c r="B2459" s="15" t="d">
        <x:v>2026-05-25T00:00:00.000Z</x:v>
      </x:c>
      <x:c r="C2459" s="14" t="d">
        <x:v>2026-05-01T00:00:00.000Z</x:v>
      </x:c>
      <x:c r="D2459" s="34" t="str">
        <x:v>0007</x:v>
      </x:c>
      <x:c r="E2459" s="7" t="str">
        <x:v>West</x:v>
      </x:c>
      <x:c r="F2459" s="7" t="n">
        <x:v>3</x:v>
      </x:c>
      <x:c r="G2459" s="7" t="n">
        <x:v>280</x:v>
      </x:c>
      <x:c r="H2459" s="9" t="n">
        <x:v>0</x:v>
      </x:c>
      <x:c r="I2459" s="7" t="n">
        <x:v>840</x:v>
      </x:c>
    </x:row>
    <x:row r="2460" ht="23" customHeight="1">
      <x:c r="A2460" s="7" t="str">
        <x:v>INV02455</x:v>
      </x:c>
      <x:c r="B2460" s="15" t="d">
        <x:v>2026-05-26T00:00:00.000Z</x:v>
      </x:c>
      <x:c r="C2460" s="14" t="d">
        <x:v>2026-05-01T00:00:00.000Z</x:v>
      </x:c>
      <x:c r="D2460" s="34" t="str">
        <x:v>0008</x:v>
      </x:c>
      <x:c r="E2460" s="7" t="str">
        <x:v>West</x:v>
      </x:c>
      <x:c r="F2460" s="7" t="n">
        <x:v>1</x:v>
      </x:c>
      <x:c r="G2460" s="7" t="n">
        <x:v>300</x:v>
      </x:c>
      <x:c r="H2460" s="9" t="n">
        <x:v>0.02</x:v>
      </x:c>
      <x:c r="I2460" s="7" t="n">
        <x:v>294</x:v>
      </x:c>
    </x:row>
    <x:row r="2461" ht="23" customHeight="1">
      <x:c r="A2461" s="7" t="str">
        <x:v>INV02456</x:v>
      </x:c>
      <x:c r="B2461" s="15" t="d">
        <x:v>2026-05-27T00:00:00.000Z</x:v>
      </x:c>
      <x:c r="C2461" s="14" t="d">
        <x:v>2026-05-01T00:00:00.000Z</x:v>
      </x:c>
      <x:c r="D2461" s="34" t="str">
        <x:v>0001</x:v>
      </x:c>
      <x:c r="E2461" s="7" t="str">
        <x:v>North</x:v>
      </x:c>
      <x:c r="F2461" s="7" t="n">
        <x:v>2</x:v>
      </x:c>
      <x:c r="G2461" s="7" t="n">
        <x:v>160</x:v>
      </x:c>
      <x:c r="H2461" s="9" t="n">
        <x:v>0.05</x:v>
      </x:c>
      <x:c r="I2461" s="7" t="n">
        <x:v>304</x:v>
      </x:c>
    </x:row>
    <x:row r="2462" ht="23" customHeight="1">
      <x:c r="A2462" s="7" t="str">
        <x:v>INV02457</x:v>
      </x:c>
      <x:c r="B2462" s="15" t="d">
        <x:v>2026-05-01T00:00:00.000Z</x:v>
      </x:c>
      <x:c r="C2462" s="14" t="d">
        <x:v>2026-05-01T00:00:00.000Z</x:v>
      </x:c>
      <x:c r="D2462" s="34" t="str">
        <x:v>0002</x:v>
      </x:c>
      <x:c r="E2462" s="7" t="str">
        <x:v>North</x:v>
      </x:c>
      <x:c r="F2462" s="7" t="n">
        <x:v>2</x:v>
      </x:c>
      <x:c r="G2462" s="7" t="n">
        <x:v>180</x:v>
      </x:c>
      <x:c r="H2462" s="9" t="n">
        <x:v>0</x:v>
      </x:c>
      <x:c r="I2462" s="7" t="n">
        <x:v>360</x:v>
      </x:c>
    </x:row>
    <x:row r="2463" ht="23" customHeight="1">
      <x:c r="A2463" s="7" t="str">
        <x:v>INV02458</x:v>
      </x:c>
      <x:c r="B2463" s="15" t="d">
        <x:v>2026-05-02T00:00:00.000Z</x:v>
      </x:c>
      <x:c r="C2463" s="14" t="d">
        <x:v>2026-05-01T00:00:00.000Z</x:v>
      </x:c>
      <x:c r="D2463" s="34" t="str">
        <x:v>0003</x:v>
      </x:c>
      <x:c r="E2463" s="7" t="str">
        <x:v>North</x:v>
      </x:c>
      <x:c r="F2463" s="7" t="n">
        <x:v>6</x:v>
      </x:c>
      <x:c r="G2463" s="7" t="n">
        <x:v>200</x:v>
      </x:c>
      <x:c r="H2463" s="9" t="n">
        <x:v>0.02</x:v>
      </x:c>
      <x:c r="I2463" s="7" t="n">
        <x:v>1176</x:v>
      </x:c>
    </x:row>
    <x:row r="2464" ht="23" customHeight="1">
      <x:c r="A2464" s="7" t="str">
        <x:v>INV02459</x:v>
      </x:c>
      <x:c r="B2464" s="15" t="d">
        <x:v>2026-05-03T00:00:00.000Z</x:v>
      </x:c>
      <x:c r="C2464" s="14" t="d">
        <x:v>2026-05-01T00:00:00.000Z</x:v>
      </x:c>
      <x:c r="D2464" s="34" t="str">
        <x:v>0004</x:v>
      </x:c>
      <x:c r="E2464" s="7" t="str">
        <x:v>North</x:v>
      </x:c>
      <x:c r="F2464" s="7" t="n">
        <x:v>3</x:v>
      </x:c>
      <x:c r="G2464" s="7" t="n">
        <x:v>220</x:v>
      </x:c>
      <x:c r="H2464" s="9" t="n">
        <x:v>0.05</x:v>
      </x:c>
      <x:c r="I2464" s="7" t="n">
        <x:v>627</x:v>
      </x:c>
    </x:row>
    <x:row r="2465" ht="23" customHeight="1">
      <x:c r="A2465" s="7" t="str">
        <x:v>INV02460</x:v>
      </x:c>
      <x:c r="B2465" s="15" t="d">
        <x:v>2026-05-04T00:00:00.000Z</x:v>
      </x:c>
      <x:c r="C2465" s="14" t="d">
        <x:v>2026-05-01T00:00:00.000Z</x:v>
      </x:c>
      <x:c r="D2465" s="34" t="str">
        <x:v>0005</x:v>
      </x:c>
      <x:c r="E2465" s="7" t="str">
        <x:v>North</x:v>
      </x:c>
      <x:c r="F2465" s="7" t="n">
        <x:v>-2</x:v>
      </x:c>
      <x:c r="G2465" s="7" t="n">
        <x:v>240</x:v>
      </x:c>
      <x:c r="H2465" s="9" t="n">
        <x:v>0</x:v>
      </x:c>
      <x:c r="I2465" s="7" t="n">
        <x:v>-480</x:v>
      </x:c>
    </x:row>
    <x:row r="2466" ht="23" customHeight="1">
      <x:c r="A2466" s="7" t="str">
        <x:v>INV02461</x:v>
      </x:c>
      <x:c r="B2466" s="15" t="d">
        <x:v>2026-05-05T00:00:00.000Z</x:v>
      </x:c>
      <x:c r="C2466" s="14" t="d">
        <x:v>2026-05-01T00:00:00.000Z</x:v>
      </x:c>
      <x:c r="D2466" s="34" t="str">
        <x:v>0006</x:v>
      </x:c>
      <x:c r="E2466" s="7" t="str">
        <x:v>North</x:v>
      </x:c>
      <x:c r="F2466" s="7" t="n">
        <x:v>2</x:v>
      </x:c>
      <x:c r="G2466" s="7" t="n">
        <x:v>260</x:v>
      </x:c>
      <x:c r="H2466" s="9" t="n">
        <x:v>0.02</x:v>
      </x:c>
      <x:c r="I2466" s="7" t="n">
        <x:v>509.6</x:v>
      </x:c>
    </x:row>
    <x:row r="2467" ht="23" customHeight="1">
      <x:c r="A2467" s="7" t="str">
        <x:v>INV02462</x:v>
      </x:c>
      <x:c r="B2467" s="15" t="d">
        <x:v>2026-05-06T00:00:00.000Z</x:v>
      </x:c>
      <x:c r="C2467" s="14" t="d">
        <x:v>2026-05-01T00:00:00.000Z</x:v>
      </x:c>
      <x:c r="D2467" s="34" t="str">
        <x:v>0007</x:v>
      </x:c>
      <x:c r="E2467" s="7" t="str">
        <x:v>North</x:v>
      </x:c>
      <x:c r="F2467" s="7" t="n">
        <x:v>5</x:v>
      </x:c>
      <x:c r="G2467" s="7" t="n">
        <x:v>280</x:v>
      </x:c>
      <x:c r="H2467" s="9" t="n">
        <x:v>0.05</x:v>
      </x:c>
      <x:c r="I2467" s="7" t="n">
        <x:v>1330</x:v>
      </x:c>
    </x:row>
    <x:row r="2468" ht="23" customHeight="1">
      <x:c r="A2468" s="7" t="str">
        <x:v>INV02463</x:v>
      </x:c>
      <x:c r="B2468" s="15" t="d">
        <x:v>2026-05-07T00:00:00.000Z</x:v>
      </x:c>
      <x:c r="C2468" s="14" t="d">
        <x:v>2026-05-01T00:00:00.000Z</x:v>
      </x:c>
      <x:c r="D2468" s="34" t="str">
        <x:v>0008</x:v>
      </x:c>
      <x:c r="E2468" s="7" t="str">
        <x:v>North</x:v>
      </x:c>
      <x:c r="F2468" s="7" t="n">
        <x:v>1</x:v>
      </x:c>
      <x:c r="G2468" s="7" t="n">
        <x:v>300</x:v>
      </x:c>
      <x:c r="H2468" s="9" t="n">
        <x:v>0</x:v>
      </x:c>
      <x:c r="I2468" s="7" t="n">
        <x:v>300</x:v>
      </x:c>
    </x:row>
    <x:row r="2469" ht="23" customHeight="1">
      <x:c r="A2469" s="7" t="str">
        <x:v>INV02464</x:v>
      </x:c>
      <x:c r="B2469" s="15" t="d">
        <x:v>2026-06-08T00:00:00.000Z</x:v>
      </x:c>
      <x:c r="C2469" s="14" t="d">
        <x:v>2026-06-01T00:00:00.000Z</x:v>
      </x:c>
      <x:c r="D2469" s="34" t="str">
        <x:v>0001</x:v>
      </x:c>
      <x:c r="E2469" s="7" t="str">
        <x:v>Central</x:v>
      </x:c>
      <x:c r="F2469" s="7" t="n">
        <x:v>1</x:v>
      </x:c>
      <x:c r="G2469" s="7" t="n">
        <x:v>160</x:v>
      </x:c>
      <x:c r="H2469" s="9" t="n">
        <x:v>0.02</x:v>
      </x:c>
      <x:c r="I2469" s="7" t="n">
        <x:v>156.8</x:v>
      </x:c>
    </x:row>
    <x:row r="2470" ht="23" customHeight="1">
      <x:c r="A2470" s="7" t="str">
        <x:v>INV02465</x:v>
      </x:c>
      <x:c r="B2470" s="15" t="d">
        <x:v>2026-06-09T00:00:00.000Z</x:v>
      </x:c>
      <x:c r="C2470" s="14" t="d">
        <x:v>2026-06-01T00:00:00.000Z</x:v>
      </x:c>
      <x:c r="D2470" s="34" t="str">
        <x:v>0002</x:v>
      </x:c>
      <x:c r="E2470" s="7" t="str">
        <x:v>Central</x:v>
      </x:c>
      <x:c r="F2470" s="7" t="n">
        <x:v>7</x:v>
      </x:c>
      <x:c r="G2470" s="7" t="n">
        <x:v>180</x:v>
      </x:c>
      <x:c r="H2470" s="9" t="n">
        <x:v>0.05</x:v>
      </x:c>
      <x:c r="I2470" s="7" t="n">
        <x:v>1197</x:v>
      </x:c>
    </x:row>
    <x:row r="2471" ht="23" customHeight="1">
      <x:c r="A2471" s="7" t="str">
        <x:v>INV02466</x:v>
      </x:c>
      <x:c r="B2471" s="15" t="d">
        <x:v>2026-06-10T00:00:00.000Z</x:v>
      </x:c>
      <x:c r="C2471" s="14" t="d">
        <x:v>2026-06-01T00:00:00.000Z</x:v>
      </x:c>
      <x:c r="D2471" s="34" t="str">
        <x:v>0003</x:v>
      </x:c>
      <x:c r="E2471" s="7" t="str">
        <x:v>Central</x:v>
      </x:c>
      <x:c r="F2471" s="7" t="n">
        <x:v>4</x:v>
      </x:c>
      <x:c r="G2471" s="7" t="n">
        <x:v>200</x:v>
      </x:c>
      <x:c r="H2471" s="9" t="n">
        <x:v>0</x:v>
      </x:c>
      <x:c r="I2471" s="7" t="n">
        <x:v>800</x:v>
      </x:c>
    </x:row>
    <x:row r="2472" ht="23" customHeight="1">
      <x:c r="A2472" s="7" t="str">
        <x:v>INV02467</x:v>
      </x:c>
      <x:c r="B2472" s="15" t="d">
        <x:v>2026-06-11T00:00:00.000Z</x:v>
      </x:c>
      <x:c r="C2472" s="14" t="d">
        <x:v>2026-06-01T00:00:00.000Z</x:v>
      </x:c>
      <x:c r="D2472" s="34" t="str">
        <x:v>0004</x:v>
      </x:c>
      <x:c r="E2472" s="7" t="str">
        <x:v>Central</x:v>
      </x:c>
      <x:c r="F2472" s="7" t="n">
        <x:v>1</x:v>
      </x:c>
      <x:c r="G2472" s="7" t="n">
        <x:v>220</x:v>
      </x:c>
      <x:c r="H2472" s="9" t="n">
        <x:v>0.02</x:v>
      </x:c>
      <x:c r="I2472" s="7" t="n">
        <x:v>215.6</x:v>
      </x:c>
    </x:row>
    <x:row r="2473" ht="23" customHeight="1">
      <x:c r="A2473" s="7" t="str">
        <x:v>INV02468</x:v>
      </x:c>
      <x:c r="B2473" s="15" t="d">
        <x:v>2026-06-12T00:00:00.000Z</x:v>
      </x:c>
      <x:c r="C2473" s="14" t="d">
        <x:v>2026-06-01T00:00:00.000Z</x:v>
      </x:c>
      <x:c r="D2473" s="34" t="str">
        <x:v>0005</x:v>
      </x:c>
      <x:c r="E2473" s="7" t="str">
        <x:v>Central</x:v>
      </x:c>
      <x:c r="F2473" s="7" t="n">
        <x:v>3</x:v>
      </x:c>
      <x:c r="G2473" s="7" t="n">
        <x:v>240</x:v>
      </x:c>
      <x:c r="H2473" s="9" t="n">
        <x:v>0.05</x:v>
      </x:c>
      <x:c r="I2473" s="7" t="n">
        <x:v>684</x:v>
      </x:c>
    </x:row>
    <x:row r="2474" ht="23" customHeight="1">
      <x:c r="A2474" s="7" t="str">
        <x:v>INV02469</x:v>
      </x:c>
      <x:c r="B2474" s="15" t="d">
        <x:v>2026-06-13T00:00:00.000Z</x:v>
      </x:c>
      <x:c r="C2474" s="14" t="d">
        <x:v>2026-06-01T00:00:00.000Z</x:v>
      </x:c>
      <x:c r="D2474" s="34" t="str">
        <x:v>0006</x:v>
      </x:c>
      <x:c r="E2474" s="7" t="str">
        <x:v>Central</x:v>
      </x:c>
      <x:c r="F2474" s="7" t="n">
        <x:v>3</x:v>
      </x:c>
      <x:c r="G2474" s="7" t="n">
        <x:v>260</x:v>
      </x:c>
      <x:c r="H2474" s="9" t="n">
        <x:v>0</x:v>
      </x:c>
      <x:c r="I2474" s="7" t="n">
        <x:v>780</x:v>
      </x:c>
    </x:row>
    <x:row r="2475" ht="23" customHeight="1">
      <x:c r="A2475" s="7" t="str">
        <x:v>INV02470</x:v>
      </x:c>
      <x:c r="B2475" s="15" t="d">
        <x:v>2026-06-14T00:00:00.000Z</x:v>
      </x:c>
      <x:c r="C2475" s="14" t="d">
        <x:v>2026-06-01T00:00:00.000Z</x:v>
      </x:c>
      <x:c r="D2475" s="34" t="str">
        <x:v>0007</x:v>
      </x:c>
      <x:c r="E2475" s="7" t="str">
        <x:v>Central</x:v>
      </x:c>
      <x:c r="F2475" s="7" t="n">
        <x:v>1</x:v>
      </x:c>
      <x:c r="G2475" s="7" t="n">
        <x:v>280</x:v>
      </x:c>
      <x:c r="H2475" s="9" t="n">
        <x:v>0.02</x:v>
      </x:c>
      <x:c r="I2475" s="7" t="n">
        <x:v>274.4</x:v>
      </x:c>
    </x:row>
    <x:row r="2476" ht="23" customHeight="1">
      <x:c r="A2476" s="7" t="str">
        <x:v>INV02471</x:v>
      </x:c>
      <x:c r="B2476" s="15" t="d">
        <x:v>2026-06-15T00:00:00.000Z</x:v>
      </x:c>
      <x:c r="C2476" s="14" t="d">
        <x:v>2026-06-01T00:00:00.000Z</x:v>
      </x:c>
      <x:c r="D2476" s="34" t="str">
        <x:v>0008</x:v>
      </x:c>
      <x:c r="E2476" s="7" t="str">
        <x:v>Central</x:v>
      </x:c>
      <x:c r="F2476" s="7" t="n">
        <x:v>4</x:v>
      </x:c>
      <x:c r="G2476" s="7" t="n">
        <x:v>300</x:v>
      </x:c>
      <x:c r="H2476" s="9" t="n">
        <x:v>0.05</x:v>
      </x:c>
      <x:c r="I2476" s="7" t="n">
        <x:v>1140</x:v>
      </x:c>
    </x:row>
    <x:row r="2477" ht="23" customHeight="1">
      <x:c r="A2477" s="7" t="str">
        <x:v>INV02472</x:v>
      </x:c>
      <x:c r="B2477" s="15" t="d">
        <x:v>2026-06-16T00:00:00.000Z</x:v>
      </x:c>
      <x:c r="C2477" s="14" t="d">
        <x:v>2026-06-01T00:00:00.000Z</x:v>
      </x:c>
      <x:c r="D2477" s="34" t="str">
        <x:v>0001</x:v>
      </x:c>
      <x:c r="E2477" s="7" t="str">
        <x:v>East</x:v>
      </x:c>
      <x:c r="F2477" s="7" t="n">
        <x:v>1</x:v>
      </x:c>
      <x:c r="G2477" s="7" t="n">
        <x:v>160</x:v>
      </x:c>
      <x:c r="H2477" s="9" t="n">
        <x:v>0</x:v>
      </x:c>
      <x:c r="I2477" s="7" t="n">
        <x:v>160</x:v>
      </x:c>
    </x:row>
    <x:row r="2478" ht="23" customHeight="1">
      <x:c r="A2478" s="7" t="str">
        <x:v>INV02473</x:v>
      </x:c>
      <x:c r="B2478" s="15" t="d">
        <x:v>2026-06-17T00:00:00.000Z</x:v>
      </x:c>
      <x:c r="C2478" s="14" t="d">
        <x:v>2026-06-01T00:00:00.000Z</x:v>
      </x:c>
      <x:c r="D2478" s="34" t="str">
        <x:v>0002</x:v>
      </x:c>
      <x:c r="E2478" s="7" t="str">
        <x:v>East</x:v>
      </x:c>
      <x:c r="F2478" s="7" t="n">
        <x:v>1</x:v>
      </x:c>
      <x:c r="G2478" s="7" t="n">
        <x:v>180</x:v>
      </x:c>
      <x:c r="H2478" s="9" t="n">
        <x:v>0.02</x:v>
      </x:c>
      <x:c r="I2478" s="7" t="n">
        <x:v>176.4</x:v>
      </x:c>
    </x:row>
    <x:row r="2479" ht="23" customHeight="1">
      <x:c r="A2479" s="7" t="str">
        <x:v>INV02474</x:v>
      </x:c>
      <x:c r="B2479" s="15" t="d">
        <x:v>2026-06-18T00:00:00.000Z</x:v>
      </x:c>
      <x:c r="C2479" s="14" t="d">
        <x:v>2026-06-01T00:00:00.000Z</x:v>
      </x:c>
      <x:c r="D2479" s="34" t="str">
        <x:v>0003</x:v>
      </x:c>
      <x:c r="E2479" s="7" t="str">
        <x:v>East</x:v>
      </x:c>
      <x:c r="F2479" s="7" t="n">
        <x:v>1</x:v>
      </x:c>
      <x:c r="G2479" s="7" t="n">
        <x:v>200</x:v>
      </x:c>
      <x:c r="H2479" s="9" t="n">
        <x:v>0.05</x:v>
      </x:c>
      <x:c r="I2479" s="7" t="n">
        <x:v>190</x:v>
      </x:c>
    </x:row>
    <x:row r="2480" ht="23" customHeight="1">
      <x:c r="A2480" s="7" t="str">
        <x:v>INV02475</x:v>
      </x:c>
      <x:c r="B2480" s="15" t="d">
        <x:v>2026-06-19T00:00:00.000Z</x:v>
      </x:c>
      <x:c r="C2480" s="14" t="d">
        <x:v>2026-06-01T00:00:00.000Z</x:v>
      </x:c>
      <x:c r="D2480" s="34" t="str">
        <x:v>0004</x:v>
      </x:c>
      <x:c r="E2480" s="7" t="str">
        <x:v>East</x:v>
      </x:c>
      <x:c r="F2480" s="7" t="n">
        <x:v>5</x:v>
      </x:c>
      <x:c r="G2480" s="7" t="n">
        <x:v>220</x:v>
      </x:c>
      <x:c r="H2480" s="9" t="n">
        <x:v>0</x:v>
      </x:c>
      <x:c r="I2480" s="7" t="n">
        <x:v>1100</x:v>
      </x:c>
    </x:row>
    <x:row r="2481" ht="23" customHeight="1">
      <x:c r="A2481" s="7" t="str">
        <x:v>INV02476</x:v>
      </x:c>
      <x:c r="B2481" s="15" t="d">
        <x:v>2026-06-20T00:00:00.000Z</x:v>
      </x:c>
      <x:c r="C2481" s="14" t="d">
        <x:v>2026-06-01T00:00:00.000Z</x:v>
      </x:c>
      <x:c r="D2481" s="34" t="str">
        <x:v>0005</x:v>
      </x:c>
      <x:c r="E2481" s="7" t="str">
        <x:v>East</x:v>
      </x:c>
      <x:c r="F2481" s="7" t="n">
        <x:v>4</x:v>
      </x:c>
      <x:c r="G2481" s="7" t="n">
        <x:v>240</x:v>
      </x:c>
      <x:c r="H2481" s="9" t="n">
        <x:v>0.02</x:v>
      </x:c>
      <x:c r="I2481" s="7" t="n">
        <x:v>940.8</x:v>
      </x:c>
    </x:row>
    <x:row r="2482" ht="23" customHeight="1">
      <x:c r="A2482" s="7" t="str">
        <x:v>INV02477</x:v>
      </x:c>
      <x:c r="B2482" s="15" t="d">
        <x:v>2026-06-21T00:00:00.000Z</x:v>
      </x:c>
      <x:c r="C2482" s="14" t="d">
        <x:v>2026-06-01T00:00:00.000Z</x:v>
      </x:c>
      <x:c r="D2482" s="34" t="str">
        <x:v>0006</x:v>
      </x:c>
      <x:c r="E2482" s="7" t="str">
        <x:v>East</x:v>
      </x:c>
      <x:c r="F2482" s="7" t="n">
        <x:v>1</x:v>
      </x:c>
      <x:c r="G2482" s="7" t="n">
        <x:v>260</x:v>
      </x:c>
      <x:c r="H2482" s="9" t="n">
        <x:v>0.05</x:v>
      </x:c>
      <x:c r="I2482" s="7" t="n">
        <x:v>247</x:v>
      </x:c>
    </x:row>
    <x:row r="2483" ht="23" customHeight="1">
      <x:c r="A2483" s="7" t="str">
        <x:v>INV02478</x:v>
      </x:c>
      <x:c r="B2483" s="15" t="d">
        <x:v>2026-06-22T00:00:00.000Z</x:v>
      </x:c>
      <x:c r="C2483" s="14" t="d">
        <x:v>2026-06-01T00:00:00.000Z</x:v>
      </x:c>
      <x:c r="D2483" s="34" t="str">
        <x:v>0007</x:v>
      </x:c>
      <x:c r="E2483" s="7" t="str">
        <x:v>East</x:v>
      </x:c>
      <x:c r="F2483" s="7" t="n">
        <x:v>2</x:v>
      </x:c>
      <x:c r="G2483" s="7" t="n">
        <x:v>280</x:v>
      </x:c>
      <x:c r="H2483" s="9" t="n">
        <x:v>0</x:v>
      </x:c>
      <x:c r="I2483" s="7" t="n">
        <x:v>560</x:v>
      </x:c>
    </x:row>
    <x:row r="2484" ht="23" customHeight="1">
      <x:c r="A2484" s="7" t="str">
        <x:v>INV02479</x:v>
      </x:c>
      <x:c r="B2484" s="15" t="d">
        <x:v>2026-06-23T00:00:00.000Z</x:v>
      </x:c>
      <x:c r="C2484" s="14" t="d">
        <x:v>2026-06-01T00:00:00.000Z</x:v>
      </x:c>
      <x:c r="D2484" s="34" t="str">
        <x:v>0008</x:v>
      </x:c>
      <x:c r="E2484" s="7" t="str">
        <x:v>East</x:v>
      </x:c>
      <x:c r="F2484" s="7" t="n">
        <x:v>7</x:v>
      </x:c>
      <x:c r="G2484" s="7" t="n">
        <x:v>300</x:v>
      </x:c>
      <x:c r="H2484" s="9" t="n">
        <x:v>0.02</x:v>
      </x:c>
      <x:c r="I2484" s="7" t="n">
        <x:v>2058</x:v>
      </x:c>
    </x:row>
    <x:row r="2485" ht="23" customHeight="1">
      <x:c r="A2485" s="7" t="str">
        <x:v>INV02480</x:v>
      </x:c>
      <x:c r="B2485" s="15" t="d">
        <x:v>2026-06-24T00:00:00.000Z</x:v>
      </x:c>
      <x:c r="C2485" s="14" t="d">
        <x:v>2026-06-01T00:00:00.000Z</x:v>
      </x:c>
      <x:c r="D2485" s="34" t="str">
        <x:v>0001</x:v>
      </x:c>
      <x:c r="E2485" s="7" t="str">
        <x:v>West</x:v>
      </x:c>
      <x:c r="F2485" s="7" t="n">
        <x:v>3</x:v>
      </x:c>
      <x:c r="G2485" s="7" t="n">
        <x:v>160</x:v>
      </x:c>
      <x:c r="H2485" s="9" t="n">
        <x:v>0.05</x:v>
      </x:c>
      <x:c r="I2485" s="7" t="n">
        <x:v>456</x:v>
      </x:c>
    </x:row>
    <x:row r="2486" ht="23" customHeight="1">
      <x:c r="A2486" s="7" t="str">
        <x:v>INV02481</x:v>
      </x:c>
      <x:c r="B2486" s="15" t="d">
        <x:v>2026-06-25T00:00:00.000Z</x:v>
      </x:c>
      <x:c r="C2486" s="14" t="d">
        <x:v>2026-06-01T00:00:00.000Z</x:v>
      </x:c>
      <x:c r="D2486" s="34" t="str">
        <x:v>0002</x:v>
      </x:c>
      <x:c r="E2486" s="7" t="str">
        <x:v>West</x:v>
      </x:c>
      <x:c r="F2486" s="7" t="n">
        <x:v>1</x:v>
      </x:c>
      <x:c r="G2486" s="7" t="n">
        <x:v>180</x:v>
      </x:c>
      <x:c r="H2486" s="9" t="n">
        <x:v>0</x:v>
      </x:c>
      <x:c r="I2486" s="7" t="n">
        <x:v>180</x:v>
      </x:c>
    </x:row>
    <x:row r="2487" ht="23" customHeight="1">
      <x:c r="A2487" s="7" t="str">
        <x:v>INV02482</x:v>
      </x:c>
      <x:c r="B2487" s="15" t="d">
        <x:v>2026-06-26T00:00:00.000Z</x:v>
      </x:c>
      <x:c r="C2487" s="14" t="d">
        <x:v>2026-06-01T00:00:00.000Z</x:v>
      </x:c>
      <x:c r="D2487" s="34" t="str">
        <x:v>0003</x:v>
      </x:c>
      <x:c r="E2487" s="7" t="str">
        <x:v>West</x:v>
      </x:c>
      <x:c r="F2487" s="7" t="n">
        <x:v>3</x:v>
      </x:c>
      <x:c r="G2487" s="7" t="n">
        <x:v>200</x:v>
      </x:c>
      <x:c r="H2487" s="9" t="n">
        <x:v>0.02</x:v>
      </x:c>
      <x:c r="I2487" s="7" t="n">
        <x:v>588</x:v>
      </x:c>
    </x:row>
    <x:row r="2488" ht="23" customHeight="1">
      <x:c r="A2488" s="7" t="str">
        <x:v>INV02483</x:v>
      </x:c>
      <x:c r="B2488" s="15" t="d">
        <x:v>2026-06-27T00:00:00.000Z</x:v>
      </x:c>
      <x:c r="C2488" s="14" t="d">
        <x:v>2026-06-01T00:00:00.000Z</x:v>
      </x:c>
      <x:c r="D2488" s="34" t="str">
        <x:v>0004</x:v>
      </x:c>
      <x:c r="E2488" s="7" t="str">
        <x:v>West</x:v>
      </x:c>
      <x:c r="F2488" s="7" t="n">
        <x:v>4</x:v>
      </x:c>
      <x:c r="G2488" s="7" t="n">
        <x:v>220</x:v>
      </x:c>
      <x:c r="H2488" s="9" t="n">
        <x:v>0.05</x:v>
      </x:c>
      <x:c r="I2488" s="7" t="n">
        <x:v>836</x:v>
      </x:c>
    </x:row>
    <x:row r="2489" ht="23" customHeight="1">
      <x:c r="A2489" s="7" t="str">
        <x:v>INV02484</x:v>
      </x:c>
      <x:c r="B2489" s="15" t="d">
        <x:v>2026-06-01T00:00:00.000Z</x:v>
      </x:c>
      <x:c r="C2489" s="14" t="d">
        <x:v>2026-06-01T00:00:00.000Z</x:v>
      </x:c>
      <x:c r="D2489" s="34" t="str">
        <x:v>0005</x:v>
      </x:c>
      <x:c r="E2489" s="7" t="str">
        <x:v>West</x:v>
      </x:c>
      <x:c r="F2489" s="7" t="n">
        <x:v>4</x:v>
      </x:c>
      <x:c r="G2489" s="7" t="n">
        <x:v>240</x:v>
      </x:c>
      <x:c r="H2489" s="9" t="n">
        <x:v>0</x:v>
      </x:c>
      <x:c r="I2489" s="7" t="n">
        <x:v>960</x:v>
      </x:c>
    </x:row>
    <x:row r="2490" ht="23" customHeight="1">
      <x:c r="A2490" s="7" t="str">
        <x:v>INV02485</x:v>
      </x:c>
      <x:c r="B2490" s="15" t="d">
        <x:v>2026-06-02T00:00:00.000Z</x:v>
      </x:c>
      <x:c r="C2490" s="14" t="d">
        <x:v>2026-06-01T00:00:00.000Z</x:v>
      </x:c>
      <x:c r="D2490" s="34" t="str">
        <x:v>0006</x:v>
      </x:c>
      <x:c r="E2490" s="7" t="str">
        <x:v>West</x:v>
      </x:c>
      <x:c r="F2490" s="7" t="n">
        <x:v>6</x:v>
      </x:c>
      <x:c r="G2490" s="7" t="n">
        <x:v>260</x:v>
      </x:c>
      <x:c r="H2490" s="9" t="n">
        <x:v>0.02</x:v>
      </x:c>
      <x:c r="I2490" s="7" t="n">
        <x:v>1528.8</x:v>
      </x:c>
    </x:row>
    <x:row r="2491" ht="23" customHeight="1">
      <x:c r="A2491" s="7" t="str">
        <x:v>INV02486</x:v>
      </x:c>
      <x:c r="B2491" s="15" t="d">
        <x:v>2026-06-03T00:00:00.000Z</x:v>
      </x:c>
      <x:c r="C2491" s="14" t="d">
        <x:v>2026-06-01T00:00:00.000Z</x:v>
      </x:c>
      <x:c r="D2491" s="34" t="str">
        <x:v>0007</x:v>
      </x:c>
      <x:c r="E2491" s="7" t="str">
        <x:v>West</x:v>
      </x:c>
      <x:c r="F2491" s="7" t="n">
        <x:v>4</x:v>
      </x:c>
      <x:c r="G2491" s="7" t="n">
        <x:v>280</x:v>
      </x:c>
      <x:c r="H2491" s="9" t="n">
        <x:v>0.05</x:v>
      </x:c>
      <x:c r="I2491" s="7" t="n">
        <x:v>1064</x:v>
      </x:c>
    </x:row>
    <x:row r="2492" ht="23" customHeight="1">
      <x:c r="A2492" s="7" t="str">
        <x:v>INV02487</x:v>
      </x:c>
      <x:c r="B2492" s="15" t="d">
        <x:v>2026-06-04T00:00:00.000Z</x:v>
      </x:c>
      <x:c r="C2492" s="14" t="d">
        <x:v>2026-06-01T00:00:00.000Z</x:v>
      </x:c>
      <x:c r="D2492" s="34" t="str">
        <x:v>0008</x:v>
      </x:c>
      <x:c r="E2492" s="7" t="str">
        <x:v>West</x:v>
      </x:c>
      <x:c r="F2492" s="7" t="n">
        <x:v>5</x:v>
      </x:c>
      <x:c r="G2492" s="7" t="n">
        <x:v>300</x:v>
      </x:c>
      <x:c r="H2492" s="9" t="n">
        <x:v>0</x:v>
      </x:c>
      <x:c r="I2492" s="7" t="n">
        <x:v>1500</x:v>
      </x:c>
    </x:row>
    <x:row r="2493" ht="23" customHeight="1">
      <x:c r="A2493" s="7" t="str">
        <x:v>INV02488</x:v>
      </x:c>
      <x:c r="B2493" s="15" t="d">
        <x:v>2026-06-05T00:00:00.000Z</x:v>
      </x:c>
      <x:c r="C2493" s="14" t="d">
        <x:v>2026-06-01T00:00:00.000Z</x:v>
      </x:c>
      <x:c r="D2493" s="34" t="str">
        <x:v>0001</x:v>
      </x:c>
      <x:c r="E2493" s="7" t="str">
        <x:v>North</x:v>
      </x:c>
      <x:c r="F2493" s="7" t="n">
        <x:v>6</x:v>
      </x:c>
      <x:c r="G2493" s="7" t="n">
        <x:v>160</x:v>
      </x:c>
      <x:c r="H2493" s="9" t="n">
        <x:v>0.02</x:v>
      </x:c>
      <x:c r="I2493" s="7" t="n">
        <x:v>940.8</x:v>
      </x:c>
    </x:row>
    <x:row r="2494" ht="23" customHeight="1">
      <x:c r="A2494" s="7" t="str">
        <x:v>INV02489</x:v>
      </x:c>
      <x:c r="B2494" s="15" t="d">
        <x:v>2026-06-06T00:00:00.000Z</x:v>
      </x:c>
      <x:c r="C2494" s="14" t="d">
        <x:v>2026-06-01T00:00:00.000Z</x:v>
      </x:c>
      <x:c r="D2494" s="34" t="str">
        <x:v>0002</x:v>
      </x:c>
      <x:c r="E2494" s="7" t="str">
        <x:v>North</x:v>
      </x:c>
      <x:c r="F2494" s="7" t="n">
        <x:v>2</x:v>
      </x:c>
      <x:c r="G2494" s="7" t="n">
        <x:v>180</x:v>
      </x:c>
      <x:c r="H2494" s="9" t="n">
        <x:v>0.05</x:v>
      </x:c>
      <x:c r="I2494" s="7" t="n">
        <x:v>342</x:v>
      </x:c>
    </x:row>
    <x:row r="2495" ht="23" customHeight="1">
      <x:c r="A2495" s="7" t="str">
        <x:v>INV02490</x:v>
      </x:c>
      <x:c r="B2495" s="15" t="d">
        <x:v>2026-06-07T00:00:00.000Z</x:v>
      </x:c>
      <x:c r="C2495" s="14" t="d">
        <x:v>2026-06-01T00:00:00.000Z</x:v>
      </x:c>
      <x:c r="D2495" s="34" t="str">
        <x:v>0003</x:v>
      </x:c>
      <x:c r="E2495" s="7" t="str">
        <x:v>North</x:v>
      </x:c>
      <x:c r="F2495" s="7" t="n">
        <x:v>2</x:v>
      </x:c>
      <x:c r="G2495" s="7" t="n">
        <x:v>200</x:v>
      </x:c>
      <x:c r="H2495" s="9" t="n">
        <x:v>0</x:v>
      </x:c>
      <x:c r="I2495" s="7" t="n">
        <x:v>400</x:v>
      </x:c>
    </x:row>
    <x:row r="2496" ht="23" customHeight="1">
      <x:c r="A2496" s="7" t="str">
        <x:v>INV02491</x:v>
      </x:c>
      <x:c r="B2496" s="15" t="d">
        <x:v>2026-06-08T00:00:00.000Z</x:v>
      </x:c>
      <x:c r="C2496" s="14" t="d">
        <x:v>2026-06-01T00:00:00.000Z</x:v>
      </x:c>
      <x:c r="D2496" s="34" t="str">
        <x:v>0004</x:v>
      </x:c>
      <x:c r="E2496" s="7" t="str">
        <x:v>North</x:v>
      </x:c>
      <x:c r="F2496" s="7" t="n">
        <x:v>2</x:v>
      </x:c>
      <x:c r="G2496" s="7" t="n">
        <x:v>220</x:v>
      </x:c>
      <x:c r="H2496" s="9" t="n">
        <x:v>0.02</x:v>
      </x:c>
      <x:c r="I2496" s="7" t="n">
        <x:v>431.2</x:v>
      </x:c>
    </x:row>
    <x:row r="2497" ht="23" customHeight="1">
      <x:c r="A2497" s="7" t="str">
        <x:v>INV02492</x:v>
      </x:c>
      <x:c r="B2497" s="15" t="d">
        <x:v>2026-06-09T00:00:00.000Z</x:v>
      </x:c>
      <x:c r="C2497" s="14" t="d">
        <x:v>2026-06-01T00:00:00.000Z</x:v>
      </x:c>
      <x:c r="D2497" s="34" t="str">
        <x:v>0005</x:v>
      </x:c>
      <x:c r="E2497" s="7" t="str">
        <x:v>North</x:v>
      </x:c>
      <x:c r="F2497" s="7" t="n">
        <x:v>1</x:v>
      </x:c>
      <x:c r="G2497" s="7" t="n">
        <x:v>240</x:v>
      </x:c>
      <x:c r="H2497" s="9" t="n">
        <x:v>0.05</x:v>
      </x:c>
      <x:c r="I2497" s="7" t="n">
        <x:v>228</x:v>
      </x:c>
    </x:row>
    <x:row r="2498" ht="23" customHeight="1">
      <x:c r="A2498" s="7" t="str">
        <x:v>INV02493</x:v>
      </x:c>
      <x:c r="B2498" s="15" t="d">
        <x:v>2026-06-10T00:00:00.000Z</x:v>
      </x:c>
      <x:c r="C2498" s="14" t="d">
        <x:v>2026-06-01T00:00:00.000Z</x:v>
      </x:c>
      <x:c r="D2498" s="34" t="str">
        <x:v>0006</x:v>
      </x:c>
      <x:c r="E2498" s="7" t="str">
        <x:v>North</x:v>
      </x:c>
      <x:c r="F2498" s="7" t="n">
        <x:v>2</x:v>
      </x:c>
      <x:c r="G2498" s="7" t="n">
        <x:v>260</x:v>
      </x:c>
      <x:c r="H2498" s="9" t="n">
        <x:v>0</x:v>
      </x:c>
      <x:c r="I2498" s="7" t="n">
        <x:v>520</x:v>
      </x:c>
    </x:row>
    <x:row r="2499" ht="23" customHeight="1">
      <x:c r="A2499" s="7" t="str">
        <x:v>INV02494</x:v>
      </x:c>
      <x:c r="B2499" s="15" t="d">
        <x:v>2026-06-11T00:00:00.000Z</x:v>
      </x:c>
      <x:c r="C2499" s="14" t="d">
        <x:v>2026-06-01T00:00:00.000Z</x:v>
      </x:c>
      <x:c r="D2499" s="34" t="str">
        <x:v>0007</x:v>
      </x:c>
      <x:c r="E2499" s="7" t="str">
        <x:v>North</x:v>
      </x:c>
      <x:c r="F2499" s="7" t="n">
        <x:v>7</x:v>
      </x:c>
      <x:c r="G2499" s="7" t="n">
        <x:v>280</x:v>
      </x:c>
      <x:c r="H2499" s="9" t="n">
        <x:v>0.02</x:v>
      </x:c>
      <x:c r="I2499" s="7" t="n">
        <x:v>1920.8</x:v>
      </x:c>
    </x:row>
    <x:row r="2500" ht="23" customHeight="1">
      <x:c r="A2500" s="7" t="str">
        <x:v>INV02495</x:v>
      </x:c>
      <x:c r="B2500" s="15" t="d">
        <x:v>2026-06-12T00:00:00.000Z</x:v>
      </x:c>
      <x:c r="C2500" s="14" t="d">
        <x:v>2026-06-01T00:00:00.000Z</x:v>
      </x:c>
      <x:c r="D2500" s="34" t="str">
        <x:v>0008</x:v>
      </x:c>
      <x:c r="E2500" s="7" t="str">
        <x:v>North</x:v>
      </x:c>
      <x:c r="F2500" s="7" t="n">
        <x:v>5</x:v>
      </x:c>
      <x:c r="G2500" s="7" t="n">
        <x:v>300</x:v>
      </x:c>
      <x:c r="H2500" s="9" t="n">
        <x:v>0.05</x:v>
      </x:c>
      <x:c r="I2500" s="7" t="n">
        <x:v>1425</x:v>
      </x:c>
    </x:row>
    <x:row r="2501" ht="23" customHeight="1">
      <x:c r="A2501" s="7" t="str">
        <x:v>INV02496</x:v>
      </x:c>
      <x:c r="B2501" s="15" t="d">
        <x:v>2026-01-13T00:00:00.000Z</x:v>
      </x:c>
      <x:c r="C2501" s="14" t="d">
        <x:v>2026-01-01T00:00:00.000Z</x:v>
      </x:c>
      <x:c r="D2501" s="34" t="str">
        <x:v>0001</x:v>
      </x:c>
      <x:c r="E2501" s="7" t="str">
        <x:v>Central</x:v>
      </x:c>
      <x:c r="F2501" s="7" t="n">
        <x:v>6</x:v>
      </x:c>
      <x:c r="G2501" s="7" t="n">
        <x:v>160</x:v>
      </x:c>
      <x:c r="H2501" s="9" t="n">
        <x:v>0</x:v>
      </x:c>
      <x:c r="I2501" s="7" t="n">
        <x:v>960</x:v>
      </x:c>
    </x:row>
    <x:row r="2502" ht="23" customHeight="1">
      <x:c r="A2502" s="7" t="str">
        <x:v>INV02497</x:v>
      </x:c>
      <x:c r="B2502" s="15" t="d">
        <x:v>2026-01-14T00:00:00.000Z</x:v>
      </x:c>
      <x:c r="C2502" s="14" t="d">
        <x:v>2026-01-01T00:00:00.000Z</x:v>
      </x:c>
      <x:c r="D2502" s="34" t="str">
        <x:v>0002</x:v>
      </x:c>
      <x:c r="E2502" s="7" t="str">
        <x:v>Central</x:v>
      </x:c>
      <x:c r="F2502" s="7" t="n">
        <x:v>4</x:v>
      </x:c>
      <x:c r="G2502" s="7" t="n">
        <x:v>180</x:v>
      </x:c>
      <x:c r="H2502" s="9" t="n">
        <x:v>0.02</x:v>
      </x:c>
      <x:c r="I2502" s="7" t="n">
        <x:v>705.6</x:v>
      </x:c>
    </x:row>
    <x:row r="2503" ht="23" customHeight="1">
      <x:c r="A2503" s="7" t="str">
        <x:v>INV02498</x:v>
      </x:c>
      <x:c r="B2503" s="15" t="d">
        <x:v>2026-01-15T00:00:00.000Z</x:v>
      </x:c>
      <x:c r="C2503" s="14" t="d">
        <x:v>2026-01-01T00:00:00.000Z</x:v>
      </x:c>
      <x:c r="D2503" s="34" t="str">
        <x:v>0003</x:v>
      </x:c>
      <x:c r="E2503" s="7" t="str">
        <x:v>Central</x:v>
      </x:c>
      <x:c r="F2503" s="7" t="n">
        <x:v>1</x:v>
      </x:c>
      <x:c r="G2503" s="7" t="n">
        <x:v>200</x:v>
      </x:c>
      <x:c r="H2503" s="9" t="n">
        <x:v>0.05</x:v>
      </x:c>
      <x:c r="I2503" s="7" t="n">
        <x:v>190</x:v>
      </x:c>
    </x:row>
    <x:row r="2504" ht="23" customHeight="1">
      <x:c r="A2504" s="7" t="str">
        <x:v>INV02499</x:v>
      </x:c>
      <x:c r="B2504" s="15" t="d">
        <x:v>2026-01-16T00:00:00.000Z</x:v>
      </x:c>
      <x:c r="C2504" s="14" t="d">
        <x:v>2026-01-01T00:00:00.000Z</x:v>
      </x:c>
      <x:c r="D2504" s="34" t="str">
        <x:v>0004</x:v>
      </x:c>
      <x:c r="E2504" s="7" t="str">
        <x:v>Central</x:v>
      </x:c>
      <x:c r="F2504" s="7" t="n">
        <x:v>4</x:v>
      </x:c>
      <x:c r="G2504" s="7" t="n">
        <x:v>220</x:v>
      </x:c>
      <x:c r="H2504" s="9" t="n">
        <x:v>0</x:v>
      </x:c>
      <x:c r="I2504" s="7" t="n">
        <x:v>880</x:v>
      </x:c>
    </x:row>
    <x:row r="2505" ht="23" customHeight="1">
      <x:c r="A2505" s="7" t="str">
        <x:v>INV02500</x:v>
      </x:c>
      <x:c r="B2505" s="15" t="d">
        <x:v>2026-01-17T00:00:00.000Z</x:v>
      </x:c>
      <x:c r="C2505" s="14" t="d">
        <x:v>2026-01-01T00:00:00.000Z</x:v>
      </x:c>
      <x:c r="D2505" s="34" t="str">
        <x:v>0005</x:v>
      </x:c>
      <x:c r="E2505" s="7" t="str">
        <x:v>Central</x:v>
      </x:c>
      <x:c r="F2505" s="7" t="n">
        <x:v>5</x:v>
      </x:c>
      <x:c r="G2505" s="7" t="n">
        <x:v>240</x:v>
      </x:c>
      <x:c r="H2505" s="9" t="n">
        <x:v>0.02</x:v>
      </x:c>
      <x:c r="I2505" s="7" t="n">
        <x:v>1176</x:v>
      </x:c>
    </x:row>
    <x:row r="2506" ht="23" customHeight="1">
      <x:c r="A2506" s="7" t="str">
        <x:v>INV02501</x:v>
      </x:c>
      <x:c r="B2506" s="15" t="d">
        <x:v>2026-01-18T00:00:00.000Z</x:v>
      </x:c>
      <x:c r="C2506" s="14" t="d">
        <x:v>2026-01-01T00:00:00.000Z</x:v>
      </x:c>
      <x:c r="D2506" s="34" t="str">
        <x:v>0006</x:v>
      </x:c>
      <x:c r="E2506" s="7" t="str">
        <x:v>Central</x:v>
      </x:c>
      <x:c r="F2506" s="7" t="n">
        <x:v>-4</x:v>
      </x:c>
      <x:c r="G2506" s="7" t="n">
        <x:v>260</x:v>
      </x:c>
      <x:c r="H2506" s="9" t="n">
        <x:v>0.05</x:v>
      </x:c>
      <x:c r="I2506" s="7" t="n">
        <x:v>-988</x:v>
      </x:c>
    </x:row>
    <x:row r="2507" ht="23" customHeight="1">
      <x:c r="A2507" s="7" t="str">
        <x:v>INV02502</x:v>
      </x:c>
      <x:c r="B2507" s="15" t="d">
        <x:v>2026-01-19T00:00:00.000Z</x:v>
      </x:c>
      <x:c r="C2507" s="14" t="d">
        <x:v>2026-01-01T00:00:00.000Z</x:v>
      </x:c>
      <x:c r="D2507" s="34" t="str">
        <x:v>0007</x:v>
      </x:c>
      <x:c r="E2507" s="7" t="str">
        <x:v>Central</x:v>
      </x:c>
      <x:c r="F2507" s="7" t="n">
        <x:v>7</x:v>
      </x:c>
      <x:c r="G2507" s="7" t="n">
        <x:v>280</x:v>
      </x:c>
      <x:c r="H2507" s="9" t="n">
        <x:v>0</x:v>
      </x:c>
      <x:c r="I2507" s="7" t="n">
        <x:v>1960</x:v>
      </x:c>
    </x:row>
    <x:row r="2508" ht="23" customHeight="1">
      <x:c r="A2508" s="7" t="str">
        <x:v>INV02503</x:v>
      </x:c>
      <x:c r="B2508" s="15" t="d">
        <x:v>2026-01-20T00:00:00.000Z</x:v>
      </x:c>
      <x:c r="C2508" s="14" t="d">
        <x:v>2026-01-01T00:00:00.000Z</x:v>
      </x:c>
      <x:c r="D2508" s="34" t="str">
        <x:v>0008</x:v>
      </x:c>
      <x:c r="E2508" s="7" t="str">
        <x:v>Central</x:v>
      </x:c>
      <x:c r="F2508" s="7" t="n">
        <x:v>3</x:v>
      </x:c>
      <x:c r="G2508" s="7" t="n">
        <x:v>300</x:v>
      </x:c>
      <x:c r="H2508" s="9" t="n">
        <x:v>0.02</x:v>
      </x:c>
      <x:c r="I2508" s="7" t="n">
        <x:v>882</x:v>
      </x:c>
    </x:row>
    <x:row r="2509" ht="23" customHeight="1">
      <x:c r="A2509" s="7" t="str">
        <x:v>INV02504</x:v>
      </x:c>
      <x:c r="B2509" s="15" t="d">
        <x:v>2026-01-21T00:00:00.000Z</x:v>
      </x:c>
      <x:c r="C2509" s="14" t="d">
        <x:v>2026-01-01T00:00:00.000Z</x:v>
      </x:c>
      <x:c r="D2509" s="34" t="str">
        <x:v>0001</x:v>
      </x:c>
      <x:c r="E2509" s="7" t="str">
        <x:v>East</x:v>
      </x:c>
      <x:c r="F2509" s="7" t="n">
        <x:v>4</x:v>
      </x:c>
      <x:c r="G2509" s="7" t="n">
        <x:v>160</x:v>
      </x:c>
      <x:c r="H2509" s="9" t="n">
        <x:v>0.05</x:v>
      </x:c>
      <x:c r="I2509" s="7" t="n">
        <x:v>608</x:v>
      </x:c>
    </x:row>
    <x:row r="2510" ht="23" customHeight="1">
      <x:c r="A2510" s="7" t="str">
        <x:v>INV02505</x:v>
      </x:c>
      <x:c r="B2510" s="15" t="d">
        <x:v>2026-01-22T00:00:00.000Z</x:v>
      </x:c>
      <x:c r="C2510" s="14" t="d">
        <x:v>2026-01-01T00:00:00.000Z</x:v>
      </x:c>
      <x:c r="D2510" s="34" t="str">
        <x:v>0002</x:v>
      </x:c>
      <x:c r="E2510" s="7" t="str">
        <x:v>East</x:v>
      </x:c>
      <x:c r="F2510" s="7" t="n">
        <x:v>4</x:v>
      </x:c>
      <x:c r="G2510" s="7" t="n">
        <x:v>180</x:v>
      </x:c>
      <x:c r="H2510" s="9" t="n">
        <x:v>0</x:v>
      </x:c>
      <x:c r="I2510" s="7" t="n">
        <x:v>720</x:v>
      </x:c>
    </x:row>
    <x:row r="2511" ht="23" customHeight="1">
      <x:c r="A2511" s="7" t="str">
        <x:v>INV02506</x:v>
      </x:c>
      <x:c r="B2511" s="15" t="d">
        <x:v>2026-01-23T00:00:00.000Z</x:v>
      </x:c>
      <x:c r="C2511" s="14" t="d">
        <x:v>2026-01-01T00:00:00.000Z</x:v>
      </x:c>
      <x:c r="D2511" s="34" t="str">
        <x:v>0003</x:v>
      </x:c>
      <x:c r="E2511" s="7" t="str">
        <x:v>East</x:v>
      </x:c>
      <x:c r="F2511" s="7" t="n">
        <x:v>4</x:v>
      </x:c>
      <x:c r="G2511" s="7" t="n">
        <x:v>200</x:v>
      </x:c>
      <x:c r="H2511" s="9" t="n">
        <x:v>0.02</x:v>
      </x:c>
      <x:c r="I2511" s="7" t="n">
        <x:v>784</x:v>
      </x:c>
    </x:row>
    <x:row r="2512" ht="23" customHeight="1">
      <x:c r="A2512" s="7" t="str">
        <x:v>INV02507</x:v>
      </x:c>
      <x:c r="B2512" s="15" t="d">
        <x:v>2026-01-24T00:00:00.000Z</x:v>
      </x:c>
      <x:c r="C2512" s="14" t="d">
        <x:v>2026-01-01T00:00:00.000Z</x:v>
      </x:c>
      <x:c r="D2512" s="34" t="str">
        <x:v>0004</x:v>
      </x:c>
      <x:c r="E2512" s="7" t="str">
        <x:v>East</x:v>
      </x:c>
      <x:c r="F2512" s="7" t="n">
        <x:v>3</x:v>
      </x:c>
      <x:c r="G2512" s="7" t="n">
        <x:v>220</x:v>
      </x:c>
      <x:c r="H2512" s="9" t="n">
        <x:v>0.05</x:v>
      </x:c>
      <x:c r="I2512" s="7" t="n">
        <x:v>627</x:v>
      </x:c>
    </x:row>
    <x:row r="2513" ht="23" customHeight="1">
      <x:c r="A2513" s="7" t="str">
        <x:v>INV02508</x:v>
      </x:c>
      <x:c r="B2513" s="15" t="d">
        <x:v>2026-01-25T00:00:00.000Z</x:v>
      </x:c>
      <x:c r="C2513" s="14" t="d">
        <x:v>2026-01-01T00:00:00.000Z</x:v>
      </x:c>
      <x:c r="D2513" s="34" t="str">
        <x:v>0005</x:v>
      </x:c>
      <x:c r="E2513" s="7" t="str">
        <x:v>East</x:v>
      </x:c>
      <x:c r="F2513" s="7" t="n">
        <x:v>6</x:v>
      </x:c>
      <x:c r="G2513" s="7" t="n">
        <x:v>240</x:v>
      </x:c>
      <x:c r="H2513" s="9" t="n">
        <x:v>0</x:v>
      </x:c>
      <x:c r="I2513" s="7" t="n">
        <x:v>1440</x:v>
      </x:c>
    </x:row>
    <x:row r="2514" ht="23" customHeight="1">
      <x:c r="A2514" s="7" t="str">
        <x:v>INV02509</x:v>
      </x:c>
      <x:c r="B2514" s="15" t="d">
        <x:v>2026-01-26T00:00:00.000Z</x:v>
      </x:c>
      <x:c r="C2514" s="14" t="d">
        <x:v>2026-01-01T00:00:00.000Z</x:v>
      </x:c>
      <x:c r="D2514" s="34" t="str">
        <x:v>0006</x:v>
      </x:c>
      <x:c r="E2514" s="7" t="str">
        <x:v>East</x:v>
      </x:c>
      <x:c r="F2514" s="7" t="n">
        <x:v>3</x:v>
      </x:c>
      <x:c r="G2514" s="7" t="n">
        <x:v>260</x:v>
      </x:c>
      <x:c r="H2514" s="9" t="n">
        <x:v>0.02</x:v>
      </x:c>
      <x:c r="I2514" s="7" t="n">
        <x:v>764.4</x:v>
      </x:c>
    </x:row>
    <x:row r="2515" ht="23" customHeight="1">
      <x:c r="A2515" s="7" t="str">
        <x:v>INV02510</x:v>
      </x:c>
      <x:c r="B2515" s="15" t="d">
        <x:v>2026-01-27T00:00:00.000Z</x:v>
      </x:c>
      <x:c r="C2515" s="14" t="d">
        <x:v>2026-01-01T00:00:00.000Z</x:v>
      </x:c>
      <x:c r="D2515" s="34" t="str">
        <x:v>0007</x:v>
      </x:c>
      <x:c r="E2515" s="7" t="str">
        <x:v>East</x:v>
      </x:c>
      <x:c r="F2515" s="7" t="n">
        <x:v>3</x:v>
      </x:c>
      <x:c r="G2515" s="7" t="n">
        <x:v>280</x:v>
      </x:c>
      <x:c r="H2515" s="9" t="n">
        <x:v>0.05</x:v>
      </x:c>
      <x:c r="I2515" s="7" t="n">
        <x:v>798</x:v>
      </x:c>
    </x:row>
    <x:row r="2516" ht="23" customHeight="1">
      <x:c r="A2516" s="7" t="str">
        <x:v>INV02511</x:v>
      </x:c>
      <x:c r="B2516" s="15" t="d">
        <x:v>2026-01-01T00:00:00.000Z</x:v>
      </x:c>
      <x:c r="C2516" s="14" t="d">
        <x:v>2026-01-01T00:00:00.000Z</x:v>
      </x:c>
      <x:c r="D2516" s="34" t="str">
        <x:v>0008</x:v>
      </x:c>
      <x:c r="E2516" s="7" t="str">
        <x:v>East</x:v>
      </x:c>
      <x:c r="F2516" s="7" t="n">
        <x:v>3</x:v>
      </x:c>
      <x:c r="G2516" s="7" t="n">
        <x:v>300</x:v>
      </x:c>
      <x:c r="H2516" s="9" t="n">
        <x:v>0</x:v>
      </x:c>
      <x:c r="I2516" s="7" t="n">
        <x:v>900</x:v>
      </x:c>
    </x:row>
    <x:row r="2517" ht="23" customHeight="1">
      <x:c r="A2517" s="7" t="str">
        <x:v>INV02512</x:v>
      </x:c>
      <x:c r="B2517" s="15" t="d">
        <x:v>2026-01-02T00:00:00.000Z</x:v>
      </x:c>
      <x:c r="C2517" s="14" t="d">
        <x:v>2026-01-01T00:00:00.000Z</x:v>
      </x:c>
      <x:c r="D2517" s="34" t="str">
        <x:v>0001</x:v>
      </x:c>
      <x:c r="E2517" s="7" t="str">
        <x:v>West</x:v>
      </x:c>
      <x:c r="F2517" s="7" t="n">
        <x:v>4</x:v>
      </x:c>
      <x:c r="G2517" s="7" t="n">
        <x:v>160</x:v>
      </x:c>
      <x:c r="H2517" s="9" t="n">
        <x:v>0.02</x:v>
      </x:c>
      <x:c r="I2517" s="7" t="n">
        <x:v>627.2</x:v>
      </x:c>
    </x:row>
    <x:row r="2518" ht="23" customHeight="1">
      <x:c r="A2518" s="7" t="str">
        <x:v>INV02513</x:v>
      </x:c>
      <x:c r="B2518" s="15" t="d">
        <x:v>2026-01-03T00:00:00.000Z</x:v>
      </x:c>
      <x:c r="C2518" s="14" t="d">
        <x:v>2026-01-01T00:00:00.000Z</x:v>
      </x:c>
      <x:c r="D2518" s="34" t="str">
        <x:v>0002</x:v>
      </x:c>
      <x:c r="E2518" s="7" t="str">
        <x:v>West</x:v>
      </x:c>
      <x:c r="F2518" s="7" t="n">
        <x:v>1</x:v>
      </x:c>
      <x:c r="G2518" s="7" t="n">
        <x:v>180</x:v>
      </x:c>
      <x:c r="H2518" s="9" t="n">
        <x:v>0.05</x:v>
      </x:c>
      <x:c r="I2518" s="7" t="n">
        <x:v>171</x:v>
      </x:c>
    </x:row>
    <x:row r="2519" ht="23" customHeight="1">
      <x:c r="A2519" s="7" t="str">
        <x:v>INV02514</x:v>
      </x:c>
      <x:c r="B2519" s="15" t="d">
        <x:v>2026-01-04T00:00:00.000Z</x:v>
      </x:c>
      <x:c r="C2519" s="14" t="d">
        <x:v>2026-01-01T00:00:00.000Z</x:v>
      </x:c>
      <x:c r="D2519" s="34" t="str">
        <x:v>0003</x:v>
      </x:c>
      <x:c r="E2519" s="7" t="str">
        <x:v>West</x:v>
      </x:c>
      <x:c r="F2519" s="7" t="n">
        <x:v>5</x:v>
      </x:c>
      <x:c r="G2519" s="7" t="n">
        <x:v>200</x:v>
      </x:c>
      <x:c r="H2519" s="9" t="n">
        <x:v>0</x:v>
      </x:c>
      <x:c r="I2519" s="7" t="n">
        <x:v>1000</x:v>
      </x:c>
    </x:row>
    <x:row r="2520" ht="23" customHeight="1">
      <x:c r="A2520" s="7" t="str">
        <x:v>INV02515</x:v>
      </x:c>
      <x:c r="B2520" s="15" t="d">
        <x:v>2026-01-05T00:00:00.000Z</x:v>
      </x:c>
      <x:c r="C2520" s="14" t="d">
        <x:v>2026-01-01T00:00:00.000Z</x:v>
      </x:c>
      <x:c r="D2520" s="34" t="str">
        <x:v>0004</x:v>
      </x:c>
      <x:c r="E2520" s="7" t="str">
        <x:v>West</x:v>
      </x:c>
      <x:c r="F2520" s="7" t="n">
        <x:v>6</x:v>
      </x:c>
      <x:c r="G2520" s="7" t="n">
        <x:v>220</x:v>
      </x:c>
      <x:c r="H2520" s="9" t="n">
        <x:v>0.02</x:v>
      </x:c>
      <x:c r="I2520" s="7" t="n">
        <x:v>1293.6</x:v>
      </x:c>
    </x:row>
    <x:row r="2521" ht="23" customHeight="1">
      <x:c r="A2521" s="7" t="str">
        <x:v>INV02516</x:v>
      </x:c>
      <x:c r="B2521" s="15" t="d">
        <x:v>2026-01-06T00:00:00.000Z</x:v>
      </x:c>
      <x:c r="C2521" s="14" t="d">
        <x:v>2026-01-01T00:00:00.000Z</x:v>
      </x:c>
      <x:c r="D2521" s="34" t="str">
        <x:v>0005</x:v>
      </x:c>
      <x:c r="E2521" s="7" t="str">
        <x:v>West</x:v>
      </x:c>
      <x:c r="F2521" s="7" t="n">
        <x:v>5</x:v>
      </x:c>
      <x:c r="G2521" s="7" t="n">
        <x:v>240</x:v>
      </x:c>
      <x:c r="H2521" s="9" t="n">
        <x:v>0.05</x:v>
      </x:c>
      <x:c r="I2521" s="7" t="n">
        <x:v>1140</x:v>
      </x:c>
    </x:row>
    <x:row r="2522" ht="23" customHeight="1">
      <x:c r="A2522" s="7" t="str">
        <x:v>INV02517</x:v>
      </x:c>
      <x:c r="B2522" s="15" t="d">
        <x:v>2026-01-07T00:00:00.000Z</x:v>
      </x:c>
      <x:c r="C2522" s="14" t="d">
        <x:v>2026-01-01T00:00:00.000Z</x:v>
      </x:c>
      <x:c r="D2522" s="34" t="str">
        <x:v>0006</x:v>
      </x:c>
      <x:c r="E2522" s="7" t="str">
        <x:v>West</x:v>
      </x:c>
      <x:c r="F2522" s="7" t="n">
        <x:v>4</x:v>
      </x:c>
      <x:c r="G2522" s="7" t="n">
        <x:v>260</x:v>
      </x:c>
      <x:c r="H2522" s="9" t="n">
        <x:v>0</x:v>
      </x:c>
      <x:c r="I2522" s="7" t="n">
        <x:v>1040</x:v>
      </x:c>
    </x:row>
    <x:row r="2523" ht="23" customHeight="1">
      <x:c r="A2523" s="7" t="str">
        <x:v>INV02518</x:v>
      </x:c>
      <x:c r="B2523" s="15" t="d">
        <x:v>2026-01-08T00:00:00.000Z</x:v>
      </x:c>
      <x:c r="C2523" s="14" t="d">
        <x:v>2026-01-01T00:00:00.000Z</x:v>
      </x:c>
      <x:c r="D2523" s="34" t="str">
        <x:v>0007</x:v>
      </x:c>
      <x:c r="E2523" s="7" t="str">
        <x:v>West</x:v>
      </x:c>
      <x:c r="F2523" s="7" t="n">
        <x:v>5</x:v>
      </x:c>
      <x:c r="G2523" s="7" t="n">
        <x:v>280</x:v>
      </x:c>
      <x:c r="H2523" s="9" t="n">
        <x:v>0.02</x:v>
      </x:c>
      <x:c r="I2523" s="7" t="n">
        <x:v>1372</x:v>
      </x:c>
    </x:row>
    <x:row r="2524" ht="23" customHeight="1">
      <x:c r="A2524" s="7" t="str">
        <x:v>INV02519</x:v>
      </x:c>
      <x:c r="B2524" s="15" t="d">
        <x:v>2026-01-09T00:00:00.000Z</x:v>
      </x:c>
      <x:c r="C2524" s="14" t="d">
        <x:v>2026-01-01T00:00:00.000Z</x:v>
      </x:c>
      <x:c r="D2524" s="34" t="str">
        <x:v>0008</x:v>
      </x:c>
      <x:c r="E2524" s="7" t="str">
        <x:v>West</x:v>
      </x:c>
      <x:c r="F2524" s="7" t="n">
        <x:v>4</x:v>
      </x:c>
      <x:c r="G2524" s="7" t="n">
        <x:v>300</x:v>
      </x:c>
      <x:c r="H2524" s="9" t="n">
        <x:v>0.05</x:v>
      </x:c>
      <x:c r="I2524" s="7" t="n">
        <x:v>1140</x:v>
      </x:c>
    </x:row>
    <x:row r="2525" ht="23" customHeight="1">
      <x:c r="A2525" s="7" t="str">
        <x:v>INV02520</x:v>
      </x:c>
      <x:c r="B2525" s="15" t="d">
        <x:v>2026-01-10T00:00:00.000Z</x:v>
      </x:c>
      <x:c r="C2525" s="14" t="d">
        <x:v>2026-01-01T00:00:00.000Z</x:v>
      </x:c>
      <x:c r="D2525" s="34" t="str">
        <x:v>0001</x:v>
      </x:c>
      <x:c r="E2525" s="7" t="str">
        <x:v>North</x:v>
      </x:c>
      <x:c r="F2525" s="7" t="n">
        <x:v>5</x:v>
      </x:c>
      <x:c r="G2525" s="7" t="n">
        <x:v>160</x:v>
      </x:c>
      <x:c r="H2525" s="9" t="n">
        <x:v>0</x:v>
      </x:c>
      <x:c r="I2525" s="7" t="n">
        <x:v>800</x:v>
      </x:c>
    </x:row>
    <x:row r="2526" ht="23" customHeight="1">
      <x:c r="A2526" s="7" t="str">
        <x:v>INV02521</x:v>
      </x:c>
      <x:c r="B2526" s="15" t="d">
        <x:v>2026-01-11T00:00:00.000Z</x:v>
      </x:c>
      <x:c r="C2526" s="14" t="d">
        <x:v>2026-01-01T00:00:00.000Z</x:v>
      </x:c>
      <x:c r="D2526" s="34" t="str">
        <x:v>0002</x:v>
      </x:c>
      <x:c r="E2526" s="7" t="str">
        <x:v>North</x:v>
      </x:c>
      <x:c r="F2526" s="7" t="n">
        <x:v>7</x:v>
      </x:c>
      <x:c r="G2526" s="7" t="n">
        <x:v>180</x:v>
      </x:c>
      <x:c r="H2526" s="9" t="n">
        <x:v>0.02</x:v>
      </x:c>
      <x:c r="I2526" s="7" t="n">
        <x:v>1234.8</x:v>
      </x:c>
    </x:row>
    <x:row r="2527" ht="23" customHeight="1">
      <x:c r="A2527" s="7" t="str">
        <x:v>INV02522</x:v>
      </x:c>
      <x:c r="B2527" s="15" t="d">
        <x:v>2026-01-12T00:00:00.000Z</x:v>
      </x:c>
      <x:c r="C2527" s="14" t="d">
        <x:v>2026-01-01T00:00:00.000Z</x:v>
      </x:c>
      <x:c r="D2527" s="34" t="str">
        <x:v>0003</x:v>
      </x:c>
      <x:c r="E2527" s="7" t="str">
        <x:v>North</x:v>
      </x:c>
      <x:c r="F2527" s="7" t="n">
        <x:v>3</x:v>
      </x:c>
      <x:c r="G2527" s="7" t="n">
        <x:v>200</x:v>
      </x:c>
      <x:c r="H2527" s="9" t="n">
        <x:v>0.05</x:v>
      </x:c>
      <x:c r="I2527" s="7" t="n">
        <x:v>570</x:v>
      </x:c>
    </x:row>
    <x:row r="2528" ht="23" customHeight="1">
      <x:c r="A2528" s="7" t="str">
        <x:v>INV02523</x:v>
      </x:c>
      <x:c r="B2528" s="15" t="d">
        <x:v>2026-01-13T00:00:00.000Z</x:v>
      </x:c>
      <x:c r="C2528" s="14" t="d">
        <x:v>2026-01-01T00:00:00.000Z</x:v>
      </x:c>
      <x:c r="D2528" s="34" t="str">
        <x:v>0004</x:v>
      </x:c>
      <x:c r="E2528" s="7" t="str">
        <x:v>North</x:v>
      </x:c>
      <x:c r="F2528" s="7" t="n">
        <x:v>5</x:v>
      </x:c>
      <x:c r="G2528" s="7" t="n">
        <x:v>220</x:v>
      </x:c>
      <x:c r="H2528" s="9" t="n">
        <x:v>0</x:v>
      </x:c>
      <x:c r="I2528" s="7" t="n">
        <x:v>1100</x:v>
      </x:c>
    </x:row>
    <x:row r="2529" ht="23" customHeight="1">
      <x:c r="A2529" s="7" t="str">
        <x:v>INV02524</x:v>
      </x:c>
      <x:c r="B2529" s="15" t="d">
        <x:v>2026-01-14T00:00:00.000Z</x:v>
      </x:c>
      <x:c r="C2529" s="14" t="d">
        <x:v>2026-01-01T00:00:00.000Z</x:v>
      </x:c>
      <x:c r="D2529" s="34" t="str">
        <x:v>0005</x:v>
      </x:c>
      <x:c r="E2529" s="7" t="str">
        <x:v>North</x:v>
      </x:c>
      <x:c r="F2529" s="7" t="n">
        <x:v>7</x:v>
      </x:c>
      <x:c r="G2529" s="7" t="n">
        <x:v>240</x:v>
      </x:c>
      <x:c r="H2529" s="9" t="n">
        <x:v>0.02</x:v>
      </x:c>
      <x:c r="I2529" s="7" t="n">
        <x:v>1646.4</x:v>
      </x:c>
    </x:row>
    <x:row r="2530" ht="23" customHeight="1">
      <x:c r="A2530" s="7" t="str">
        <x:v>INV02525</x:v>
      </x:c>
      <x:c r="B2530" s="15" t="d">
        <x:v>2026-01-15T00:00:00.000Z</x:v>
      </x:c>
      <x:c r="C2530" s="14" t="d">
        <x:v>2026-01-01T00:00:00.000Z</x:v>
      </x:c>
      <x:c r="D2530" s="34" t="str">
        <x:v>0006</x:v>
      </x:c>
      <x:c r="E2530" s="7" t="str">
        <x:v>North</x:v>
      </x:c>
      <x:c r="F2530" s="7" t="n">
        <x:v>7</x:v>
      </x:c>
      <x:c r="G2530" s="7" t="n">
        <x:v>260</x:v>
      </x:c>
      <x:c r="H2530" s="9" t="n">
        <x:v>0.05</x:v>
      </x:c>
      <x:c r="I2530" s="7" t="n">
        <x:v>1729</x:v>
      </x:c>
    </x:row>
    <x:row r="2531" ht="23" customHeight="1">
      <x:c r="A2531" s="7" t="str">
        <x:v>INV02526</x:v>
      </x:c>
      <x:c r="B2531" s="15" t="d">
        <x:v>2026-01-16T00:00:00.000Z</x:v>
      </x:c>
      <x:c r="C2531" s="14" t="d">
        <x:v>2026-01-01T00:00:00.000Z</x:v>
      </x:c>
      <x:c r="D2531" s="34" t="str">
        <x:v>0007</x:v>
      </x:c>
      <x:c r="E2531" s="7" t="str">
        <x:v>North</x:v>
      </x:c>
      <x:c r="F2531" s="7" t="n">
        <x:v>3</x:v>
      </x:c>
      <x:c r="G2531" s="7" t="n">
        <x:v>280</x:v>
      </x:c>
      <x:c r="H2531" s="9" t="n">
        <x:v>0</x:v>
      </x:c>
      <x:c r="I2531" s="7" t="n">
        <x:v>840</x:v>
      </x:c>
    </x:row>
    <x:row r="2532" ht="23" customHeight="1">
      <x:c r="A2532" s="7" t="str">
        <x:v>INV02527</x:v>
      </x:c>
      <x:c r="B2532" s="15" t="d">
        <x:v>2026-01-17T00:00:00.000Z</x:v>
      </x:c>
      <x:c r="C2532" s="14" t="d">
        <x:v>2026-01-01T00:00:00.000Z</x:v>
      </x:c>
      <x:c r="D2532" s="34" t="str">
        <x:v>0008</x:v>
      </x:c>
      <x:c r="E2532" s="7" t="str">
        <x:v>North</x:v>
      </x:c>
      <x:c r="F2532" s="7" t="n">
        <x:v>4</x:v>
      </x:c>
      <x:c r="G2532" s="7" t="n">
        <x:v>300</x:v>
      </x:c>
      <x:c r="H2532" s="9" t="n">
        <x:v>0.02</x:v>
      </x:c>
      <x:c r="I2532" s="7" t="n">
        <x:v>1176</x:v>
      </x:c>
    </x:row>
    <x:row r="2533" ht="23" customHeight="1">
      <x:c r="A2533" s="7" t="str">
        <x:v>INV02528</x:v>
      </x:c>
      <x:c r="B2533" s="15" t="d">
        <x:v>2026-02-18T00:00:00.000Z</x:v>
      </x:c>
      <x:c r="C2533" s="14" t="d">
        <x:v>2026-02-01T00:00:00.000Z</x:v>
      </x:c>
      <x:c r="D2533" s="34" t="str">
        <x:v>0001</x:v>
      </x:c>
      <x:c r="E2533" s="7" t="str">
        <x:v>Central</x:v>
      </x:c>
      <x:c r="F2533" s="7" t="n">
        <x:v>1</x:v>
      </x:c>
      <x:c r="G2533" s="7" t="n">
        <x:v>160</x:v>
      </x:c>
      <x:c r="H2533" s="9" t="n">
        <x:v>0.05</x:v>
      </x:c>
      <x:c r="I2533" s="7" t="n">
        <x:v>152</x:v>
      </x:c>
    </x:row>
    <x:row r="2534" ht="23" customHeight="1">
      <x:c r="A2534" s="7" t="str">
        <x:v>INV02529</x:v>
      </x:c>
      <x:c r="B2534" s="15" t="d">
        <x:v>2026-02-19T00:00:00.000Z</x:v>
      </x:c>
      <x:c r="C2534" s="14" t="d">
        <x:v>2026-02-01T00:00:00.000Z</x:v>
      </x:c>
      <x:c r="D2534" s="34" t="str">
        <x:v>0002</x:v>
      </x:c>
      <x:c r="E2534" s="7" t="str">
        <x:v>Central</x:v>
      </x:c>
      <x:c r="F2534" s="7" t="n">
        <x:v>4</x:v>
      </x:c>
      <x:c r="G2534" s="7" t="n">
        <x:v>180</x:v>
      </x:c>
      <x:c r="H2534" s="9" t="n">
        <x:v>0</x:v>
      </x:c>
      <x:c r="I2534" s="7" t="n">
        <x:v>720</x:v>
      </x:c>
    </x:row>
    <x:row r="2535" ht="23" customHeight="1">
      <x:c r="A2535" s="7" t="str">
        <x:v>INV02530</x:v>
      </x:c>
      <x:c r="B2535" s="15" t="d">
        <x:v>2026-02-20T00:00:00.000Z</x:v>
      </x:c>
      <x:c r="C2535" s="14" t="d">
        <x:v>2026-02-01T00:00:00.000Z</x:v>
      </x:c>
      <x:c r="D2535" s="34" t="str">
        <x:v>0003</x:v>
      </x:c>
      <x:c r="E2535" s="7" t="str">
        <x:v>Central</x:v>
      </x:c>
      <x:c r="F2535" s="7" t="n">
        <x:v>3</x:v>
      </x:c>
      <x:c r="G2535" s="7" t="n">
        <x:v>200</x:v>
      </x:c>
      <x:c r="H2535" s="9" t="n">
        <x:v>0.02</x:v>
      </x:c>
      <x:c r="I2535" s="7" t="n">
        <x:v>588</x:v>
      </x:c>
    </x:row>
    <x:row r="2536" ht="23" customHeight="1">
      <x:c r="A2536" s="7" t="str">
        <x:v>INV02531</x:v>
      </x:c>
      <x:c r="B2536" s="15" t="d">
        <x:v>2026-02-21T00:00:00.000Z</x:v>
      </x:c>
      <x:c r="C2536" s="14" t="d">
        <x:v>2026-02-01T00:00:00.000Z</x:v>
      </x:c>
      <x:c r="D2536" s="34" t="str">
        <x:v>0004</x:v>
      </x:c>
      <x:c r="E2536" s="7" t="str">
        <x:v>Central</x:v>
      </x:c>
      <x:c r="F2536" s="7" t="n">
        <x:v>6</x:v>
      </x:c>
      <x:c r="G2536" s="7" t="n">
        <x:v>220</x:v>
      </x:c>
      <x:c r="H2536" s="9" t="n">
        <x:v>0.05</x:v>
      </x:c>
      <x:c r="I2536" s="7" t="n">
        <x:v>1254</x:v>
      </x:c>
    </x:row>
    <x:row r="2537" ht="23" customHeight="1">
      <x:c r="A2537" s="7" t="str">
        <x:v>INV02532</x:v>
      </x:c>
      <x:c r="B2537" s="15" t="d">
        <x:v>2026-02-22T00:00:00.000Z</x:v>
      </x:c>
      <x:c r="C2537" s="14" t="d">
        <x:v>2026-02-01T00:00:00.000Z</x:v>
      </x:c>
      <x:c r="D2537" s="34" t="str">
        <x:v>0005</x:v>
      </x:c>
      <x:c r="E2537" s="7" t="str">
        <x:v>Central</x:v>
      </x:c>
      <x:c r="F2537" s="7" t="n">
        <x:v>3</x:v>
      </x:c>
      <x:c r="G2537" s="7" t="n">
        <x:v>240</x:v>
      </x:c>
      <x:c r="H2537" s="9" t="n">
        <x:v>0</x:v>
      </x:c>
      <x:c r="I2537" s="7" t="n">
        <x:v>720</x:v>
      </x:c>
    </x:row>
    <x:row r="2538" ht="23" customHeight="1">
      <x:c r="A2538" s="7" t="str">
        <x:v>INV02533</x:v>
      </x:c>
      <x:c r="B2538" s="15" t="d">
        <x:v>2026-02-23T00:00:00.000Z</x:v>
      </x:c>
      <x:c r="C2538" s="14" t="d">
        <x:v>2026-02-01T00:00:00.000Z</x:v>
      </x:c>
      <x:c r="D2538" s="34" t="str">
        <x:v>0006</x:v>
      </x:c>
      <x:c r="E2538" s="7" t="str">
        <x:v>Central</x:v>
      </x:c>
      <x:c r="F2538" s="7" t="n">
        <x:v>4</x:v>
      </x:c>
      <x:c r="G2538" s="7" t="n">
        <x:v>260</x:v>
      </x:c>
      <x:c r="H2538" s="9" t="n">
        <x:v>0.02</x:v>
      </x:c>
      <x:c r="I2538" s="7" t="n">
        <x:v>1019.2</x:v>
      </x:c>
    </x:row>
    <x:row r="2539" ht="23" customHeight="1">
      <x:c r="A2539" s="7" t="str">
        <x:v>INV02534</x:v>
      </x:c>
      <x:c r="B2539" s="15" t="d">
        <x:v>2026-02-24T00:00:00.000Z</x:v>
      </x:c>
      <x:c r="C2539" s="14" t="d">
        <x:v>2026-02-01T00:00:00.000Z</x:v>
      </x:c>
      <x:c r="D2539" s="34" t="str">
        <x:v>0007</x:v>
      </x:c>
      <x:c r="E2539" s="7" t="str">
        <x:v>Central</x:v>
      </x:c>
      <x:c r="F2539" s="7" t="n">
        <x:v>4</x:v>
      </x:c>
      <x:c r="G2539" s="7" t="n">
        <x:v>280</x:v>
      </x:c>
      <x:c r="H2539" s="9" t="n">
        <x:v>0.05</x:v>
      </x:c>
      <x:c r="I2539" s="7" t="n">
        <x:v>1064</x:v>
      </x:c>
    </x:row>
    <x:row r="2540" ht="23" customHeight="1">
      <x:c r="A2540" s="7" t="str">
        <x:v>INV02535</x:v>
      </x:c>
      <x:c r="B2540" s="15" t="d">
        <x:v>2026-02-25T00:00:00.000Z</x:v>
      </x:c>
      <x:c r="C2540" s="14" t="d">
        <x:v>2026-02-01T00:00:00.000Z</x:v>
      </x:c>
      <x:c r="D2540" s="34" t="str">
        <x:v>0008</x:v>
      </x:c>
      <x:c r="E2540" s="7" t="str">
        <x:v>Central</x:v>
      </x:c>
      <x:c r="F2540" s="7" t="n">
        <x:v>1</x:v>
      </x:c>
      <x:c r="G2540" s="7" t="n">
        <x:v>300</x:v>
      </x:c>
      <x:c r="H2540" s="9" t="n">
        <x:v>0</x:v>
      </x:c>
      <x:c r="I2540" s="7" t="n">
        <x:v>300</x:v>
      </x:c>
    </x:row>
    <x:row r="2541" ht="23" customHeight="1">
      <x:c r="A2541" s="7" t="str">
        <x:v>INV02536</x:v>
      </x:c>
      <x:c r="B2541" s="15" t="d">
        <x:v>2026-02-26T00:00:00.000Z</x:v>
      </x:c>
      <x:c r="C2541" s="14" t="d">
        <x:v>2026-02-01T00:00:00.000Z</x:v>
      </x:c>
      <x:c r="D2541" s="34" t="str">
        <x:v>0001</x:v>
      </x:c>
      <x:c r="E2541" s="7" t="str">
        <x:v>East</x:v>
      </x:c>
      <x:c r="F2541" s="7" t="n">
        <x:v>7</x:v>
      </x:c>
      <x:c r="G2541" s="7" t="n">
        <x:v>160</x:v>
      </x:c>
      <x:c r="H2541" s="9" t="n">
        <x:v>0.02</x:v>
      </x:c>
      <x:c r="I2541" s="7" t="n">
        <x:v>1097.6</x:v>
      </x:c>
    </x:row>
    <x:row r="2542" ht="23" customHeight="1">
      <x:c r="A2542" s="7" t="str">
        <x:v>INV02537</x:v>
      </x:c>
      <x:c r="B2542" s="15" t="d">
        <x:v>2026-02-27T00:00:00.000Z</x:v>
      </x:c>
      <x:c r="C2542" s="14" t="d">
        <x:v>2026-02-01T00:00:00.000Z</x:v>
      </x:c>
      <x:c r="D2542" s="34" t="str">
        <x:v>0002</x:v>
      </x:c>
      <x:c r="E2542" s="7" t="str">
        <x:v>East</x:v>
      </x:c>
      <x:c r="F2542" s="7" t="n">
        <x:v>6</x:v>
      </x:c>
      <x:c r="G2542" s="7" t="n">
        <x:v>180</x:v>
      </x:c>
      <x:c r="H2542" s="9" t="n">
        <x:v>0.05</x:v>
      </x:c>
      <x:c r="I2542" s="7" t="n">
        <x:v>1026</x:v>
      </x:c>
    </x:row>
    <x:row r="2543" ht="23" customHeight="1">
      <x:c r="A2543" s="7" t="str">
        <x:v>INV02538</x:v>
      </x:c>
      <x:c r="B2543" s="15" t="d">
        <x:v>2026-02-01T00:00:00.000Z</x:v>
      </x:c>
      <x:c r="C2543" s="14" t="d">
        <x:v>2026-02-01T00:00:00.000Z</x:v>
      </x:c>
      <x:c r="D2543" s="34" t="str">
        <x:v>0003</x:v>
      </x:c>
      <x:c r="E2543" s="7" t="str">
        <x:v>East</x:v>
      </x:c>
      <x:c r="F2543" s="7" t="n">
        <x:v>2</x:v>
      </x:c>
      <x:c r="G2543" s="7" t="n">
        <x:v>200</x:v>
      </x:c>
      <x:c r="H2543" s="9" t="n">
        <x:v>0</x:v>
      </x:c>
      <x:c r="I2543" s="7" t="n">
        <x:v>400</x:v>
      </x:c>
    </x:row>
    <x:row r="2544" ht="23" customHeight="1">
      <x:c r="A2544" s="7" t="str">
        <x:v>INV02539</x:v>
      </x:c>
      <x:c r="B2544" s="15" t="d">
        <x:v>2026-02-02T00:00:00.000Z</x:v>
      </x:c>
      <x:c r="C2544" s="14" t="d">
        <x:v>2026-02-01T00:00:00.000Z</x:v>
      </x:c>
      <x:c r="D2544" s="34" t="str">
        <x:v>0004</x:v>
      </x:c>
      <x:c r="E2544" s="7" t="str">
        <x:v>East</x:v>
      </x:c>
      <x:c r="F2544" s="7" t="n">
        <x:v>5</x:v>
      </x:c>
      <x:c r="G2544" s="7" t="n">
        <x:v>220</x:v>
      </x:c>
      <x:c r="H2544" s="9" t="n">
        <x:v>0.02</x:v>
      </x:c>
      <x:c r="I2544" s="7" t="n">
        <x:v>1078</x:v>
      </x:c>
    </x:row>
    <x:row r="2545" ht="23" customHeight="1">
      <x:c r="A2545" s="7" t="str">
        <x:v>INV02540</x:v>
      </x:c>
      <x:c r="B2545" s="15" t="d">
        <x:v>2026-02-03T00:00:00.000Z</x:v>
      </x:c>
      <x:c r="C2545" s="14" t="d">
        <x:v>2026-02-01T00:00:00.000Z</x:v>
      </x:c>
      <x:c r="D2545" s="34" t="str">
        <x:v>0005</x:v>
      </x:c>
      <x:c r="E2545" s="7" t="str">
        <x:v>East</x:v>
      </x:c>
      <x:c r="F2545" s="7" t="n">
        <x:v>7</x:v>
      </x:c>
      <x:c r="G2545" s="7" t="n">
        <x:v>240</x:v>
      </x:c>
      <x:c r="H2545" s="9" t="n">
        <x:v>0.05</x:v>
      </x:c>
      <x:c r="I2545" s="7" t="n">
        <x:v>1596</x:v>
      </x:c>
    </x:row>
    <x:row r="2546" ht="23" customHeight="1">
      <x:c r="A2546" s="7" t="str">
        <x:v>INV02541</x:v>
      </x:c>
      <x:c r="B2546" s="15" t="d">
        <x:v>2026-02-04T00:00:00.000Z</x:v>
      </x:c>
      <x:c r="C2546" s="14" t="d">
        <x:v>2026-02-01T00:00:00.000Z</x:v>
      </x:c>
      <x:c r="D2546" s="34" t="str">
        <x:v>0006</x:v>
      </x:c>
      <x:c r="E2546" s="7" t="str">
        <x:v>East</x:v>
      </x:c>
      <x:c r="F2546" s="7" t="n">
        <x:v>6</x:v>
      </x:c>
      <x:c r="G2546" s="7" t="n">
        <x:v>260</x:v>
      </x:c>
      <x:c r="H2546" s="9" t="n">
        <x:v>0</x:v>
      </x:c>
      <x:c r="I2546" s="7" t="n">
        <x:v>1560</x:v>
      </x:c>
    </x:row>
    <x:row r="2547" ht="23" customHeight="1">
      <x:c r="A2547" s="7" t="str">
        <x:v>INV02542</x:v>
      </x:c>
      <x:c r="B2547" s="15" t="d">
        <x:v>2026-02-05T00:00:00.000Z</x:v>
      </x:c>
      <x:c r="C2547" s="14" t="d">
        <x:v>2026-02-01T00:00:00.000Z</x:v>
      </x:c>
      <x:c r="D2547" s="34" t="str">
        <x:v>0007</x:v>
      </x:c>
      <x:c r="E2547" s="7" t="str">
        <x:v>East</x:v>
      </x:c>
      <x:c r="F2547" s="7" t="n">
        <x:v>-6</x:v>
      </x:c>
      <x:c r="G2547" s="7" t="n">
        <x:v>280</x:v>
      </x:c>
      <x:c r="H2547" s="9" t="n">
        <x:v>0.02</x:v>
      </x:c>
      <x:c r="I2547" s="7" t="n">
        <x:v>-1646.4</x:v>
      </x:c>
    </x:row>
    <x:row r="2548" ht="23" customHeight="1">
      <x:c r="A2548" s="7" t="str">
        <x:v>INV02543</x:v>
      </x:c>
      <x:c r="B2548" s="15" t="d">
        <x:v>2026-02-06T00:00:00.000Z</x:v>
      </x:c>
      <x:c r="C2548" s="14" t="d">
        <x:v>2026-02-01T00:00:00.000Z</x:v>
      </x:c>
      <x:c r="D2548" s="34" t="str">
        <x:v>0008</x:v>
      </x:c>
      <x:c r="E2548" s="7" t="str">
        <x:v>East</x:v>
      </x:c>
      <x:c r="F2548" s="7" t="n">
        <x:v>7</x:v>
      </x:c>
      <x:c r="G2548" s="7" t="n">
        <x:v>300</x:v>
      </x:c>
      <x:c r="H2548" s="9" t="n">
        <x:v>0.05</x:v>
      </x:c>
      <x:c r="I2548" s="7" t="n">
        <x:v>1995</x:v>
      </x:c>
    </x:row>
    <x:row r="2549" ht="23" customHeight="1">
      <x:c r="A2549" s="7" t="str">
        <x:v>INV02544</x:v>
      </x:c>
      <x:c r="B2549" s="15" t="d">
        <x:v>2026-02-07T00:00:00.000Z</x:v>
      </x:c>
      <x:c r="C2549" s="14" t="d">
        <x:v>2026-02-01T00:00:00.000Z</x:v>
      </x:c>
      <x:c r="D2549" s="34" t="str">
        <x:v>0001</x:v>
      </x:c>
      <x:c r="E2549" s="7" t="str">
        <x:v>West</x:v>
      </x:c>
      <x:c r="F2549" s="7" t="n">
        <x:v>2</x:v>
      </x:c>
      <x:c r="G2549" s="7" t="n">
        <x:v>160</x:v>
      </x:c>
      <x:c r="H2549" s="9" t="n">
        <x:v>0</x:v>
      </x:c>
      <x:c r="I2549" s="7" t="n">
        <x:v>320</x:v>
      </x:c>
    </x:row>
    <x:row r="2550" ht="23" customHeight="1">
      <x:c r="A2550" s="7" t="str">
        <x:v>INV02545</x:v>
      </x:c>
      <x:c r="B2550" s="15" t="d">
        <x:v>2026-02-08T00:00:00.000Z</x:v>
      </x:c>
      <x:c r="C2550" s="14" t="d">
        <x:v>2026-02-01T00:00:00.000Z</x:v>
      </x:c>
      <x:c r="D2550" s="34" t="str">
        <x:v>0002</x:v>
      </x:c>
      <x:c r="E2550" s="7" t="str">
        <x:v>West</x:v>
      </x:c>
      <x:c r="F2550" s="7" t="n">
        <x:v>4</x:v>
      </x:c>
      <x:c r="G2550" s="7" t="n">
        <x:v>180</x:v>
      </x:c>
      <x:c r="H2550" s="9" t="n">
        <x:v>0.02</x:v>
      </x:c>
      <x:c r="I2550" s="7" t="n">
        <x:v>705.6</x:v>
      </x:c>
    </x:row>
    <x:row r="2551" ht="23" customHeight="1">
      <x:c r="A2551" s="7" t="str">
        <x:v>INV02546</x:v>
      </x:c>
      <x:c r="B2551" s="15" t="d">
        <x:v>2026-02-09T00:00:00.000Z</x:v>
      </x:c>
      <x:c r="C2551" s="14" t="d">
        <x:v>2026-02-01T00:00:00.000Z</x:v>
      </x:c>
      <x:c r="D2551" s="34" t="str">
        <x:v>0003</x:v>
      </x:c>
      <x:c r="E2551" s="7" t="str">
        <x:v>West</x:v>
      </x:c>
      <x:c r="F2551" s="7" t="n">
        <x:v>6</x:v>
      </x:c>
      <x:c r="G2551" s="7" t="n">
        <x:v>200</x:v>
      </x:c>
      <x:c r="H2551" s="9" t="n">
        <x:v>0.05</x:v>
      </x:c>
      <x:c r="I2551" s="7" t="n">
        <x:v>1140</x:v>
      </x:c>
    </x:row>
    <x:row r="2552" ht="23" customHeight="1">
      <x:c r="A2552" s="7" t="str">
        <x:v>INV02547</x:v>
      </x:c>
      <x:c r="B2552" s="15" t="d">
        <x:v>2026-02-10T00:00:00.000Z</x:v>
      </x:c>
      <x:c r="C2552" s="14" t="d">
        <x:v>2026-02-01T00:00:00.000Z</x:v>
      </x:c>
      <x:c r="D2552" s="34" t="str">
        <x:v>0004</x:v>
      </x:c>
      <x:c r="E2552" s="7" t="str">
        <x:v>West</x:v>
      </x:c>
      <x:c r="F2552" s="7" t="n">
        <x:v>5</x:v>
      </x:c>
      <x:c r="G2552" s="7" t="n">
        <x:v>220</x:v>
      </x:c>
      <x:c r="H2552" s="9" t="n">
        <x:v>0</x:v>
      </x:c>
      <x:c r="I2552" s="7" t="n">
        <x:v>1100</x:v>
      </x:c>
    </x:row>
    <x:row r="2553" ht="23" customHeight="1">
      <x:c r="A2553" s="7" t="str">
        <x:v>INV02548</x:v>
      </x:c>
      <x:c r="B2553" s="15" t="d">
        <x:v>2026-02-11T00:00:00.000Z</x:v>
      </x:c>
      <x:c r="C2553" s="14" t="d">
        <x:v>2026-02-01T00:00:00.000Z</x:v>
      </x:c>
      <x:c r="D2553" s="34" t="str">
        <x:v>0005</x:v>
      </x:c>
      <x:c r="E2553" s="7" t="str">
        <x:v>West</x:v>
      </x:c>
      <x:c r="F2553" s="7" t="n">
        <x:v>3</x:v>
      </x:c>
      <x:c r="G2553" s="7" t="n">
        <x:v>240</x:v>
      </x:c>
      <x:c r="H2553" s="9" t="n">
        <x:v>0.02</x:v>
      </x:c>
      <x:c r="I2553" s="7" t="n">
        <x:v>705.6</x:v>
      </x:c>
    </x:row>
    <x:row r="2554" ht="23" customHeight="1">
      <x:c r="A2554" s="7" t="str">
        <x:v>INV02549</x:v>
      </x:c>
      <x:c r="B2554" s="15" t="d">
        <x:v>2026-02-12T00:00:00.000Z</x:v>
      </x:c>
      <x:c r="C2554" s="14" t="d">
        <x:v>2026-02-01T00:00:00.000Z</x:v>
      </x:c>
      <x:c r="D2554" s="34" t="str">
        <x:v>0006</x:v>
      </x:c>
      <x:c r="E2554" s="7" t="str">
        <x:v>West</x:v>
      </x:c>
      <x:c r="F2554" s="7" t="n">
        <x:v>3</x:v>
      </x:c>
      <x:c r="G2554" s="7" t="n">
        <x:v>260</x:v>
      </x:c>
      <x:c r="H2554" s="9" t="n">
        <x:v>0.05</x:v>
      </x:c>
      <x:c r="I2554" s="7" t="n">
        <x:v>741</x:v>
      </x:c>
    </x:row>
    <x:row r="2555" ht="23" customHeight="1">
      <x:c r="A2555" s="7" t="str">
        <x:v>INV02550</x:v>
      </x:c>
      <x:c r="B2555" s="15" t="d">
        <x:v>2026-02-13T00:00:00.000Z</x:v>
      </x:c>
      <x:c r="C2555" s="14" t="d">
        <x:v>2026-02-01T00:00:00.000Z</x:v>
      </x:c>
      <x:c r="D2555" s="34" t="str">
        <x:v>0007</x:v>
      </x:c>
      <x:c r="E2555" s="7" t="str">
        <x:v>West</x:v>
      </x:c>
      <x:c r="F2555" s="7" t="n">
        <x:v>7</x:v>
      </x:c>
      <x:c r="G2555" s="7" t="n">
        <x:v>280</x:v>
      </x:c>
      <x:c r="H2555" s="9" t="n">
        <x:v>0</x:v>
      </x:c>
      <x:c r="I2555" s="7" t="n">
        <x:v>1960</x:v>
      </x:c>
    </x:row>
    <x:row r="2556" ht="23" customHeight="1">
      <x:c r="A2556" s="7" t="str">
        <x:v>INV02551</x:v>
      </x:c>
      <x:c r="B2556" s="15" t="d">
        <x:v>2026-02-14T00:00:00.000Z</x:v>
      </x:c>
      <x:c r="C2556" s="14" t="d">
        <x:v>2026-02-01T00:00:00.000Z</x:v>
      </x:c>
      <x:c r="D2556" s="34" t="str">
        <x:v>0008</x:v>
      </x:c>
      <x:c r="E2556" s="7" t="str">
        <x:v>West</x:v>
      </x:c>
      <x:c r="F2556" s="7" t="n">
        <x:v>7</x:v>
      </x:c>
      <x:c r="G2556" s="7" t="n">
        <x:v>300</x:v>
      </x:c>
      <x:c r="H2556" s="9" t="n">
        <x:v>0.02</x:v>
      </x:c>
      <x:c r="I2556" s="7" t="n">
        <x:v>2058</x:v>
      </x:c>
    </x:row>
    <x:row r="2557" ht="23" customHeight="1">
      <x:c r="A2557" s="7" t="str">
        <x:v>INV02552</x:v>
      </x:c>
      <x:c r="B2557" s="15" t="d">
        <x:v>2026-02-15T00:00:00.000Z</x:v>
      </x:c>
      <x:c r="C2557" s="14" t="d">
        <x:v>2026-02-01T00:00:00.000Z</x:v>
      </x:c>
      <x:c r="D2557" s="34" t="str">
        <x:v>0001</x:v>
      </x:c>
      <x:c r="E2557" s="7" t="str">
        <x:v>North</x:v>
      </x:c>
      <x:c r="F2557" s="7" t="n">
        <x:v>4</x:v>
      </x:c>
      <x:c r="G2557" s="7" t="n">
        <x:v>160</x:v>
      </x:c>
      <x:c r="H2557" s="9" t="n">
        <x:v>0.05</x:v>
      </x:c>
      <x:c r="I2557" s="7" t="n">
        <x:v>608</x:v>
      </x:c>
    </x:row>
    <x:row r="2558" ht="23" customHeight="1">
      <x:c r="A2558" s="7" t="str">
        <x:v>INV02553</x:v>
      </x:c>
      <x:c r="B2558" s="15" t="d">
        <x:v>2026-02-16T00:00:00.000Z</x:v>
      </x:c>
      <x:c r="C2558" s="14" t="d">
        <x:v>2026-02-01T00:00:00.000Z</x:v>
      </x:c>
      <x:c r="D2558" s="34" t="str">
        <x:v>0002</x:v>
      </x:c>
      <x:c r="E2558" s="7" t="str">
        <x:v>North</x:v>
      </x:c>
      <x:c r="F2558" s="7" t="n">
        <x:v>2</x:v>
      </x:c>
      <x:c r="G2558" s="7" t="n">
        <x:v>180</x:v>
      </x:c>
      <x:c r="H2558" s="9" t="n">
        <x:v>0</x:v>
      </x:c>
      <x:c r="I2558" s="7" t="n">
        <x:v>360</x:v>
      </x:c>
    </x:row>
    <x:row r="2559" ht="23" customHeight="1">
      <x:c r="A2559" s="7" t="str">
        <x:v>INV02554</x:v>
      </x:c>
      <x:c r="B2559" s="15" t="d">
        <x:v>2026-02-17T00:00:00.000Z</x:v>
      </x:c>
      <x:c r="C2559" s="14" t="d">
        <x:v>2026-02-01T00:00:00.000Z</x:v>
      </x:c>
      <x:c r="D2559" s="34" t="str">
        <x:v>0003</x:v>
      </x:c>
      <x:c r="E2559" s="7" t="str">
        <x:v>North</x:v>
      </x:c>
      <x:c r="F2559" s="7" t="n">
        <x:v>7</x:v>
      </x:c>
      <x:c r="G2559" s="7" t="n">
        <x:v>200</x:v>
      </x:c>
      <x:c r="H2559" s="9" t="n">
        <x:v>0.02</x:v>
      </x:c>
      <x:c r="I2559" s="7" t="n">
        <x:v>1372</x:v>
      </x:c>
    </x:row>
    <x:row r="2560" ht="23" customHeight="1">
      <x:c r="A2560" s="7" t="str">
        <x:v>INV02555</x:v>
      </x:c>
      <x:c r="B2560" s="15" t="d">
        <x:v>2026-02-18T00:00:00.000Z</x:v>
      </x:c>
      <x:c r="C2560" s="14" t="d">
        <x:v>2026-02-01T00:00:00.000Z</x:v>
      </x:c>
      <x:c r="D2560" s="34" t="str">
        <x:v>0004</x:v>
      </x:c>
      <x:c r="E2560" s="7" t="str">
        <x:v>North</x:v>
      </x:c>
      <x:c r="F2560" s="7" t="n">
        <x:v>5</x:v>
      </x:c>
      <x:c r="G2560" s="7" t="n">
        <x:v>220</x:v>
      </x:c>
      <x:c r="H2560" s="9" t="n">
        <x:v>0.05</x:v>
      </x:c>
      <x:c r="I2560" s="7" t="n">
        <x:v>1045</x:v>
      </x:c>
    </x:row>
    <x:row r="2561" ht="23" customHeight="1">
      <x:c r="A2561" s="7" t="str">
        <x:v>INV02556</x:v>
      </x:c>
      <x:c r="B2561" s="15" t="d">
        <x:v>2026-02-19T00:00:00.000Z</x:v>
      </x:c>
      <x:c r="C2561" s="14" t="d">
        <x:v>2026-02-01T00:00:00.000Z</x:v>
      </x:c>
      <x:c r="D2561" s="34" t="str">
        <x:v>0005</x:v>
      </x:c>
      <x:c r="E2561" s="7" t="str">
        <x:v>North</x:v>
      </x:c>
      <x:c r="F2561" s="7" t="n">
        <x:v>7</x:v>
      </x:c>
      <x:c r="G2561" s="7" t="n">
        <x:v>240</x:v>
      </x:c>
      <x:c r="H2561" s="9" t="n">
        <x:v>0</x:v>
      </x:c>
      <x:c r="I2561" s="7" t="n">
        <x:v>1680</x:v>
      </x:c>
    </x:row>
    <x:row r="2562" ht="23" customHeight="1">
      <x:c r="A2562" s="7" t="str">
        <x:v>INV02557</x:v>
      </x:c>
      <x:c r="B2562" s="15" t="d">
        <x:v>2026-02-20T00:00:00.000Z</x:v>
      </x:c>
      <x:c r="C2562" s="14" t="d">
        <x:v>2026-02-01T00:00:00.000Z</x:v>
      </x:c>
      <x:c r="D2562" s="34" t="str">
        <x:v>0006</x:v>
      </x:c>
      <x:c r="E2562" s="7" t="str">
        <x:v>North</x:v>
      </x:c>
      <x:c r="F2562" s="7" t="n">
        <x:v>6</x:v>
      </x:c>
      <x:c r="G2562" s="7" t="n">
        <x:v>260</x:v>
      </x:c>
      <x:c r="H2562" s="9" t="n">
        <x:v>0.02</x:v>
      </x:c>
      <x:c r="I2562" s="7" t="n">
        <x:v>1528.8</x:v>
      </x:c>
    </x:row>
    <x:row r="2563" ht="23" customHeight="1">
      <x:c r="A2563" s="7" t="str">
        <x:v>INV02558</x:v>
      </x:c>
      <x:c r="B2563" s="15" t="d">
        <x:v>2026-02-21T00:00:00.000Z</x:v>
      </x:c>
      <x:c r="C2563" s="14" t="d">
        <x:v>2026-02-01T00:00:00.000Z</x:v>
      </x:c>
      <x:c r="D2563" s="34" t="str">
        <x:v>0007</x:v>
      </x:c>
      <x:c r="E2563" s="7" t="str">
        <x:v>North</x:v>
      </x:c>
      <x:c r="F2563" s="7" t="n">
        <x:v>7</x:v>
      </x:c>
      <x:c r="G2563" s="7" t="n">
        <x:v>280</x:v>
      </x:c>
      <x:c r="H2563" s="9" t="n">
        <x:v>0.05</x:v>
      </x:c>
      <x:c r="I2563" s="7" t="n">
        <x:v>1862</x:v>
      </x:c>
    </x:row>
    <x:row r="2564" ht="23" customHeight="1">
      <x:c r="A2564" s="7" t="str">
        <x:v>INV02559</x:v>
      </x:c>
      <x:c r="B2564" s="15" t="d">
        <x:v>2026-02-22T00:00:00.000Z</x:v>
      </x:c>
      <x:c r="C2564" s="14" t="d">
        <x:v>2026-02-01T00:00:00.000Z</x:v>
      </x:c>
      <x:c r="D2564" s="34" t="str">
        <x:v>0008</x:v>
      </x:c>
      <x:c r="E2564" s="7" t="str">
        <x:v>North</x:v>
      </x:c>
      <x:c r="F2564" s="7" t="n">
        <x:v>7</x:v>
      </x:c>
      <x:c r="G2564" s="7" t="n">
        <x:v>300</x:v>
      </x:c>
      <x:c r="H2564" s="9" t="n">
        <x:v>0</x:v>
      </x:c>
      <x:c r="I2564" s="7" t="n">
        <x:v>2100</x:v>
      </x:c>
    </x:row>
    <x:row r="2565" ht="23" customHeight="1">
      <x:c r="A2565" s="7" t="str">
        <x:v>INV02560</x:v>
      </x:c>
      <x:c r="B2565" s="15" t="d">
        <x:v>2026-03-23T00:00:00.000Z</x:v>
      </x:c>
      <x:c r="C2565" s="14" t="d">
        <x:v>2026-03-01T00:00:00.000Z</x:v>
      </x:c>
      <x:c r="D2565" s="34" t="str">
        <x:v>0001</x:v>
      </x:c>
      <x:c r="E2565" s="7" t="str">
        <x:v>Central</x:v>
      </x:c>
      <x:c r="F2565" s="7" t="n">
        <x:v>7</x:v>
      </x:c>
      <x:c r="G2565" s="7" t="n">
        <x:v>160</x:v>
      </x:c>
      <x:c r="H2565" s="9" t="n">
        <x:v>0.02</x:v>
      </x:c>
      <x:c r="I2565" s="7" t="n">
        <x:v>1097.6</x:v>
      </x:c>
    </x:row>
    <x:row r="2566" ht="23" customHeight="1">
      <x:c r="A2566" s="7" t="str">
        <x:v>INV02561</x:v>
      </x:c>
      <x:c r="B2566" s="15" t="d">
        <x:v>2026-03-24T00:00:00.000Z</x:v>
      </x:c>
      <x:c r="C2566" s="14" t="d">
        <x:v>2026-03-01T00:00:00.000Z</x:v>
      </x:c>
      <x:c r="D2566" s="34" t="str">
        <x:v>0002</x:v>
      </x:c>
      <x:c r="E2566" s="7" t="str">
        <x:v>Central</x:v>
      </x:c>
      <x:c r="F2566" s="7" t="n">
        <x:v>2</x:v>
      </x:c>
      <x:c r="G2566" s="7" t="n">
        <x:v>180</x:v>
      </x:c>
      <x:c r="H2566" s="9" t="n">
        <x:v>0.05</x:v>
      </x:c>
      <x:c r="I2566" s="7" t="n">
        <x:v>342</x:v>
      </x:c>
    </x:row>
    <x:row r="2567" ht="23" customHeight="1">
      <x:c r="A2567" s="7" t="str">
        <x:v>INV02562</x:v>
      </x:c>
      <x:c r="B2567" s="15" t="d">
        <x:v>2026-03-25T00:00:00.000Z</x:v>
      </x:c>
      <x:c r="C2567" s="14" t="d">
        <x:v>2026-03-01T00:00:00.000Z</x:v>
      </x:c>
      <x:c r="D2567" s="34" t="str">
        <x:v>0003</x:v>
      </x:c>
      <x:c r="E2567" s="7" t="str">
        <x:v>Central</x:v>
      </x:c>
      <x:c r="F2567" s="7" t="n">
        <x:v>1</x:v>
      </x:c>
      <x:c r="G2567" s="7" t="n">
        <x:v>200</x:v>
      </x:c>
      <x:c r="H2567" s="9" t="n">
        <x:v>0</x:v>
      </x:c>
      <x:c r="I2567" s="7" t="n">
        <x:v>200</x:v>
      </x:c>
    </x:row>
    <x:row r="2568" ht="23" customHeight="1">
      <x:c r="A2568" s="7" t="str">
        <x:v>INV02563</x:v>
      </x:c>
      <x:c r="B2568" s="15" t="d">
        <x:v>2026-03-26T00:00:00.000Z</x:v>
      </x:c>
      <x:c r="C2568" s="14" t="d">
        <x:v>2026-03-01T00:00:00.000Z</x:v>
      </x:c>
      <x:c r="D2568" s="34" t="str">
        <x:v>0004</x:v>
      </x:c>
      <x:c r="E2568" s="7" t="str">
        <x:v>Central</x:v>
      </x:c>
      <x:c r="F2568" s="7" t="n">
        <x:v>5</x:v>
      </x:c>
      <x:c r="G2568" s="7" t="n">
        <x:v>220</x:v>
      </x:c>
      <x:c r="H2568" s="9" t="n">
        <x:v>0.02</x:v>
      </x:c>
      <x:c r="I2568" s="7" t="n">
        <x:v>1078</x:v>
      </x:c>
    </x:row>
    <x:row r="2569" ht="23" customHeight="1">
      <x:c r="A2569" s="7" t="str">
        <x:v>INV02564</x:v>
      </x:c>
      <x:c r="B2569" s="15" t="d">
        <x:v>2026-03-27T00:00:00.000Z</x:v>
      </x:c>
      <x:c r="C2569" s="14" t="d">
        <x:v>2026-03-01T00:00:00.000Z</x:v>
      </x:c>
      <x:c r="D2569" s="34" t="str">
        <x:v>0005</x:v>
      </x:c>
      <x:c r="E2569" s="7" t="str">
        <x:v>Central</x:v>
      </x:c>
      <x:c r="F2569" s="7" t="n">
        <x:v>3</x:v>
      </x:c>
      <x:c r="G2569" s="7" t="n">
        <x:v>240</x:v>
      </x:c>
      <x:c r="H2569" s="9" t="n">
        <x:v>0.05</x:v>
      </x:c>
      <x:c r="I2569" s="7" t="n">
        <x:v>684</x:v>
      </x:c>
    </x:row>
    <x:row r="2570" ht="23" customHeight="1">
      <x:c r="A2570" s="7" t="str">
        <x:v>INV02565</x:v>
      </x:c>
      <x:c r="B2570" s="15" t="d">
        <x:v>2026-03-01T00:00:00.000Z</x:v>
      </x:c>
      <x:c r="C2570" s="14" t="d">
        <x:v>2026-03-01T00:00:00.000Z</x:v>
      </x:c>
      <x:c r="D2570" s="34" t="str">
        <x:v>0006</x:v>
      </x:c>
      <x:c r="E2570" s="7" t="str">
        <x:v>Central</x:v>
      </x:c>
      <x:c r="F2570" s="7" t="n">
        <x:v>2</x:v>
      </x:c>
      <x:c r="G2570" s="7" t="n">
        <x:v>260</x:v>
      </x:c>
      <x:c r="H2570" s="9" t="n">
        <x:v>0</x:v>
      </x:c>
      <x:c r="I2570" s="7" t="n">
        <x:v>520</x:v>
      </x:c>
    </x:row>
    <x:row r="2571" ht="23" customHeight="1">
      <x:c r="A2571" s="7" t="str">
        <x:v>INV02566</x:v>
      </x:c>
      <x:c r="B2571" s="15" t="d">
        <x:v>2026-03-02T00:00:00.000Z</x:v>
      </x:c>
      <x:c r="C2571" s="14" t="d">
        <x:v>2026-03-01T00:00:00.000Z</x:v>
      </x:c>
      <x:c r="D2571" s="34" t="str">
        <x:v>0007</x:v>
      </x:c>
      <x:c r="E2571" s="7" t="str">
        <x:v>Central</x:v>
      </x:c>
      <x:c r="F2571" s="7" t="n">
        <x:v>5</x:v>
      </x:c>
      <x:c r="G2571" s="7" t="n">
        <x:v>280</x:v>
      </x:c>
      <x:c r="H2571" s="9" t="n">
        <x:v>0.02</x:v>
      </x:c>
      <x:c r="I2571" s="7" t="n">
        <x:v>1372</x:v>
      </x:c>
    </x:row>
    <x:row r="2572" ht="23" customHeight="1">
      <x:c r="A2572" s="7" t="str">
        <x:v>INV02567</x:v>
      </x:c>
      <x:c r="B2572" s="15" t="d">
        <x:v>2026-03-03T00:00:00.000Z</x:v>
      </x:c>
      <x:c r="C2572" s="14" t="d">
        <x:v>2026-03-01T00:00:00.000Z</x:v>
      </x:c>
      <x:c r="D2572" s="34" t="str">
        <x:v>0008</x:v>
      </x:c>
      <x:c r="E2572" s="7" t="str">
        <x:v>Central</x:v>
      </x:c>
      <x:c r="F2572" s="7" t="n">
        <x:v>4</x:v>
      </x:c>
      <x:c r="G2572" s="7" t="n">
        <x:v>300</x:v>
      </x:c>
      <x:c r="H2572" s="9" t="n">
        <x:v>0.05</x:v>
      </x:c>
      <x:c r="I2572" s="7" t="n">
        <x:v>1140</x:v>
      </x:c>
    </x:row>
    <x:row r="2573" ht="23" customHeight="1">
      <x:c r="A2573" s="7" t="str">
        <x:v>INV02568</x:v>
      </x:c>
      <x:c r="B2573" s="15" t="d">
        <x:v>2026-03-04T00:00:00.000Z</x:v>
      </x:c>
      <x:c r="C2573" s="14" t="d">
        <x:v>2026-03-01T00:00:00.000Z</x:v>
      </x:c>
      <x:c r="D2573" s="34" t="str">
        <x:v>0001</x:v>
      </x:c>
      <x:c r="E2573" s="7" t="str">
        <x:v>East</x:v>
      </x:c>
      <x:c r="F2573" s="7" t="n">
        <x:v>1</x:v>
      </x:c>
      <x:c r="G2573" s="7" t="n">
        <x:v>160</x:v>
      </x:c>
      <x:c r="H2573" s="9" t="n">
        <x:v>0</x:v>
      </x:c>
      <x:c r="I2573" s="7" t="n">
        <x:v>160</x:v>
      </x:c>
    </x:row>
    <x:row r="2574" ht="23" customHeight="1">
      <x:c r="A2574" s="7" t="str">
        <x:v>INV02569</x:v>
      </x:c>
      <x:c r="B2574" s="15" t="d">
        <x:v>2026-03-05T00:00:00.000Z</x:v>
      </x:c>
      <x:c r="C2574" s="14" t="d">
        <x:v>2026-03-01T00:00:00.000Z</x:v>
      </x:c>
      <x:c r="D2574" s="34" t="str">
        <x:v>0002</x:v>
      </x:c>
      <x:c r="E2574" s="7" t="str">
        <x:v>East</x:v>
      </x:c>
      <x:c r="F2574" s="7" t="n">
        <x:v>6</x:v>
      </x:c>
      <x:c r="G2574" s="7" t="n">
        <x:v>180</x:v>
      </x:c>
      <x:c r="H2574" s="9" t="n">
        <x:v>0.02</x:v>
      </x:c>
      <x:c r="I2574" s="7" t="n">
        <x:v>1058.4</x:v>
      </x:c>
    </x:row>
    <x:row r="2575" ht="23" customHeight="1">
      <x:c r="A2575" s="7" t="str">
        <x:v>INV02570</x:v>
      </x:c>
      <x:c r="B2575" s="15" t="d">
        <x:v>2026-03-06T00:00:00.000Z</x:v>
      </x:c>
      <x:c r="C2575" s="14" t="d">
        <x:v>2026-03-01T00:00:00.000Z</x:v>
      </x:c>
      <x:c r="D2575" s="34" t="str">
        <x:v>0003</x:v>
      </x:c>
      <x:c r="E2575" s="7" t="str">
        <x:v>East</x:v>
      </x:c>
      <x:c r="F2575" s="7" t="n">
        <x:v>2</x:v>
      </x:c>
      <x:c r="G2575" s="7" t="n">
        <x:v>200</x:v>
      </x:c>
      <x:c r="H2575" s="9" t="n">
        <x:v>0.05</x:v>
      </x:c>
      <x:c r="I2575" s="7" t="n">
        <x:v>380</x:v>
      </x:c>
    </x:row>
    <x:row r="2576" ht="23" customHeight="1">
      <x:c r="A2576" s="7" t="str">
        <x:v>INV02571</x:v>
      </x:c>
      <x:c r="B2576" s="15" t="d">
        <x:v>2026-03-07T00:00:00.000Z</x:v>
      </x:c>
      <x:c r="C2576" s="14" t="d">
        <x:v>2026-03-01T00:00:00.000Z</x:v>
      </x:c>
      <x:c r="D2576" s="34" t="str">
        <x:v>0004</x:v>
      </x:c>
      <x:c r="E2576" s="7" t="str">
        <x:v>East</x:v>
      </x:c>
      <x:c r="F2576" s="7" t="n">
        <x:v>1</x:v>
      </x:c>
      <x:c r="G2576" s="7" t="n">
        <x:v>220</x:v>
      </x:c>
      <x:c r="H2576" s="9" t="n">
        <x:v>0</x:v>
      </x:c>
      <x:c r="I2576" s="7" t="n">
        <x:v>220</x:v>
      </x:c>
    </x:row>
    <x:row r="2577" ht="23" customHeight="1">
      <x:c r="A2577" s="7" t="str">
        <x:v>INV02572</x:v>
      </x:c>
      <x:c r="B2577" s="15" t="d">
        <x:v>2026-03-08T00:00:00.000Z</x:v>
      </x:c>
      <x:c r="C2577" s="14" t="d">
        <x:v>2026-03-01T00:00:00.000Z</x:v>
      </x:c>
      <x:c r="D2577" s="34" t="str">
        <x:v>0005</x:v>
      </x:c>
      <x:c r="E2577" s="7" t="str">
        <x:v>East</x:v>
      </x:c>
      <x:c r="F2577" s="7" t="n">
        <x:v>5</x:v>
      </x:c>
      <x:c r="G2577" s="7" t="n">
        <x:v>240</x:v>
      </x:c>
      <x:c r="H2577" s="9" t="n">
        <x:v>0.02</x:v>
      </x:c>
      <x:c r="I2577" s="7" t="n">
        <x:v>1176</x:v>
      </x:c>
    </x:row>
    <x:row r="2578" ht="23" customHeight="1">
      <x:c r="A2578" s="7" t="str">
        <x:v>INV02573</x:v>
      </x:c>
      <x:c r="B2578" s="15" t="d">
        <x:v>2026-03-09T00:00:00.000Z</x:v>
      </x:c>
      <x:c r="C2578" s="14" t="d">
        <x:v>2026-03-01T00:00:00.000Z</x:v>
      </x:c>
      <x:c r="D2578" s="34" t="str">
        <x:v>0006</x:v>
      </x:c>
      <x:c r="E2578" s="7" t="str">
        <x:v>East</x:v>
      </x:c>
      <x:c r="F2578" s="7" t="n">
        <x:v>4</x:v>
      </x:c>
      <x:c r="G2578" s="7" t="n">
        <x:v>260</x:v>
      </x:c>
      <x:c r="H2578" s="9" t="n">
        <x:v>0.05</x:v>
      </x:c>
      <x:c r="I2578" s="7" t="n">
        <x:v>988</x:v>
      </x:c>
    </x:row>
    <x:row r="2579" ht="23" customHeight="1">
      <x:c r="A2579" s="7" t="str">
        <x:v>INV02574</x:v>
      </x:c>
      <x:c r="B2579" s="15" t="d">
        <x:v>2026-03-10T00:00:00.000Z</x:v>
      </x:c>
      <x:c r="C2579" s="14" t="d">
        <x:v>2026-03-01T00:00:00.000Z</x:v>
      </x:c>
      <x:c r="D2579" s="34" t="str">
        <x:v>0007</x:v>
      </x:c>
      <x:c r="E2579" s="7" t="str">
        <x:v>East</x:v>
      </x:c>
      <x:c r="F2579" s="7" t="n">
        <x:v>5</x:v>
      </x:c>
      <x:c r="G2579" s="7" t="n">
        <x:v>280</x:v>
      </x:c>
      <x:c r="H2579" s="9" t="n">
        <x:v>0</x:v>
      </x:c>
      <x:c r="I2579" s="7" t="n">
        <x:v>1400</x:v>
      </x:c>
    </x:row>
    <x:row r="2580" ht="23" customHeight="1">
      <x:c r="A2580" s="7" t="str">
        <x:v>INV02575</x:v>
      </x:c>
      <x:c r="B2580" s="15" t="d">
        <x:v>2026-03-11T00:00:00.000Z</x:v>
      </x:c>
      <x:c r="C2580" s="14" t="d">
        <x:v>2026-03-01T00:00:00.000Z</x:v>
      </x:c>
      <x:c r="D2580" s="34" t="str">
        <x:v>0008</x:v>
      </x:c>
      <x:c r="E2580" s="7" t="str">
        <x:v>East</x:v>
      </x:c>
      <x:c r="F2580" s="7" t="n">
        <x:v>3</x:v>
      </x:c>
      <x:c r="G2580" s="7" t="n">
        <x:v>300</x:v>
      </x:c>
      <x:c r="H2580" s="9" t="n">
        <x:v>0.02</x:v>
      </x:c>
      <x:c r="I2580" s="7" t="n">
        <x:v>882</x:v>
      </x:c>
    </x:row>
    <x:row r="2581" ht="23" customHeight="1">
      <x:c r="A2581" s="7" t="str">
        <x:v>INV02576</x:v>
      </x:c>
      <x:c r="B2581" s="15" t="d">
        <x:v>2026-03-12T00:00:00.000Z</x:v>
      </x:c>
      <x:c r="C2581" s="14" t="d">
        <x:v>2026-03-01T00:00:00.000Z</x:v>
      </x:c>
      <x:c r="D2581" s="34" t="str">
        <x:v>0001</x:v>
      </x:c>
      <x:c r="E2581" s="7" t="str">
        <x:v>West</x:v>
      </x:c>
      <x:c r="F2581" s="7" t="n">
        <x:v>2</x:v>
      </x:c>
      <x:c r="G2581" s="7" t="n">
        <x:v>160</x:v>
      </x:c>
      <x:c r="H2581" s="9" t="n">
        <x:v>0.05</x:v>
      </x:c>
      <x:c r="I2581" s="7" t="n">
        <x:v>304</x:v>
      </x:c>
    </x:row>
    <x:row r="2582" ht="23" customHeight="1">
      <x:c r="A2582" s="7" t="str">
        <x:v>INV02577</x:v>
      </x:c>
      <x:c r="B2582" s="15" t="d">
        <x:v>2026-03-13T00:00:00.000Z</x:v>
      </x:c>
      <x:c r="C2582" s="14" t="d">
        <x:v>2026-03-01T00:00:00.000Z</x:v>
      </x:c>
      <x:c r="D2582" s="34" t="str">
        <x:v>0002</x:v>
      </x:c>
      <x:c r="E2582" s="7" t="str">
        <x:v>West</x:v>
      </x:c>
      <x:c r="F2582" s="7" t="n">
        <x:v>3</x:v>
      </x:c>
      <x:c r="G2582" s="7" t="n">
        <x:v>180</x:v>
      </x:c>
      <x:c r="H2582" s="9" t="n">
        <x:v>0</x:v>
      </x:c>
      <x:c r="I2582" s="7" t="n">
        <x:v>540</x:v>
      </x:c>
    </x:row>
    <x:row r="2583" ht="23" customHeight="1">
      <x:c r="A2583" s="7" t="str">
        <x:v>INV02578</x:v>
      </x:c>
      <x:c r="B2583" s="15" t="d">
        <x:v>2026-03-14T00:00:00.000Z</x:v>
      </x:c>
      <x:c r="C2583" s="14" t="d">
        <x:v>2026-03-01T00:00:00.000Z</x:v>
      </x:c>
      <x:c r="D2583" s="34" t="str">
        <x:v>0003</x:v>
      </x:c>
      <x:c r="E2583" s="7" t="str">
        <x:v>West</x:v>
      </x:c>
      <x:c r="F2583" s="7" t="n">
        <x:v>6</x:v>
      </x:c>
      <x:c r="G2583" s="7" t="n">
        <x:v>200</x:v>
      </x:c>
      <x:c r="H2583" s="9" t="n">
        <x:v>0.02</x:v>
      </x:c>
      <x:c r="I2583" s="7" t="n">
        <x:v>1176</x:v>
      </x:c>
    </x:row>
    <x:row r="2584" ht="23" customHeight="1">
      <x:c r="A2584" s="7" t="str">
        <x:v>INV02579</x:v>
      </x:c>
      <x:c r="B2584" s="15" t="d">
        <x:v>2026-03-15T00:00:00.000Z</x:v>
      </x:c>
      <x:c r="C2584" s="14" t="d">
        <x:v>2026-03-01T00:00:00.000Z</x:v>
      </x:c>
      <x:c r="D2584" s="34" t="str">
        <x:v>0004</x:v>
      </x:c>
      <x:c r="E2584" s="7" t="str">
        <x:v>West</x:v>
      </x:c>
      <x:c r="F2584" s="7" t="n">
        <x:v>1</x:v>
      </x:c>
      <x:c r="G2584" s="7" t="n">
        <x:v>220</x:v>
      </x:c>
      <x:c r="H2584" s="9" t="n">
        <x:v>0.05</x:v>
      </x:c>
      <x:c r="I2584" s="7" t="n">
        <x:v>209</x:v>
      </x:c>
    </x:row>
    <x:row r="2585" ht="23" customHeight="1">
      <x:c r="A2585" s="7" t="str">
        <x:v>INV02580</x:v>
      </x:c>
      <x:c r="B2585" s="15" t="d">
        <x:v>2026-03-16T00:00:00.000Z</x:v>
      </x:c>
      <x:c r="C2585" s="14" t="d">
        <x:v>2026-03-01T00:00:00.000Z</x:v>
      </x:c>
      <x:c r="D2585" s="34" t="str">
        <x:v>0005</x:v>
      </x:c>
      <x:c r="E2585" s="7" t="str">
        <x:v>West</x:v>
      </x:c>
      <x:c r="F2585" s="7" t="n">
        <x:v>6</x:v>
      </x:c>
      <x:c r="G2585" s="7" t="n">
        <x:v>240</x:v>
      </x:c>
      <x:c r="H2585" s="9" t="n">
        <x:v>0</x:v>
      </x:c>
      <x:c r="I2585" s="7" t="n">
        <x:v>1440</x:v>
      </x:c>
    </x:row>
    <x:row r="2586" ht="23" customHeight="1">
      <x:c r="A2586" s="7" t="str">
        <x:v>INV02581</x:v>
      </x:c>
      <x:c r="B2586" s="15" t="d">
        <x:v>2026-03-17T00:00:00.000Z</x:v>
      </x:c>
      <x:c r="C2586" s="14" t="d">
        <x:v>2026-03-01T00:00:00.000Z</x:v>
      </x:c>
      <x:c r="D2586" s="34" t="str">
        <x:v>0006</x:v>
      </x:c>
      <x:c r="E2586" s="7" t="str">
        <x:v>West</x:v>
      </x:c>
      <x:c r="F2586" s="7" t="n">
        <x:v>5</x:v>
      </x:c>
      <x:c r="G2586" s="7" t="n">
        <x:v>260</x:v>
      </x:c>
      <x:c r="H2586" s="9" t="n">
        <x:v>0.02</x:v>
      </x:c>
      <x:c r="I2586" s="7" t="n">
        <x:v>1274</x:v>
      </x:c>
    </x:row>
    <x:row r="2587" ht="23" customHeight="1">
      <x:c r="A2587" s="7" t="str">
        <x:v>INV02582</x:v>
      </x:c>
      <x:c r="B2587" s="15" t="d">
        <x:v>2026-03-18T00:00:00.000Z</x:v>
      </x:c>
      <x:c r="C2587" s="14" t="d">
        <x:v>2026-03-01T00:00:00.000Z</x:v>
      </x:c>
      <x:c r="D2587" s="34" t="str">
        <x:v>0007</x:v>
      </x:c>
      <x:c r="E2587" s="7" t="str">
        <x:v>West</x:v>
      </x:c>
      <x:c r="F2587" s="7" t="n">
        <x:v>4</x:v>
      </x:c>
      <x:c r="G2587" s="7" t="n">
        <x:v>280</x:v>
      </x:c>
      <x:c r="H2587" s="9" t="n">
        <x:v>0.05</x:v>
      </x:c>
      <x:c r="I2587" s="7" t="n">
        <x:v>1064</x:v>
      </x:c>
    </x:row>
    <x:row r="2588" ht="23" customHeight="1">
      <x:c r="A2588" s="7" t="str">
        <x:v>INV02583</x:v>
      </x:c>
      <x:c r="B2588" s="15" t="d">
        <x:v>2026-03-19T00:00:00.000Z</x:v>
      </x:c>
      <x:c r="C2588" s="14" t="d">
        <x:v>2026-03-01T00:00:00.000Z</x:v>
      </x:c>
      <x:c r="D2588" s="34" t="str">
        <x:v>0008</x:v>
      </x:c>
      <x:c r="E2588" s="7" t="str">
        <x:v>West</x:v>
      </x:c>
      <x:c r="F2588" s="7" t="n">
        <x:v>-6</x:v>
      </x:c>
      <x:c r="G2588" s="7" t="n">
        <x:v>300</x:v>
      </x:c>
      <x:c r="H2588" s="9" t="n">
        <x:v>0</x:v>
      </x:c>
      <x:c r="I2588" s="7" t="n">
        <x:v>-1800</x:v>
      </x:c>
    </x:row>
    <x:row r="2589" ht="23" customHeight="1">
      <x:c r="A2589" s="7" t="str">
        <x:v>INV02584</x:v>
      </x:c>
      <x:c r="B2589" s="15" t="d">
        <x:v>2026-03-20T00:00:00.000Z</x:v>
      </x:c>
      <x:c r="C2589" s="14" t="d">
        <x:v>2026-03-01T00:00:00.000Z</x:v>
      </x:c>
      <x:c r="D2589" s="34" t="str">
        <x:v>0001</x:v>
      </x:c>
      <x:c r="E2589" s="7" t="str">
        <x:v>North</x:v>
      </x:c>
      <x:c r="F2589" s="7" t="n">
        <x:v>4</x:v>
      </x:c>
      <x:c r="G2589" s="7" t="n">
        <x:v>160</x:v>
      </x:c>
      <x:c r="H2589" s="9" t="n">
        <x:v>0.02</x:v>
      </x:c>
      <x:c r="I2589" s="7" t="n">
        <x:v>627.2</x:v>
      </x:c>
    </x:row>
    <x:row r="2590" ht="23" customHeight="1">
      <x:c r="A2590" s="7" t="str">
        <x:v>INV02585</x:v>
      </x:c>
      <x:c r="B2590" s="15" t="d">
        <x:v>2026-03-21T00:00:00.000Z</x:v>
      </x:c>
      <x:c r="C2590" s="14" t="d">
        <x:v>2026-03-01T00:00:00.000Z</x:v>
      </x:c>
      <x:c r="D2590" s="34" t="str">
        <x:v>0002</x:v>
      </x:c>
      <x:c r="E2590" s="7" t="str">
        <x:v>North</x:v>
      </x:c>
      <x:c r="F2590" s="7" t="n">
        <x:v>6</x:v>
      </x:c>
      <x:c r="G2590" s="7" t="n">
        <x:v>180</x:v>
      </x:c>
      <x:c r="H2590" s="9" t="n">
        <x:v>0.05</x:v>
      </x:c>
      <x:c r="I2590" s="7" t="n">
        <x:v>1026</x:v>
      </x:c>
    </x:row>
    <x:row r="2591" ht="23" customHeight="1">
      <x:c r="A2591" s="7" t="str">
        <x:v>INV02586</x:v>
      </x:c>
      <x:c r="B2591" s="15" t="d">
        <x:v>2026-03-22T00:00:00.000Z</x:v>
      </x:c>
      <x:c r="C2591" s="14" t="d">
        <x:v>2026-03-01T00:00:00.000Z</x:v>
      </x:c>
      <x:c r="D2591" s="34" t="str">
        <x:v>0003</x:v>
      </x:c>
      <x:c r="E2591" s="7" t="str">
        <x:v>North</x:v>
      </x:c>
      <x:c r="F2591" s="7" t="n">
        <x:v>7</x:v>
      </x:c>
      <x:c r="G2591" s="7" t="n">
        <x:v>200</x:v>
      </x:c>
      <x:c r="H2591" s="9" t="n">
        <x:v>0</x:v>
      </x:c>
      <x:c r="I2591" s="7" t="n">
        <x:v>1400</x:v>
      </x:c>
    </x:row>
    <x:row r="2592" ht="23" customHeight="1">
      <x:c r="A2592" s="7" t="str">
        <x:v>INV02587</x:v>
      </x:c>
      <x:c r="B2592" s="15" t="d">
        <x:v>2026-03-23T00:00:00.000Z</x:v>
      </x:c>
      <x:c r="C2592" s="14" t="d">
        <x:v>2026-03-01T00:00:00.000Z</x:v>
      </x:c>
      <x:c r="D2592" s="34" t="str">
        <x:v>0004</x:v>
      </x:c>
      <x:c r="E2592" s="7" t="str">
        <x:v>North</x:v>
      </x:c>
      <x:c r="F2592" s="7" t="n">
        <x:v>4</x:v>
      </x:c>
      <x:c r="G2592" s="7" t="n">
        <x:v>220</x:v>
      </x:c>
      <x:c r="H2592" s="9" t="n">
        <x:v>0.02</x:v>
      </x:c>
      <x:c r="I2592" s="7" t="n">
        <x:v>862.4</x:v>
      </x:c>
    </x:row>
    <x:row r="2593" ht="23" customHeight="1">
      <x:c r="A2593" s="7" t="str">
        <x:v>INV02588</x:v>
      </x:c>
      <x:c r="B2593" s="15" t="d">
        <x:v>2026-03-24T00:00:00.000Z</x:v>
      </x:c>
      <x:c r="C2593" s="14" t="d">
        <x:v>2026-03-01T00:00:00.000Z</x:v>
      </x:c>
      <x:c r="D2593" s="34" t="str">
        <x:v>0005</x:v>
      </x:c>
      <x:c r="E2593" s="7" t="str">
        <x:v>North</x:v>
      </x:c>
      <x:c r="F2593" s="7" t="n">
        <x:v>4</x:v>
      </x:c>
      <x:c r="G2593" s="7" t="n">
        <x:v>240</x:v>
      </x:c>
      <x:c r="H2593" s="9" t="n">
        <x:v>0.05</x:v>
      </x:c>
      <x:c r="I2593" s="7" t="n">
        <x:v>912</x:v>
      </x:c>
    </x:row>
    <x:row r="2594" ht="23" customHeight="1">
      <x:c r="A2594" s="7" t="str">
        <x:v>INV02589</x:v>
      </x:c>
      <x:c r="B2594" s="15" t="d">
        <x:v>2026-03-25T00:00:00.000Z</x:v>
      </x:c>
      <x:c r="C2594" s="14" t="d">
        <x:v>2026-03-01T00:00:00.000Z</x:v>
      </x:c>
      <x:c r="D2594" s="34" t="str">
        <x:v>0006</x:v>
      </x:c>
      <x:c r="E2594" s="7" t="str">
        <x:v>North</x:v>
      </x:c>
      <x:c r="F2594" s="7" t="n">
        <x:v>2</x:v>
      </x:c>
      <x:c r="G2594" s="7" t="n">
        <x:v>260</x:v>
      </x:c>
      <x:c r="H2594" s="9" t="n">
        <x:v>0</x:v>
      </x:c>
      <x:c r="I2594" s="7" t="n">
        <x:v>520</x:v>
      </x:c>
    </x:row>
    <x:row r="2595" ht="23" customHeight="1">
      <x:c r="A2595" s="7" t="str">
        <x:v>INV02590</x:v>
      </x:c>
      <x:c r="B2595" s="15" t="d">
        <x:v>2026-03-26T00:00:00.000Z</x:v>
      </x:c>
      <x:c r="C2595" s="14" t="d">
        <x:v>2026-03-01T00:00:00.000Z</x:v>
      </x:c>
      <x:c r="D2595" s="34" t="str">
        <x:v>0007</x:v>
      </x:c>
      <x:c r="E2595" s="7" t="str">
        <x:v>North</x:v>
      </x:c>
      <x:c r="F2595" s="7" t="n">
        <x:v>3</x:v>
      </x:c>
      <x:c r="G2595" s="7" t="n">
        <x:v>280</x:v>
      </x:c>
      <x:c r="H2595" s="9" t="n">
        <x:v>0.02</x:v>
      </x:c>
      <x:c r="I2595" s="7" t="n">
        <x:v>823.2</x:v>
      </x:c>
    </x:row>
    <x:row r="2596" ht="23" customHeight="1">
      <x:c r="A2596" s="7" t="str">
        <x:v>INV02591</x:v>
      </x:c>
      <x:c r="B2596" s="15" t="d">
        <x:v>2026-03-27T00:00:00.000Z</x:v>
      </x:c>
      <x:c r="C2596" s="14" t="d">
        <x:v>2026-03-01T00:00:00.000Z</x:v>
      </x:c>
      <x:c r="D2596" s="34" t="str">
        <x:v>0008</x:v>
      </x:c>
      <x:c r="E2596" s="7" t="str">
        <x:v>North</x:v>
      </x:c>
      <x:c r="F2596" s="7" t="n">
        <x:v>1</x:v>
      </x:c>
      <x:c r="G2596" s="7" t="n">
        <x:v>300</x:v>
      </x:c>
      <x:c r="H2596" s="9" t="n">
        <x:v>0.05</x:v>
      </x:c>
      <x:c r="I2596" s="7" t="n">
        <x:v>285</x:v>
      </x:c>
    </x:row>
    <x:row r="2597" ht="23" customHeight="1">
      <x:c r="A2597" s="7" t="str">
        <x:v>INV02592</x:v>
      </x:c>
      <x:c r="B2597" s="15" t="d">
        <x:v>2026-04-01T00:00:00.000Z</x:v>
      </x:c>
      <x:c r="C2597" s="14" t="d">
        <x:v>2026-04-01T00:00:00.000Z</x:v>
      </x:c>
      <x:c r="D2597" s="34" t="str">
        <x:v>0001</x:v>
      </x:c>
      <x:c r="E2597" s="7" t="str">
        <x:v>Central</x:v>
      </x:c>
      <x:c r="F2597" s="7" t="n">
        <x:v>5</x:v>
      </x:c>
      <x:c r="G2597" s="7" t="n">
        <x:v>160</x:v>
      </x:c>
      <x:c r="H2597" s="9" t="n">
        <x:v>0</x:v>
      </x:c>
      <x:c r="I2597" s="7" t="n">
        <x:v>800</x:v>
      </x:c>
    </x:row>
    <x:row r="2598" ht="23" customHeight="1">
      <x:c r="A2598" s="7" t="str">
        <x:v>INV02593</x:v>
      </x:c>
      <x:c r="B2598" s="15" t="d">
        <x:v>2026-04-02T00:00:00.000Z</x:v>
      </x:c>
      <x:c r="C2598" s="14" t="d">
        <x:v>2026-04-01T00:00:00.000Z</x:v>
      </x:c>
      <x:c r="D2598" s="34" t="str">
        <x:v>0002</x:v>
      </x:c>
      <x:c r="E2598" s="7" t="str">
        <x:v>Central</x:v>
      </x:c>
      <x:c r="F2598" s="7" t="n">
        <x:v>3</x:v>
      </x:c>
      <x:c r="G2598" s="7" t="n">
        <x:v>180</x:v>
      </x:c>
      <x:c r="H2598" s="9" t="n">
        <x:v>0.02</x:v>
      </x:c>
      <x:c r="I2598" s="7" t="n">
        <x:v>529.2</x:v>
      </x:c>
    </x:row>
    <x:row r="2599" ht="23" customHeight="1">
      <x:c r="A2599" s="7" t="str">
        <x:v>INV02594</x:v>
      </x:c>
      <x:c r="B2599" s="15" t="d">
        <x:v>2026-04-03T00:00:00.000Z</x:v>
      </x:c>
      <x:c r="C2599" s="14" t="d">
        <x:v>2026-04-01T00:00:00.000Z</x:v>
      </x:c>
      <x:c r="D2599" s="34" t="str">
        <x:v>0003</x:v>
      </x:c>
      <x:c r="E2599" s="7" t="str">
        <x:v>Central</x:v>
      </x:c>
      <x:c r="F2599" s="7" t="n">
        <x:v>4</x:v>
      </x:c>
      <x:c r="G2599" s="7" t="n">
        <x:v>200</x:v>
      </x:c>
      <x:c r="H2599" s="9" t="n">
        <x:v>0.05</x:v>
      </x:c>
      <x:c r="I2599" s="7" t="n">
        <x:v>760</x:v>
      </x:c>
    </x:row>
    <x:row r="2600" ht="23" customHeight="1">
      <x:c r="A2600" s="7" t="str">
        <x:v>INV02595</x:v>
      </x:c>
      <x:c r="B2600" s="15" t="d">
        <x:v>2026-04-04T00:00:00.000Z</x:v>
      </x:c>
      <x:c r="C2600" s="14" t="d">
        <x:v>2026-04-01T00:00:00.000Z</x:v>
      </x:c>
      <x:c r="D2600" s="34" t="str">
        <x:v>0004</x:v>
      </x:c>
      <x:c r="E2600" s="7" t="str">
        <x:v>Central</x:v>
      </x:c>
      <x:c r="F2600" s="7" t="n">
        <x:v>5</x:v>
      </x:c>
      <x:c r="G2600" s="7" t="n">
        <x:v>220</x:v>
      </x:c>
      <x:c r="H2600" s="9" t="n">
        <x:v>0</x:v>
      </x:c>
      <x:c r="I2600" s="7" t="n">
        <x:v>1100</x:v>
      </x:c>
    </x:row>
    <x:row r="2601" ht="23" customHeight="1">
      <x:c r="A2601" s="7" t="str">
        <x:v>INV02596</x:v>
      </x:c>
      <x:c r="B2601" s="15" t="d">
        <x:v>2026-04-05T00:00:00.000Z</x:v>
      </x:c>
      <x:c r="C2601" s="14" t="d">
        <x:v>2026-04-01T00:00:00.000Z</x:v>
      </x:c>
      <x:c r="D2601" s="34" t="str">
        <x:v>0005</x:v>
      </x:c>
      <x:c r="E2601" s="7" t="str">
        <x:v>Central</x:v>
      </x:c>
      <x:c r="F2601" s="7" t="n">
        <x:v>2</x:v>
      </x:c>
      <x:c r="G2601" s="7" t="n">
        <x:v>240</x:v>
      </x:c>
      <x:c r="H2601" s="9" t="n">
        <x:v>0.02</x:v>
      </x:c>
      <x:c r="I2601" s="7" t="n">
        <x:v>470.4</x:v>
      </x:c>
    </x:row>
    <x:row r="2602" ht="23" customHeight="1">
      <x:c r="A2602" s="7" t="str">
        <x:v>INV02597</x:v>
      </x:c>
      <x:c r="B2602" s="15" t="d">
        <x:v>2026-04-06T00:00:00.000Z</x:v>
      </x:c>
      <x:c r="C2602" s="14" t="d">
        <x:v>2026-04-01T00:00:00.000Z</x:v>
      </x:c>
      <x:c r="D2602" s="34" t="str">
        <x:v>0006</x:v>
      </x:c>
      <x:c r="E2602" s="7" t="str">
        <x:v>Central</x:v>
      </x:c>
      <x:c r="F2602" s="7" t="n">
        <x:v>3</x:v>
      </x:c>
      <x:c r="G2602" s="7" t="n">
        <x:v>260</x:v>
      </x:c>
      <x:c r="H2602" s="9" t="n">
        <x:v>0.05</x:v>
      </x:c>
      <x:c r="I2602" s="7" t="n">
        <x:v>741</x:v>
      </x:c>
    </x:row>
    <x:row r="2603" ht="23" customHeight="1">
      <x:c r="A2603" s="7" t="str">
        <x:v>INV02598</x:v>
      </x:c>
      <x:c r="B2603" s="15" t="d">
        <x:v>2026-04-07T00:00:00.000Z</x:v>
      </x:c>
      <x:c r="C2603" s="14" t="d">
        <x:v>2026-04-01T00:00:00.000Z</x:v>
      </x:c>
      <x:c r="D2603" s="34" t="str">
        <x:v>0007</x:v>
      </x:c>
      <x:c r="E2603" s="7" t="str">
        <x:v>Central</x:v>
      </x:c>
      <x:c r="F2603" s="7" t="n">
        <x:v>3</x:v>
      </x:c>
      <x:c r="G2603" s="7" t="n">
        <x:v>280</x:v>
      </x:c>
      <x:c r="H2603" s="9" t="n">
        <x:v>0</x:v>
      </x:c>
      <x:c r="I2603" s="7" t="n">
        <x:v>840</x:v>
      </x:c>
    </x:row>
    <x:row r="2604" ht="23" customHeight="1">
      <x:c r="A2604" s="7" t="str">
        <x:v>INV02599</x:v>
      </x:c>
      <x:c r="B2604" s="15" t="d">
        <x:v>2026-04-08T00:00:00.000Z</x:v>
      </x:c>
      <x:c r="C2604" s="14" t="d">
        <x:v>2026-04-01T00:00:00.000Z</x:v>
      </x:c>
      <x:c r="D2604" s="34" t="str">
        <x:v>0008</x:v>
      </x:c>
      <x:c r="E2604" s="7" t="str">
        <x:v>Central</x:v>
      </x:c>
      <x:c r="F2604" s="7" t="n">
        <x:v>7</x:v>
      </x:c>
      <x:c r="G2604" s="7" t="n">
        <x:v>300</x:v>
      </x:c>
      <x:c r="H2604" s="9" t="n">
        <x:v>0.02</x:v>
      </x:c>
      <x:c r="I2604" s="7" t="n">
        <x:v>2058</x:v>
      </x:c>
    </x:row>
    <x:row r="2605" ht="23" customHeight="1">
      <x:c r="A2605" s="7" t="str">
        <x:v>INV02600</x:v>
      </x:c>
      <x:c r="B2605" s="15" t="d">
        <x:v>2026-04-09T00:00:00.000Z</x:v>
      </x:c>
      <x:c r="C2605" s="14" t="d">
        <x:v>2026-04-01T00:00:00.000Z</x:v>
      </x:c>
      <x:c r="D2605" s="34" t="str">
        <x:v>0001</x:v>
      </x:c>
      <x:c r="E2605" s="7" t="str">
        <x:v>East</x:v>
      </x:c>
      <x:c r="F2605" s="7" t="n">
        <x:v>4</x:v>
      </x:c>
      <x:c r="G2605" s="7" t="n">
        <x:v>160</x:v>
      </x:c>
      <x:c r="H2605" s="9" t="n">
        <x:v>0.05</x:v>
      </x:c>
      <x:c r="I2605" s="7" t="n">
        <x:v>608</x:v>
      </x:c>
    </x:row>
    <x:row r="2606" ht="23" customHeight="1">
      <x:c r="A2606" s="7" t="str">
        <x:v>INV02601</x:v>
      </x:c>
      <x:c r="B2606" s="15" t="d">
        <x:v>2026-04-10T00:00:00.000Z</x:v>
      </x:c>
      <x:c r="C2606" s="14" t="d">
        <x:v>2026-04-01T00:00:00.000Z</x:v>
      </x:c>
      <x:c r="D2606" s="34" t="str">
        <x:v>0002</x:v>
      </x:c>
      <x:c r="E2606" s="7" t="str">
        <x:v>East</x:v>
      </x:c>
      <x:c r="F2606" s="7" t="n">
        <x:v>6</x:v>
      </x:c>
      <x:c r="G2606" s="7" t="n">
        <x:v>180</x:v>
      </x:c>
      <x:c r="H2606" s="9" t="n">
        <x:v>0</x:v>
      </x:c>
      <x:c r="I2606" s="7" t="n">
        <x:v>1080</x:v>
      </x:c>
    </x:row>
    <x:row r="2607" ht="23" customHeight="1">
      <x:c r="A2607" s="7" t="str">
        <x:v>INV02602</x:v>
      </x:c>
      <x:c r="B2607" s="15" t="d">
        <x:v>2026-04-11T00:00:00.000Z</x:v>
      </x:c>
      <x:c r="C2607" s="14" t="d">
        <x:v>2026-04-01T00:00:00.000Z</x:v>
      </x:c>
      <x:c r="D2607" s="34" t="str">
        <x:v>0003</x:v>
      </x:c>
      <x:c r="E2607" s="7" t="str">
        <x:v>East</x:v>
      </x:c>
      <x:c r="F2607" s="7" t="n">
        <x:v>5</x:v>
      </x:c>
      <x:c r="G2607" s="7" t="n">
        <x:v>200</x:v>
      </x:c>
      <x:c r="H2607" s="9" t="n">
        <x:v>0.02</x:v>
      </x:c>
      <x:c r="I2607" s="7" t="n">
        <x:v>980</x:v>
      </x:c>
    </x:row>
    <x:row r="2608" ht="23" customHeight="1">
      <x:c r="A2608" s="7" t="str">
        <x:v>INV02603</x:v>
      </x:c>
      <x:c r="B2608" s="15" t="d">
        <x:v>2026-04-12T00:00:00.000Z</x:v>
      </x:c>
      <x:c r="C2608" s="14" t="d">
        <x:v>2026-04-01T00:00:00.000Z</x:v>
      </x:c>
      <x:c r="D2608" s="34" t="str">
        <x:v>0004</x:v>
      </x:c>
      <x:c r="E2608" s="7" t="str">
        <x:v>East</x:v>
      </x:c>
      <x:c r="F2608" s="7" t="n">
        <x:v>1</x:v>
      </x:c>
      <x:c r="G2608" s="7" t="n">
        <x:v>220</x:v>
      </x:c>
      <x:c r="H2608" s="9" t="n">
        <x:v>0.05</x:v>
      </x:c>
      <x:c r="I2608" s="7" t="n">
        <x:v>209</x:v>
      </x:c>
    </x:row>
    <x:row r="2609" ht="23" customHeight="1">
      <x:c r="A2609" s="7" t="str">
        <x:v>INV02604</x:v>
      </x:c>
      <x:c r="B2609" s="15" t="d">
        <x:v>2026-04-13T00:00:00.000Z</x:v>
      </x:c>
      <x:c r="C2609" s="14" t="d">
        <x:v>2026-04-01T00:00:00.000Z</x:v>
      </x:c>
      <x:c r="D2609" s="34" t="str">
        <x:v>0005</x:v>
      </x:c>
      <x:c r="E2609" s="7" t="str">
        <x:v>East</x:v>
      </x:c>
      <x:c r="F2609" s="7" t="n">
        <x:v>7</x:v>
      </x:c>
      <x:c r="G2609" s="7" t="n">
        <x:v>240</x:v>
      </x:c>
      <x:c r="H2609" s="9" t="n">
        <x:v>0</x:v>
      </x:c>
      <x:c r="I2609" s="7" t="n">
        <x:v>1680</x:v>
      </x:c>
    </x:row>
    <x:row r="2610" ht="23" customHeight="1">
      <x:c r="A2610" s="7" t="str">
        <x:v>INV02605</x:v>
      </x:c>
      <x:c r="B2610" s="15" t="d">
        <x:v>2026-04-14T00:00:00.000Z</x:v>
      </x:c>
      <x:c r="C2610" s="14" t="d">
        <x:v>2026-04-01T00:00:00.000Z</x:v>
      </x:c>
      <x:c r="D2610" s="34" t="str">
        <x:v>0006</x:v>
      </x:c>
      <x:c r="E2610" s="7" t="str">
        <x:v>East</x:v>
      </x:c>
      <x:c r="F2610" s="7" t="n">
        <x:v>6</x:v>
      </x:c>
      <x:c r="G2610" s="7" t="n">
        <x:v>260</x:v>
      </x:c>
      <x:c r="H2610" s="9" t="n">
        <x:v>0.02</x:v>
      </x:c>
      <x:c r="I2610" s="7" t="n">
        <x:v>1528.8</x:v>
      </x:c>
    </x:row>
    <x:row r="2611" ht="23" customHeight="1">
      <x:c r="A2611" s="7" t="str">
        <x:v>INV02606</x:v>
      </x:c>
      <x:c r="B2611" s="15" t="d">
        <x:v>2026-04-15T00:00:00.000Z</x:v>
      </x:c>
      <x:c r="C2611" s="14" t="d">
        <x:v>2026-04-01T00:00:00.000Z</x:v>
      </x:c>
      <x:c r="D2611" s="34" t="str">
        <x:v>0007</x:v>
      </x:c>
      <x:c r="E2611" s="7" t="str">
        <x:v>East</x:v>
      </x:c>
      <x:c r="F2611" s="7" t="n">
        <x:v>6</x:v>
      </x:c>
      <x:c r="G2611" s="7" t="n">
        <x:v>280</x:v>
      </x:c>
      <x:c r="H2611" s="9" t="n">
        <x:v>0.05</x:v>
      </x:c>
      <x:c r="I2611" s="7" t="n">
        <x:v>1596</x:v>
      </x:c>
    </x:row>
    <x:row r="2612" ht="23" customHeight="1">
      <x:c r="A2612" s="7" t="str">
        <x:v>INV02607</x:v>
      </x:c>
      <x:c r="B2612" s="15" t="d">
        <x:v>2026-04-16T00:00:00.000Z</x:v>
      </x:c>
      <x:c r="C2612" s="14" t="d">
        <x:v>2026-04-01T00:00:00.000Z</x:v>
      </x:c>
      <x:c r="D2612" s="34" t="str">
        <x:v>0008</x:v>
      </x:c>
      <x:c r="E2612" s="7" t="str">
        <x:v>East</x:v>
      </x:c>
      <x:c r="F2612" s="7" t="n">
        <x:v>1</x:v>
      </x:c>
      <x:c r="G2612" s="7" t="n">
        <x:v>300</x:v>
      </x:c>
      <x:c r="H2612" s="9" t="n">
        <x:v>0</x:v>
      </x:c>
      <x:c r="I2612" s="7" t="n">
        <x:v>300</x:v>
      </x:c>
    </x:row>
    <x:row r="2613" ht="23" customHeight="1">
      <x:c r="A2613" s="7" t="str">
        <x:v>INV02608</x:v>
      </x:c>
      <x:c r="B2613" s="15" t="d">
        <x:v>2026-04-17T00:00:00.000Z</x:v>
      </x:c>
      <x:c r="C2613" s="14" t="d">
        <x:v>2026-04-01T00:00:00.000Z</x:v>
      </x:c>
      <x:c r="D2613" s="34" t="str">
        <x:v>0001</x:v>
      </x:c>
      <x:c r="E2613" s="7" t="str">
        <x:v>West</x:v>
      </x:c>
      <x:c r="F2613" s="7" t="n">
        <x:v>5</x:v>
      </x:c>
      <x:c r="G2613" s="7" t="n">
        <x:v>160</x:v>
      </x:c>
      <x:c r="H2613" s="9" t="n">
        <x:v>0.02</x:v>
      </x:c>
      <x:c r="I2613" s="7" t="n">
        <x:v>784</x:v>
      </x:c>
    </x:row>
    <x:row r="2614" ht="23" customHeight="1">
      <x:c r="A2614" s="7" t="str">
        <x:v>INV02609</x:v>
      </x:c>
      <x:c r="B2614" s="15" t="d">
        <x:v>2026-04-18T00:00:00.000Z</x:v>
      </x:c>
      <x:c r="C2614" s="14" t="d">
        <x:v>2026-04-01T00:00:00.000Z</x:v>
      </x:c>
      <x:c r="D2614" s="34" t="str">
        <x:v>0002</x:v>
      </x:c>
      <x:c r="E2614" s="7" t="str">
        <x:v>West</x:v>
      </x:c>
      <x:c r="F2614" s="7" t="n">
        <x:v>1</x:v>
      </x:c>
      <x:c r="G2614" s="7" t="n">
        <x:v>180</x:v>
      </x:c>
      <x:c r="H2614" s="9" t="n">
        <x:v>0.05</x:v>
      </x:c>
      <x:c r="I2614" s="7" t="n">
        <x:v>171</x:v>
      </x:c>
    </x:row>
    <x:row r="2615" ht="23" customHeight="1">
      <x:c r="A2615" s="7" t="str">
        <x:v>INV02610</x:v>
      </x:c>
      <x:c r="B2615" s="15" t="d">
        <x:v>2026-04-19T00:00:00.000Z</x:v>
      </x:c>
      <x:c r="C2615" s="14" t="d">
        <x:v>2026-04-01T00:00:00.000Z</x:v>
      </x:c>
      <x:c r="D2615" s="34" t="str">
        <x:v>0003</x:v>
      </x:c>
      <x:c r="E2615" s="7" t="str">
        <x:v>West</x:v>
      </x:c>
      <x:c r="F2615" s="7" t="n">
        <x:v>3</x:v>
      </x:c>
      <x:c r="G2615" s="7" t="n">
        <x:v>200</x:v>
      </x:c>
      <x:c r="H2615" s="9" t="n">
        <x:v>0</x:v>
      </x:c>
      <x:c r="I2615" s="7" t="n">
        <x:v>600</x:v>
      </x:c>
    </x:row>
    <x:row r="2616" ht="23" customHeight="1">
      <x:c r="A2616" s="7" t="str">
        <x:v>INV02611</x:v>
      </x:c>
      <x:c r="B2616" s="15" t="d">
        <x:v>2026-04-20T00:00:00.000Z</x:v>
      </x:c>
      <x:c r="C2616" s="14" t="d">
        <x:v>2026-04-01T00:00:00.000Z</x:v>
      </x:c>
      <x:c r="D2616" s="34" t="str">
        <x:v>0004</x:v>
      </x:c>
      <x:c r="E2616" s="7" t="str">
        <x:v>West</x:v>
      </x:c>
      <x:c r="F2616" s="7" t="n">
        <x:v>5</x:v>
      </x:c>
      <x:c r="G2616" s="7" t="n">
        <x:v>220</x:v>
      </x:c>
      <x:c r="H2616" s="9" t="n">
        <x:v>0.02</x:v>
      </x:c>
      <x:c r="I2616" s="7" t="n">
        <x:v>1078</x:v>
      </x:c>
    </x:row>
    <x:row r="2617" ht="23" customHeight="1">
      <x:c r="A2617" s="7" t="str">
        <x:v>INV02612</x:v>
      </x:c>
      <x:c r="B2617" s="15" t="d">
        <x:v>2026-04-21T00:00:00.000Z</x:v>
      </x:c>
      <x:c r="C2617" s="14" t="d">
        <x:v>2026-04-01T00:00:00.000Z</x:v>
      </x:c>
      <x:c r="D2617" s="34" t="str">
        <x:v>0005</x:v>
      </x:c>
      <x:c r="E2617" s="7" t="str">
        <x:v>West</x:v>
      </x:c>
      <x:c r="F2617" s="7" t="n">
        <x:v>2</x:v>
      </x:c>
      <x:c r="G2617" s="7" t="n">
        <x:v>240</x:v>
      </x:c>
      <x:c r="H2617" s="9" t="n">
        <x:v>0.05</x:v>
      </x:c>
      <x:c r="I2617" s="7" t="n">
        <x:v>456</x:v>
      </x:c>
    </x:row>
    <x:row r="2618" ht="23" customHeight="1">
      <x:c r="A2618" s="7" t="str">
        <x:v>INV02613</x:v>
      </x:c>
      <x:c r="B2618" s="15" t="d">
        <x:v>2026-04-22T00:00:00.000Z</x:v>
      </x:c>
      <x:c r="C2618" s="14" t="d">
        <x:v>2026-04-01T00:00:00.000Z</x:v>
      </x:c>
      <x:c r="D2618" s="34" t="str">
        <x:v>0006</x:v>
      </x:c>
      <x:c r="E2618" s="7" t="str">
        <x:v>West</x:v>
      </x:c>
      <x:c r="F2618" s="7" t="n">
        <x:v>4</x:v>
      </x:c>
      <x:c r="G2618" s="7" t="n">
        <x:v>260</x:v>
      </x:c>
      <x:c r="H2618" s="9" t="n">
        <x:v>0</x:v>
      </x:c>
      <x:c r="I2618" s="7" t="n">
        <x:v>1040</x:v>
      </x:c>
    </x:row>
    <x:row r="2619" ht="23" customHeight="1">
      <x:c r="A2619" s="7" t="str">
        <x:v>INV02614</x:v>
      </x:c>
      <x:c r="B2619" s="15" t="d">
        <x:v>2026-04-23T00:00:00.000Z</x:v>
      </x:c>
      <x:c r="C2619" s="14" t="d">
        <x:v>2026-04-01T00:00:00.000Z</x:v>
      </x:c>
      <x:c r="D2619" s="34" t="str">
        <x:v>0007</x:v>
      </x:c>
      <x:c r="E2619" s="7" t="str">
        <x:v>West</x:v>
      </x:c>
      <x:c r="F2619" s="7" t="n">
        <x:v>7</x:v>
      </x:c>
      <x:c r="G2619" s="7" t="n">
        <x:v>280</x:v>
      </x:c>
      <x:c r="H2619" s="9" t="n">
        <x:v>0.02</x:v>
      </x:c>
      <x:c r="I2619" s="7" t="n">
        <x:v>1920.8</x:v>
      </x:c>
    </x:row>
    <x:row r="2620" ht="23" customHeight="1">
      <x:c r="A2620" s="7" t="str">
        <x:v>INV02615</x:v>
      </x:c>
      <x:c r="B2620" s="15" t="d">
        <x:v>2026-04-24T00:00:00.000Z</x:v>
      </x:c>
      <x:c r="C2620" s="14" t="d">
        <x:v>2026-04-01T00:00:00.000Z</x:v>
      </x:c>
      <x:c r="D2620" s="34" t="str">
        <x:v>0008</x:v>
      </x:c>
      <x:c r="E2620" s="7" t="str">
        <x:v>West</x:v>
      </x:c>
      <x:c r="F2620" s="7" t="n">
        <x:v>4</x:v>
      </x:c>
      <x:c r="G2620" s="7" t="n">
        <x:v>300</x:v>
      </x:c>
      <x:c r="H2620" s="9" t="n">
        <x:v>0.05</x:v>
      </x:c>
      <x:c r="I2620" s="7" t="n">
        <x:v>1140</x:v>
      </x:c>
    </x:row>
    <x:row r="2621" ht="23" customHeight="1">
      <x:c r="A2621" s="7" t="str">
        <x:v>INV02616</x:v>
      </x:c>
      <x:c r="B2621" s="15" t="d">
        <x:v>2026-04-25T00:00:00.000Z</x:v>
      </x:c>
      <x:c r="C2621" s="14" t="d">
        <x:v>2026-04-01T00:00:00.000Z</x:v>
      </x:c>
      <x:c r="D2621" s="34" t="str">
        <x:v>0001</x:v>
      </x:c>
      <x:c r="E2621" s="7" t="str">
        <x:v>North</x:v>
      </x:c>
      <x:c r="F2621" s="7" t="n">
        <x:v>7</x:v>
      </x:c>
      <x:c r="G2621" s="7" t="n">
        <x:v>160</x:v>
      </x:c>
      <x:c r="H2621" s="9" t="n">
        <x:v>0</x:v>
      </x:c>
      <x:c r="I2621" s="7" t="n">
        <x:v>1120</x:v>
      </x:c>
    </x:row>
    <x:row r="2622" ht="23" customHeight="1">
      <x:c r="A2622" s="7" t="str">
        <x:v>INV02617</x:v>
      </x:c>
      <x:c r="B2622" s="15" t="d">
        <x:v>2026-04-26T00:00:00.000Z</x:v>
      </x:c>
      <x:c r="C2622" s="14" t="d">
        <x:v>2026-04-01T00:00:00.000Z</x:v>
      </x:c>
      <x:c r="D2622" s="34" t="str">
        <x:v>0002</x:v>
      </x:c>
      <x:c r="E2622" s="7" t="str">
        <x:v>North</x:v>
      </x:c>
      <x:c r="F2622" s="7" t="n">
        <x:v>3</x:v>
      </x:c>
      <x:c r="G2622" s="7" t="n">
        <x:v>180</x:v>
      </x:c>
      <x:c r="H2622" s="9" t="n">
        <x:v>0.02</x:v>
      </x:c>
      <x:c r="I2622" s="7" t="n">
        <x:v>529.2</x:v>
      </x:c>
    </x:row>
    <x:row r="2623" ht="23" customHeight="1">
      <x:c r="A2623" s="7" t="str">
        <x:v>INV02618</x:v>
      </x:c>
      <x:c r="B2623" s="15" t="d">
        <x:v>2026-04-27T00:00:00.000Z</x:v>
      </x:c>
      <x:c r="C2623" s="14" t="d">
        <x:v>2026-04-01T00:00:00.000Z</x:v>
      </x:c>
      <x:c r="D2623" s="34" t="str">
        <x:v>0003</x:v>
      </x:c>
      <x:c r="E2623" s="7" t="str">
        <x:v>North</x:v>
      </x:c>
      <x:c r="F2623" s="7" t="n">
        <x:v>6</x:v>
      </x:c>
      <x:c r="G2623" s="7" t="n">
        <x:v>200</x:v>
      </x:c>
      <x:c r="H2623" s="9" t="n">
        <x:v>0.05</x:v>
      </x:c>
      <x:c r="I2623" s="7" t="n">
        <x:v>1140</x:v>
      </x:c>
    </x:row>
    <x:row r="2624" ht="23" customHeight="1">
      <x:c r="A2624" s="7" t="str">
        <x:v>INV02619</x:v>
      </x:c>
      <x:c r="B2624" s="15" t="d">
        <x:v>2026-04-01T00:00:00.000Z</x:v>
      </x:c>
      <x:c r="C2624" s="14" t="d">
        <x:v>2026-04-01T00:00:00.000Z</x:v>
      </x:c>
      <x:c r="D2624" s="34" t="str">
        <x:v>0004</x:v>
      </x:c>
      <x:c r="E2624" s="7" t="str">
        <x:v>North</x:v>
      </x:c>
      <x:c r="F2624" s="7" t="n">
        <x:v>6</x:v>
      </x:c>
      <x:c r="G2624" s="7" t="n">
        <x:v>220</x:v>
      </x:c>
      <x:c r="H2624" s="9" t="n">
        <x:v>0</x:v>
      </x:c>
      <x:c r="I2624" s="7" t="n">
        <x:v>1320</x:v>
      </x:c>
    </x:row>
    <x:row r="2625" ht="23" customHeight="1">
      <x:c r="A2625" s="7" t="str">
        <x:v>INV02620</x:v>
      </x:c>
      <x:c r="B2625" s="15" t="d">
        <x:v>2026-04-02T00:00:00.000Z</x:v>
      </x:c>
      <x:c r="C2625" s="14" t="d">
        <x:v>2026-04-01T00:00:00.000Z</x:v>
      </x:c>
      <x:c r="D2625" s="34" t="str">
        <x:v>0005</x:v>
      </x:c>
      <x:c r="E2625" s="7" t="str">
        <x:v>North</x:v>
      </x:c>
      <x:c r="F2625" s="7" t="n">
        <x:v>1</x:v>
      </x:c>
      <x:c r="G2625" s="7" t="n">
        <x:v>240</x:v>
      </x:c>
      <x:c r="H2625" s="9" t="n">
        <x:v>0.02</x:v>
      </x:c>
      <x:c r="I2625" s="7" t="n">
        <x:v>235.2</x:v>
      </x:c>
    </x:row>
    <x:row r="2626" ht="23" customHeight="1">
      <x:c r="A2626" s="7" t="str">
        <x:v>INV02621</x:v>
      </x:c>
      <x:c r="B2626" s="15" t="d">
        <x:v>2026-04-03T00:00:00.000Z</x:v>
      </x:c>
      <x:c r="C2626" s="14" t="d">
        <x:v>2026-04-01T00:00:00.000Z</x:v>
      </x:c>
      <x:c r="D2626" s="34" t="str">
        <x:v>0006</x:v>
      </x:c>
      <x:c r="E2626" s="7" t="str">
        <x:v>North</x:v>
      </x:c>
      <x:c r="F2626" s="7" t="n">
        <x:v>1</x:v>
      </x:c>
      <x:c r="G2626" s="7" t="n">
        <x:v>260</x:v>
      </x:c>
      <x:c r="H2626" s="9" t="n">
        <x:v>0.05</x:v>
      </x:c>
      <x:c r="I2626" s="7" t="n">
        <x:v>247</x:v>
      </x:c>
    </x:row>
    <x:row r="2627" ht="23" customHeight="1">
      <x:c r="A2627" s="7" t="str">
        <x:v>INV02622</x:v>
      </x:c>
      <x:c r="B2627" s="15" t="d">
        <x:v>2026-04-04T00:00:00.000Z</x:v>
      </x:c>
      <x:c r="C2627" s="14" t="d">
        <x:v>2026-04-01T00:00:00.000Z</x:v>
      </x:c>
      <x:c r="D2627" s="34" t="str">
        <x:v>0007</x:v>
      </x:c>
      <x:c r="E2627" s="7" t="str">
        <x:v>North</x:v>
      </x:c>
      <x:c r="F2627" s="7" t="n">
        <x:v>2</x:v>
      </x:c>
      <x:c r="G2627" s="7" t="n">
        <x:v>280</x:v>
      </x:c>
      <x:c r="H2627" s="9" t="n">
        <x:v>0</x:v>
      </x:c>
      <x:c r="I2627" s="7" t="n">
        <x:v>560</x:v>
      </x:c>
    </x:row>
    <x:row r="2628" ht="23" customHeight="1">
      <x:c r="A2628" s="7" t="str">
        <x:v>INV02623</x:v>
      </x:c>
      <x:c r="B2628" s="15" t="d">
        <x:v>2026-04-05T00:00:00.000Z</x:v>
      </x:c>
      <x:c r="C2628" s="14" t="d">
        <x:v>2026-04-01T00:00:00.000Z</x:v>
      </x:c>
      <x:c r="D2628" s="34" t="str">
        <x:v>0008</x:v>
      </x:c>
      <x:c r="E2628" s="7" t="str">
        <x:v>North</x:v>
      </x:c>
      <x:c r="F2628" s="7" t="n">
        <x:v>2</x:v>
      </x:c>
      <x:c r="G2628" s="7" t="n">
        <x:v>300</x:v>
      </x:c>
      <x:c r="H2628" s="9" t="n">
        <x:v>0.02</x:v>
      </x:c>
      <x:c r="I2628" s="7" t="n">
        <x:v>588</x:v>
      </x:c>
    </x:row>
    <x:row r="2629" ht="23" customHeight="1">
      <x:c r="A2629" s="7" t="str">
        <x:v>INV02624</x:v>
      </x:c>
      <x:c r="B2629" s="15" t="d">
        <x:v>2026-05-06T00:00:00.000Z</x:v>
      </x:c>
      <x:c r="C2629" s="14" t="d">
        <x:v>2026-05-01T00:00:00.000Z</x:v>
      </x:c>
      <x:c r="D2629" s="34" t="str">
        <x:v>0001</x:v>
      </x:c>
      <x:c r="E2629" s="7" t="str">
        <x:v>Central</x:v>
      </x:c>
      <x:c r="F2629" s="7" t="n">
        <x:v>-1</x:v>
      </x:c>
      <x:c r="G2629" s="7" t="n">
        <x:v>160</x:v>
      </x:c>
      <x:c r="H2629" s="9" t="n">
        <x:v>0.05</x:v>
      </x:c>
      <x:c r="I2629" s="7" t="n">
        <x:v>-152</x:v>
      </x:c>
    </x:row>
    <x:row r="2630" ht="23" customHeight="1">
      <x:c r="A2630" s="7" t="str">
        <x:v>INV02625</x:v>
      </x:c>
      <x:c r="B2630" s="15" t="d">
        <x:v>2026-05-07T00:00:00.000Z</x:v>
      </x:c>
      <x:c r="C2630" s="14" t="d">
        <x:v>2026-05-01T00:00:00.000Z</x:v>
      </x:c>
      <x:c r="D2630" s="34" t="str">
        <x:v>0002</x:v>
      </x:c>
      <x:c r="E2630" s="7" t="str">
        <x:v>Central</x:v>
      </x:c>
      <x:c r="F2630" s="7" t="n">
        <x:v>7</x:v>
      </x:c>
      <x:c r="G2630" s="7" t="n">
        <x:v>180</x:v>
      </x:c>
      <x:c r="H2630" s="9" t="n">
        <x:v>0</x:v>
      </x:c>
      <x:c r="I2630" s="7" t="n">
        <x:v>1260</x:v>
      </x:c>
    </x:row>
    <x:row r="2631" ht="23" customHeight="1">
      <x:c r="A2631" s="7" t="str">
        <x:v>INV02626</x:v>
      </x:c>
      <x:c r="B2631" s="15" t="d">
        <x:v>2026-05-08T00:00:00.000Z</x:v>
      </x:c>
      <x:c r="C2631" s="14" t="d">
        <x:v>2026-05-01T00:00:00.000Z</x:v>
      </x:c>
      <x:c r="D2631" s="34" t="str">
        <x:v>0003</x:v>
      </x:c>
      <x:c r="E2631" s="7" t="str">
        <x:v>Central</x:v>
      </x:c>
      <x:c r="F2631" s="7" t="n">
        <x:v>2</x:v>
      </x:c>
      <x:c r="G2631" s="7" t="n">
        <x:v>200</x:v>
      </x:c>
      <x:c r="H2631" s="9" t="n">
        <x:v>0.02</x:v>
      </x:c>
      <x:c r="I2631" s="7" t="n">
        <x:v>392</x:v>
      </x:c>
    </x:row>
    <x:row r="2632" ht="23" customHeight="1">
      <x:c r="A2632" s="7" t="str">
        <x:v>INV02627</x:v>
      </x:c>
      <x:c r="B2632" s="15" t="d">
        <x:v>2026-05-09T00:00:00.000Z</x:v>
      </x:c>
      <x:c r="C2632" s="14" t="d">
        <x:v>2026-05-01T00:00:00.000Z</x:v>
      </x:c>
      <x:c r="D2632" s="34" t="str">
        <x:v>0004</x:v>
      </x:c>
      <x:c r="E2632" s="7" t="str">
        <x:v>Central</x:v>
      </x:c>
      <x:c r="F2632" s="7" t="n">
        <x:v>6</x:v>
      </x:c>
      <x:c r="G2632" s="7" t="n">
        <x:v>220</x:v>
      </x:c>
      <x:c r="H2632" s="9" t="n">
        <x:v>0.05</x:v>
      </x:c>
      <x:c r="I2632" s="7" t="n">
        <x:v>1254</x:v>
      </x:c>
    </x:row>
    <x:row r="2633" ht="23" customHeight="1">
      <x:c r="A2633" s="7" t="str">
        <x:v>INV02628</x:v>
      </x:c>
      <x:c r="B2633" s="15" t="d">
        <x:v>2026-05-10T00:00:00.000Z</x:v>
      </x:c>
      <x:c r="C2633" s="14" t="d">
        <x:v>2026-05-01T00:00:00.000Z</x:v>
      </x:c>
      <x:c r="D2633" s="34" t="str">
        <x:v>0005</x:v>
      </x:c>
      <x:c r="E2633" s="7" t="str">
        <x:v>Central</x:v>
      </x:c>
      <x:c r="F2633" s="7" t="n">
        <x:v>2</x:v>
      </x:c>
      <x:c r="G2633" s="7" t="n">
        <x:v>240</x:v>
      </x:c>
      <x:c r="H2633" s="9" t="n">
        <x:v>0</x:v>
      </x:c>
      <x:c r="I2633" s="7" t="n">
        <x:v>480</x:v>
      </x:c>
    </x:row>
    <x:row r="2634" ht="23" customHeight="1">
      <x:c r="A2634" s="7" t="str">
        <x:v>INV02629</x:v>
      </x:c>
      <x:c r="B2634" s="15" t="d">
        <x:v>2026-05-11T00:00:00.000Z</x:v>
      </x:c>
      <x:c r="C2634" s="14" t="d">
        <x:v>2026-05-01T00:00:00.000Z</x:v>
      </x:c>
      <x:c r="D2634" s="34" t="str">
        <x:v>0006</x:v>
      </x:c>
      <x:c r="E2634" s="7" t="str">
        <x:v>Central</x:v>
      </x:c>
      <x:c r="F2634" s="7" t="n">
        <x:v>6</x:v>
      </x:c>
      <x:c r="G2634" s="7" t="n">
        <x:v>260</x:v>
      </x:c>
      <x:c r="H2634" s="9" t="n">
        <x:v>0.02</x:v>
      </x:c>
      <x:c r="I2634" s="7" t="n">
        <x:v>1528.8</x:v>
      </x:c>
    </x:row>
    <x:row r="2635" ht="23" customHeight="1">
      <x:c r="A2635" s="7" t="str">
        <x:v>INV02630</x:v>
      </x:c>
      <x:c r="B2635" s="15" t="d">
        <x:v>2026-05-12T00:00:00.000Z</x:v>
      </x:c>
      <x:c r="C2635" s="14" t="d">
        <x:v>2026-05-01T00:00:00.000Z</x:v>
      </x:c>
      <x:c r="D2635" s="34" t="str">
        <x:v>0007</x:v>
      </x:c>
      <x:c r="E2635" s="7" t="str">
        <x:v>Central</x:v>
      </x:c>
      <x:c r="F2635" s="7" t="n">
        <x:v>7</x:v>
      </x:c>
      <x:c r="G2635" s="7" t="n">
        <x:v>280</x:v>
      </x:c>
      <x:c r="H2635" s="9" t="n">
        <x:v>0.05</x:v>
      </x:c>
      <x:c r="I2635" s="7" t="n">
        <x:v>1862</x:v>
      </x:c>
    </x:row>
    <x:row r="2636" ht="23" customHeight="1">
      <x:c r="A2636" s="7" t="str">
        <x:v>INV02631</x:v>
      </x:c>
      <x:c r="B2636" s="15" t="d">
        <x:v>2026-05-13T00:00:00.000Z</x:v>
      </x:c>
      <x:c r="C2636" s="14" t="d">
        <x:v>2026-05-01T00:00:00.000Z</x:v>
      </x:c>
      <x:c r="D2636" s="34" t="str">
        <x:v>0008</x:v>
      </x:c>
      <x:c r="E2636" s="7" t="str">
        <x:v>Central</x:v>
      </x:c>
      <x:c r="F2636" s="7" t="n">
        <x:v>5</x:v>
      </x:c>
      <x:c r="G2636" s="7" t="n">
        <x:v>300</x:v>
      </x:c>
      <x:c r="H2636" s="9" t="n">
        <x:v>0</x:v>
      </x:c>
      <x:c r="I2636" s="7" t="n">
        <x:v>1500</x:v>
      </x:c>
    </x:row>
    <x:row r="2637" ht="23" customHeight="1">
      <x:c r="A2637" s="7" t="str">
        <x:v>INV02632</x:v>
      </x:c>
      <x:c r="B2637" s="15" t="d">
        <x:v>2026-05-14T00:00:00.000Z</x:v>
      </x:c>
      <x:c r="C2637" s="14" t="d">
        <x:v>2026-05-01T00:00:00.000Z</x:v>
      </x:c>
      <x:c r="D2637" s="34" t="str">
        <x:v>0001</x:v>
      </x:c>
      <x:c r="E2637" s="7" t="str">
        <x:v>East</x:v>
      </x:c>
      <x:c r="F2637" s="7" t="n">
        <x:v>5</x:v>
      </x:c>
      <x:c r="G2637" s="7" t="n">
        <x:v>160</x:v>
      </x:c>
      <x:c r="H2637" s="9" t="n">
        <x:v>0.02</x:v>
      </x:c>
      <x:c r="I2637" s="7" t="n">
        <x:v>784</x:v>
      </x:c>
    </x:row>
    <x:row r="2638" ht="23" customHeight="1">
      <x:c r="A2638" s="7" t="str">
        <x:v>INV02633</x:v>
      </x:c>
      <x:c r="B2638" s="15" t="d">
        <x:v>2026-05-15T00:00:00.000Z</x:v>
      </x:c>
      <x:c r="C2638" s="14" t="d">
        <x:v>2026-05-01T00:00:00.000Z</x:v>
      </x:c>
      <x:c r="D2638" s="34" t="str">
        <x:v>0002</x:v>
      </x:c>
      <x:c r="E2638" s="7" t="str">
        <x:v>East</x:v>
      </x:c>
      <x:c r="F2638" s="7" t="n">
        <x:v>4</x:v>
      </x:c>
      <x:c r="G2638" s="7" t="n">
        <x:v>180</x:v>
      </x:c>
      <x:c r="H2638" s="9" t="n">
        <x:v>0.05</x:v>
      </x:c>
      <x:c r="I2638" s="7" t="n">
        <x:v>684</x:v>
      </x:c>
    </x:row>
    <x:row r="2639" ht="23" customHeight="1">
      <x:c r="A2639" s="7" t="str">
        <x:v>INV02634</x:v>
      </x:c>
      <x:c r="B2639" s="15" t="d">
        <x:v>2026-05-16T00:00:00.000Z</x:v>
      </x:c>
      <x:c r="C2639" s="14" t="d">
        <x:v>2026-05-01T00:00:00.000Z</x:v>
      </x:c>
      <x:c r="D2639" s="34" t="str">
        <x:v>0003</x:v>
      </x:c>
      <x:c r="E2639" s="7" t="str">
        <x:v>East</x:v>
      </x:c>
      <x:c r="F2639" s="7" t="n">
        <x:v>7</x:v>
      </x:c>
      <x:c r="G2639" s="7" t="n">
        <x:v>200</x:v>
      </x:c>
      <x:c r="H2639" s="9" t="n">
        <x:v>0</x:v>
      </x:c>
      <x:c r="I2639" s="7" t="n">
        <x:v>1400</x:v>
      </x:c>
    </x:row>
    <x:row r="2640" ht="23" customHeight="1">
      <x:c r="A2640" s="7" t="str">
        <x:v>INV02635</x:v>
      </x:c>
      <x:c r="B2640" s="15" t="d">
        <x:v>2026-05-17T00:00:00.000Z</x:v>
      </x:c>
      <x:c r="C2640" s="14" t="d">
        <x:v>2026-05-01T00:00:00.000Z</x:v>
      </x:c>
      <x:c r="D2640" s="34" t="str">
        <x:v>0004</x:v>
      </x:c>
      <x:c r="E2640" s="7" t="str">
        <x:v>East</x:v>
      </x:c>
      <x:c r="F2640" s="7" t="n">
        <x:v>3</x:v>
      </x:c>
      <x:c r="G2640" s="7" t="n">
        <x:v>220</x:v>
      </x:c>
      <x:c r="H2640" s="9" t="n">
        <x:v>0.02</x:v>
      </x:c>
      <x:c r="I2640" s="7" t="n">
        <x:v>646.8</x:v>
      </x:c>
    </x:row>
    <x:row r="2641" ht="23" customHeight="1">
      <x:c r="A2641" s="7" t="str">
        <x:v>INV02636</x:v>
      </x:c>
      <x:c r="B2641" s="15" t="d">
        <x:v>2026-05-18T00:00:00.000Z</x:v>
      </x:c>
      <x:c r="C2641" s="14" t="d">
        <x:v>2026-05-01T00:00:00.000Z</x:v>
      </x:c>
      <x:c r="D2641" s="34" t="str">
        <x:v>0005</x:v>
      </x:c>
      <x:c r="E2641" s="7" t="str">
        <x:v>East</x:v>
      </x:c>
      <x:c r="F2641" s="7" t="n">
        <x:v>1</x:v>
      </x:c>
      <x:c r="G2641" s="7" t="n">
        <x:v>240</x:v>
      </x:c>
      <x:c r="H2641" s="9" t="n">
        <x:v>0.05</x:v>
      </x:c>
      <x:c r="I2641" s="7" t="n">
        <x:v>228</x:v>
      </x:c>
    </x:row>
    <x:row r="2642" ht="23" customHeight="1">
      <x:c r="A2642" s="7" t="str">
        <x:v>INV02637</x:v>
      </x:c>
      <x:c r="B2642" s="15" t="d">
        <x:v>2026-05-19T00:00:00.000Z</x:v>
      </x:c>
      <x:c r="C2642" s="14" t="d">
        <x:v>2026-05-01T00:00:00.000Z</x:v>
      </x:c>
      <x:c r="D2642" s="34" t="str">
        <x:v>0006</x:v>
      </x:c>
      <x:c r="E2642" s="7" t="str">
        <x:v>East</x:v>
      </x:c>
      <x:c r="F2642" s="7" t="n">
        <x:v>2</x:v>
      </x:c>
      <x:c r="G2642" s="7" t="n">
        <x:v>260</x:v>
      </x:c>
      <x:c r="H2642" s="9" t="n">
        <x:v>0</x:v>
      </x:c>
      <x:c r="I2642" s="7" t="n">
        <x:v>520</x:v>
      </x:c>
    </x:row>
    <x:row r="2643" ht="23" customHeight="1">
      <x:c r="A2643" s="7" t="str">
        <x:v>INV02638</x:v>
      </x:c>
      <x:c r="B2643" s="15" t="d">
        <x:v>2026-05-20T00:00:00.000Z</x:v>
      </x:c>
      <x:c r="C2643" s="14" t="d">
        <x:v>2026-05-01T00:00:00.000Z</x:v>
      </x:c>
      <x:c r="D2643" s="34" t="str">
        <x:v>0007</x:v>
      </x:c>
      <x:c r="E2643" s="7" t="str">
        <x:v>East</x:v>
      </x:c>
      <x:c r="F2643" s="7" t="n">
        <x:v>3</x:v>
      </x:c>
      <x:c r="G2643" s="7" t="n">
        <x:v>280</x:v>
      </x:c>
      <x:c r="H2643" s="9" t="n">
        <x:v>0.02</x:v>
      </x:c>
      <x:c r="I2643" s="7" t="n">
        <x:v>823.2</x:v>
      </x:c>
    </x:row>
    <x:row r="2644" ht="23" customHeight="1">
      <x:c r="A2644" s="7" t="str">
        <x:v>INV02639</x:v>
      </x:c>
      <x:c r="B2644" s="15" t="d">
        <x:v>2026-05-21T00:00:00.000Z</x:v>
      </x:c>
      <x:c r="C2644" s="14" t="d">
        <x:v>2026-05-01T00:00:00.000Z</x:v>
      </x:c>
      <x:c r="D2644" s="34" t="str">
        <x:v>0008</x:v>
      </x:c>
      <x:c r="E2644" s="7" t="str">
        <x:v>East</x:v>
      </x:c>
      <x:c r="F2644" s="7" t="n">
        <x:v>2</x:v>
      </x:c>
      <x:c r="G2644" s="7" t="n">
        <x:v>300</x:v>
      </x:c>
      <x:c r="H2644" s="9" t="n">
        <x:v>0.05</x:v>
      </x:c>
      <x:c r="I2644" s="7" t="n">
        <x:v>570</x:v>
      </x:c>
    </x:row>
    <x:row r="2645" ht="23" customHeight="1">
      <x:c r="A2645" s="7" t="str">
        <x:v>INV02640</x:v>
      </x:c>
      <x:c r="B2645" s="15" t="d">
        <x:v>2026-05-22T00:00:00.000Z</x:v>
      </x:c>
      <x:c r="C2645" s="14" t="d">
        <x:v>2026-05-01T00:00:00.000Z</x:v>
      </x:c>
      <x:c r="D2645" s="34" t="str">
        <x:v>0001</x:v>
      </x:c>
      <x:c r="E2645" s="7" t="str">
        <x:v>West</x:v>
      </x:c>
      <x:c r="F2645" s="7" t="n">
        <x:v>5</x:v>
      </x:c>
      <x:c r="G2645" s="7" t="n">
        <x:v>160</x:v>
      </x:c>
      <x:c r="H2645" s="9" t="n">
        <x:v>0</x:v>
      </x:c>
      <x:c r="I2645" s="7" t="n">
        <x:v>800</x:v>
      </x:c>
    </x:row>
    <x:row r="2646" ht="23" customHeight="1">
      <x:c r="A2646" s="7" t="str">
        <x:v>INV02641</x:v>
      </x:c>
      <x:c r="B2646" s="15" t="d">
        <x:v>2026-05-23T00:00:00.000Z</x:v>
      </x:c>
      <x:c r="C2646" s="14" t="d">
        <x:v>2026-05-01T00:00:00.000Z</x:v>
      </x:c>
      <x:c r="D2646" s="34" t="str">
        <x:v>0002</x:v>
      </x:c>
      <x:c r="E2646" s="7" t="str">
        <x:v>West</x:v>
      </x:c>
      <x:c r="F2646" s="7" t="n">
        <x:v>2</x:v>
      </x:c>
      <x:c r="G2646" s="7" t="n">
        <x:v>180</x:v>
      </x:c>
      <x:c r="H2646" s="9" t="n">
        <x:v>0.02</x:v>
      </x:c>
      <x:c r="I2646" s="7" t="n">
        <x:v>352.8</x:v>
      </x:c>
    </x:row>
    <x:row r="2647" ht="23" customHeight="1">
      <x:c r="A2647" s="7" t="str">
        <x:v>INV02642</x:v>
      </x:c>
      <x:c r="B2647" s="15" t="d">
        <x:v>2026-05-24T00:00:00.000Z</x:v>
      </x:c>
      <x:c r="C2647" s="14" t="d">
        <x:v>2026-05-01T00:00:00.000Z</x:v>
      </x:c>
      <x:c r="D2647" s="34" t="str">
        <x:v>0003</x:v>
      </x:c>
      <x:c r="E2647" s="7" t="str">
        <x:v>West</x:v>
      </x:c>
      <x:c r="F2647" s="7" t="n">
        <x:v>1</x:v>
      </x:c>
      <x:c r="G2647" s="7" t="n">
        <x:v>200</x:v>
      </x:c>
      <x:c r="H2647" s="9" t="n">
        <x:v>0.05</x:v>
      </x:c>
      <x:c r="I2647" s="7" t="n">
        <x:v>190</x:v>
      </x:c>
    </x:row>
    <x:row r="2648" ht="23" customHeight="1">
      <x:c r="A2648" s="7" t="str">
        <x:v>INV02643</x:v>
      </x:c>
      <x:c r="B2648" s="15" t="d">
        <x:v>2026-05-25T00:00:00.000Z</x:v>
      </x:c>
      <x:c r="C2648" s="14" t="d">
        <x:v>2026-05-01T00:00:00.000Z</x:v>
      </x:c>
      <x:c r="D2648" s="34" t="str">
        <x:v>0004</x:v>
      </x:c>
      <x:c r="E2648" s="7" t="str">
        <x:v>West</x:v>
      </x:c>
      <x:c r="F2648" s="7" t="n">
        <x:v>4</x:v>
      </x:c>
      <x:c r="G2648" s="7" t="n">
        <x:v>220</x:v>
      </x:c>
      <x:c r="H2648" s="9" t="n">
        <x:v>0</x:v>
      </x:c>
      <x:c r="I2648" s="7" t="n">
        <x:v>880</x:v>
      </x:c>
    </x:row>
    <x:row r="2649" ht="23" customHeight="1">
      <x:c r="A2649" s="7" t="str">
        <x:v>INV02644</x:v>
      </x:c>
      <x:c r="B2649" s="15" t="d">
        <x:v>2026-05-26T00:00:00.000Z</x:v>
      </x:c>
      <x:c r="C2649" s="14" t="d">
        <x:v>2026-05-01T00:00:00.000Z</x:v>
      </x:c>
      <x:c r="D2649" s="34" t="str">
        <x:v>0005</x:v>
      </x:c>
      <x:c r="E2649" s="7" t="str">
        <x:v>West</x:v>
      </x:c>
      <x:c r="F2649" s="7" t="n">
        <x:v>4</x:v>
      </x:c>
      <x:c r="G2649" s="7" t="n">
        <x:v>240</x:v>
      </x:c>
      <x:c r="H2649" s="9" t="n">
        <x:v>0.02</x:v>
      </x:c>
      <x:c r="I2649" s="7" t="n">
        <x:v>940.8</x:v>
      </x:c>
    </x:row>
    <x:row r="2650" ht="23" customHeight="1">
      <x:c r="A2650" s="7" t="str">
        <x:v>INV02645</x:v>
      </x:c>
      <x:c r="B2650" s="15" t="d">
        <x:v>2026-05-27T00:00:00.000Z</x:v>
      </x:c>
      <x:c r="C2650" s="14" t="d">
        <x:v>2026-05-01T00:00:00.000Z</x:v>
      </x:c>
      <x:c r="D2650" s="34" t="str">
        <x:v>0006</x:v>
      </x:c>
      <x:c r="E2650" s="7" t="str">
        <x:v>West</x:v>
      </x:c>
      <x:c r="F2650" s="7" t="n">
        <x:v>4</x:v>
      </x:c>
      <x:c r="G2650" s="7" t="n">
        <x:v>260</x:v>
      </x:c>
      <x:c r="H2650" s="9" t="n">
        <x:v>0.05</x:v>
      </x:c>
      <x:c r="I2650" s="7" t="n">
        <x:v>988</x:v>
      </x:c>
    </x:row>
    <x:row r="2651" ht="23" customHeight="1">
      <x:c r="A2651" s="7" t="str">
        <x:v>INV02646</x:v>
      </x:c>
      <x:c r="B2651" s="15" t="d">
        <x:v>2026-05-01T00:00:00.000Z</x:v>
      </x:c>
      <x:c r="C2651" s="14" t="d">
        <x:v>2026-05-01T00:00:00.000Z</x:v>
      </x:c>
      <x:c r="D2651" s="34" t="str">
        <x:v>0007</x:v>
      </x:c>
      <x:c r="E2651" s="7" t="str">
        <x:v>West</x:v>
      </x:c>
      <x:c r="F2651" s="7" t="n">
        <x:v>7</x:v>
      </x:c>
      <x:c r="G2651" s="7" t="n">
        <x:v>280</x:v>
      </x:c>
      <x:c r="H2651" s="9" t="n">
        <x:v>0</x:v>
      </x:c>
      <x:c r="I2651" s="7" t="n">
        <x:v>1960</x:v>
      </x:c>
    </x:row>
    <x:row r="2652" ht="23" customHeight="1">
      <x:c r="A2652" s="7" t="str">
        <x:v>INV02647</x:v>
      </x:c>
      <x:c r="B2652" s="15" t="d">
        <x:v>2026-05-02T00:00:00.000Z</x:v>
      </x:c>
      <x:c r="C2652" s="14" t="d">
        <x:v>2026-05-01T00:00:00.000Z</x:v>
      </x:c>
      <x:c r="D2652" s="34" t="str">
        <x:v>0008</x:v>
      </x:c>
      <x:c r="E2652" s="7" t="str">
        <x:v>West</x:v>
      </x:c>
      <x:c r="F2652" s="7" t="n">
        <x:v>7</x:v>
      </x:c>
      <x:c r="G2652" s="7" t="n">
        <x:v>300</x:v>
      </x:c>
      <x:c r="H2652" s="9" t="n">
        <x:v>0.02</x:v>
      </x:c>
      <x:c r="I2652" s="7" t="n">
        <x:v>2058</x:v>
      </x:c>
    </x:row>
    <x:row r="2653" ht="23" customHeight="1">
      <x:c r="A2653" s="7" t="str">
        <x:v>INV02648</x:v>
      </x:c>
      <x:c r="B2653" s="15" t="d">
        <x:v>2026-05-03T00:00:00.000Z</x:v>
      </x:c>
      <x:c r="C2653" s="14" t="d">
        <x:v>2026-05-01T00:00:00.000Z</x:v>
      </x:c>
      <x:c r="D2653" s="34" t="str">
        <x:v>0001</x:v>
      </x:c>
      <x:c r="E2653" s="7" t="str">
        <x:v>North</x:v>
      </x:c>
      <x:c r="F2653" s="7" t="n">
        <x:v>6</x:v>
      </x:c>
      <x:c r="G2653" s="7" t="n">
        <x:v>160</x:v>
      </x:c>
      <x:c r="H2653" s="9" t="n">
        <x:v>0.05</x:v>
      </x:c>
      <x:c r="I2653" s="7" t="n">
        <x:v>912</x:v>
      </x:c>
    </x:row>
    <x:row r="2654" ht="23" customHeight="1">
      <x:c r="A2654" s="7" t="str">
        <x:v>INV02649</x:v>
      </x:c>
      <x:c r="B2654" s="15" t="d">
        <x:v>2026-05-04T00:00:00.000Z</x:v>
      </x:c>
      <x:c r="C2654" s="14" t="d">
        <x:v>2026-05-01T00:00:00.000Z</x:v>
      </x:c>
      <x:c r="D2654" s="34" t="str">
        <x:v>0002</x:v>
      </x:c>
      <x:c r="E2654" s="7" t="str">
        <x:v>North</x:v>
      </x:c>
      <x:c r="F2654" s="7" t="n">
        <x:v>7</x:v>
      </x:c>
      <x:c r="G2654" s="7" t="n">
        <x:v>180</x:v>
      </x:c>
      <x:c r="H2654" s="9" t="n">
        <x:v>0</x:v>
      </x:c>
      <x:c r="I2654" s="7" t="n">
        <x:v>1260</x:v>
      </x:c>
    </x:row>
    <x:row r="2655" ht="23" customHeight="1">
      <x:c r="A2655" s="7" t="str">
        <x:v>INV02650</x:v>
      </x:c>
      <x:c r="B2655" s="15" t="d">
        <x:v>2026-05-05T00:00:00.000Z</x:v>
      </x:c>
      <x:c r="C2655" s="14" t="d">
        <x:v>2026-05-01T00:00:00.000Z</x:v>
      </x:c>
      <x:c r="D2655" s="34" t="str">
        <x:v>0003</x:v>
      </x:c>
      <x:c r="E2655" s="7" t="str">
        <x:v>North</x:v>
      </x:c>
      <x:c r="F2655" s="7" t="n">
        <x:v>5</x:v>
      </x:c>
      <x:c r="G2655" s="7" t="n">
        <x:v>200</x:v>
      </x:c>
      <x:c r="H2655" s="9" t="n">
        <x:v>0.02</x:v>
      </x:c>
      <x:c r="I2655" s="7" t="n">
        <x:v>980</x:v>
      </x:c>
    </x:row>
    <x:row r="2656" ht="23" customHeight="1">
      <x:c r="A2656" s="7" t="str">
        <x:v>INV02651</x:v>
      </x:c>
      <x:c r="B2656" s="15" t="d">
        <x:v>2026-05-06T00:00:00.000Z</x:v>
      </x:c>
      <x:c r="C2656" s="14" t="d">
        <x:v>2026-05-01T00:00:00.000Z</x:v>
      </x:c>
      <x:c r="D2656" s="34" t="str">
        <x:v>0004</x:v>
      </x:c>
      <x:c r="E2656" s="7" t="str">
        <x:v>North</x:v>
      </x:c>
      <x:c r="F2656" s="7" t="n">
        <x:v>5</x:v>
      </x:c>
      <x:c r="G2656" s="7" t="n">
        <x:v>220</x:v>
      </x:c>
      <x:c r="H2656" s="9" t="n">
        <x:v>0.05</x:v>
      </x:c>
      <x:c r="I2656" s="7" t="n">
        <x:v>1045</x:v>
      </x:c>
    </x:row>
    <x:row r="2657" ht="23" customHeight="1">
      <x:c r="A2657" s="7" t="str">
        <x:v>INV02652</x:v>
      </x:c>
      <x:c r="B2657" s="15" t="d">
        <x:v>2026-05-07T00:00:00.000Z</x:v>
      </x:c>
      <x:c r="C2657" s="14" t="d">
        <x:v>2026-05-01T00:00:00.000Z</x:v>
      </x:c>
      <x:c r="D2657" s="34" t="str">
        <x:v>0005</x:v>
      </x:c>
      <x:c r="E2657" s="7" t="str">
        <x:v>North</x:v>
      </x:c>
      <x:c r="F2657" s="7" t="n">
        <x:v>4</x:v>
      </x:c>
      <x:c r="G2657" s="7" t="n">
        <x:v>240</x:v>
      </x:c>
      <x:c r="H2657" s="9" t="n">
        <x:v>0</x:v>
      </x:c>
      <x:c r="I2657" s="7" t="n">
        <x:v>960</x:v>
      </x:c>
    </x:row>
    <x:row r="2658" ht="23" customHeight="1">
      <x:c r="A2658" s="7" t="str">
        <x:v>INV02653</x:v>
      </x:c>
      <x:c r="B2658" s="15" t="d">
        <x:v>2026-05-08T00:00:00.000Z</x:v>
      </x:c>
      <x:c r="C2658" s="14" t="d">
        <x:v>2026-05-01T00:00:00.000Z</x:v>
      </x:c>
      <x:c r="D2658" s="34" t="str">
        <x:v>0006</x:v>
      </x:c>
      <x:c r="E2658" s="7" t="str">
        <x:v>North</x:v>
      </x:c>
      <x:c r="F2658" s="7" t="n">
        <x:v>7</x:v>
      </x:c>
      <x:c r="G2658" s="7" t="n">
        <x:v>260</x:v>
      </x:c>
      <x:c r="H2658" s="9" t="n">
        <x:v>0.02</x:v>
      </x:c>
      <x:c r="I2658" s="7" t="n">
        <x:v>1783.6</x:v>
      </x:c>
    </x:row>
    <x:row r="2659" ht="23" customHeight="1">
      <x:c r="A2659" s="7" t="str">
        <x:v>INV02654</x:v>
      </x:c>
      <x:c r="B2659" s="15" t="d">
        <x:v>2026-05-09T00:00:00.000Z</x:v>
      </x:c>
      <x:c r="C2659" s="14" t="d">
        <x:v>2026-05-01T00:00:00.000Z</x:v>
      </x:c>
      <x:c r="D2659" s="34" t="str">
        <x:v>0007</x:v>
      </x:c>
      <x:c r="E2659" s="7" t="str">
        <x:v>North</x:v>
      </x:c>
      <x:c r="F2659" s="7" t="n">
        <x:v>3</x:v>
      </x:c>
      <x:c r="G2659" s="7" t="n">
        <x:v>280</x:v>
      </x:c>
      <x:c r="H2659" s="9" t="n">
        <x:v>0.05</x:v>
      </x:c>
      <x:c r="I2659" s="7" t="n">
        <x:v>798</x:v>
      </x:c>
    </x:row>
    <x:row r="2660" ht="23" customHeight="1">
      <x:c r="A2660" s="7" t="str">
        <x:v>INV02655</x:v>
      </x:c>
      <x:c r="B2660" s="15" t="d">
        <x:v>2026-05-10T00:00:00.000Z</x:v>
      </x:c>
      <x:c r="C2660" s="14" t="d">
        <x:v>2026-05-01T00:00:00.000Z</x:v>
      </x:c>
      <x:c r="D2660" s="34" t="str">
        <x:v>0008</x:v>
      </x:c>
      <x:c r="E2660" s="7" t="str">
        <x:v>North</x:v>
      </x:c>
      <x:c r="F2660" s="7" t="n">
        <x:v>2</x:v>
      </x:c>
      <x:c r="G2660" s="7" t="n">
        <x:v>300</x:v>
      </x:c>
      <x:c r="H2660" s="9" t="n">
        <x:v>0</x:v>
      </x:c>
      <x:c r="I2660" s="7" t="n">
        <x:v>600</x:v>
      </x:c>
    </x:row>
    <x:row r="2661" ht="23" customHeight="1">
      <x:c r="A2661" s="7" t="str">
        <x:v>INV02656</x:v>
      </x:c>
      <x:c r="B2661" s="15" t="d">
        <x:v>2026-06-11T00:00:00.000Z</x:v>
      </x:c>
      <x:c r="C2661" s="14" t="d">
        <x:v>2026-06-01T00:00:00.000Z</x:v>
      </x:c>
      <x:c r="D2661" s="34" t="str">
        <x:v>0001</x:v>
      </x:c>
      <x:c r="E2661" s="7" t="str">
        <x:v>Central</x:v>
      </x:c>
      <x:c r="F2661" s="7" t="n">
        <x:v>4</x:v>
      </x:c>
      <x:c r="G2661" s="7" t="n">
        <x:v>160</x:v>
      </x:c>
      <x:c r="H2661" s="9" t="n">
        <x:v>0.02</x:v>
      </x:c>
      <x:c r="I2661" s="7" t="n">
        <x:v>627.2</x:v>
      </x:c>
    </x:row>
    <x:row r="2662" ht="23" customHeight="1">
      <x:c r="A2662" s="7" t="str">
        <x:v>INV02657</x:v>
      </x:c>
      <x:c r="B2662" s="15" t="d">
        <x:v>2026-06-12T00:00:00.000Z</x:v>
      </x:c>
      <x:c r="C2662" s="14" t="d">
        <x:v>2026-06-01T00:00:00.000Z</x:v>
      </x:c>
      <x:c r="D2662" s="34" t="str">
        <x:v>0002</x:v>
      </x:c>
      <x:c r="E2662" s="7" t="str">
        <x:v>Central</x:v>
      </x:c>
      <x:c r="F2662" s="7" t="n">
        <x:v>1</x:v>
      </x:c>
      <x:c r="G2662" s="7" t="n">
        <x:v>180</x:v>
      </x:c>
      <x:c r="H2662" s="9" t="n">
        <x:v>0.05</x:v>
      </x:c>
      <x:c r="I2662" s="7" t="n">
        <x:v>171</x:v>
      </x:c>
    </x:row>
    <x:row r="2663" ht="23" customHeight="1">
      <x:c r="A2663" s="7" t="str">
        <x:v>INV02658</x:v>
      </x:c>
      <x:c r="B2663" s="15" t="d">
        <x:v>2026-06-13T00:00:00.000Z</x:v>
      </x:c>
      <x:c r="C2663" s="14" t="d">
        <x:v>2026-06-01T00:00:00.000Z</x:v>
      </x:c>
      <x:c r="D2663" s="34" t="str">
        <x:v>0003</x:v>
      </x:c>
      <x:c r="E2663" s="7" t="str">
        <x:v>Central</x:v>
      </x:c>
      <x:c r="F2663" s="7" t="n">
        <x:v>1</x:v>
      </x:c>
      <x:c r="G2663" s="7" t="n">
        <x:v>200</x:v>
      </x:c>
      <x:c r="H2663" s="9" t="n">
        <x:v>0</x:v>
      </x:c>
      <x:c r="I2663" s="7" t="n">
        <x:v>200</x:v>
      </x:c>
    </x:row>
    <x:row r="2664" ht="23" customHeight="1">
      <x:c r="A2664" s="7" t="str">
        <x:v>INV02659</x:v>
      </x:c>
      <x:c r="B2664" s="15" t="d">
        <x:v>2026-06-14T00:00:00.000Z</x:v>
      </x:c>
      <x:c r="C2664" s="14" t="d">
        <x:v>2026-06-01T00:00:00.000Z</x:v>
      </x:c>
      <x:c r="D2664" s="34" t="str">
        <x:v>0004</x:v>
      </x:c>
      <x:c r="E2664" s="7" t="str">
        <x:v>Central</x:v>
      </x:c>
      <x:c r="F2664" s="7" t="n">
        <x:v>2</x:v>
      </x:c>
      <x:c r="G2664" s="7" t="n">
        <x:v>220</x:v>
      </x:c>
      <x:c r="H2664" s="9" t="n">
        <x:v>0.02</x:v>
      </x:c>
      <x:c r="I2664" s="7" t="n">
        <x:v>431.2</x:v>
      </x:c>
    </x:row>
    <x:row r="2665" ht="23" customHeight="1">
      <x:c r="A2665" s="7" t="str">
        <x:v>INV02660</x:v>
      </x:c>
      <x:c r="B2665" s="15" t="d">
        <x:v>2026-06-15T00:00:00.000Z</x:v>
      </x:c>
      <x:c r="C2665" s="14" t="d">
        <x:v>2026-06-01T00:00:00.000Z</x:v>
      </x:c>
      <x:c r="D2665" s="34" t="str">
        <x:v>0005</x:v>
      </x:c>
      <x:c r="E2665" s="7" t="str">
        <x:v>Central</x:v>
      </x:c>
      <x:c r="F2665" s="7" t="n">
        <x:v>6</x:v>
      </x:c>
      <x:c r="G2665" s="7" t="n">
        <x:v>240</x:v>
      </x:c>
      <x:c r="H2665" s="9" t="n">
        <x:v>0.05</x:v>
      </x:c>
      <x:c r="I2665" s="7" t="n">
        <x:v>1368</x:v>
      </x:c>
    </x:row>
    <x:row r="2666" ht="23" customHeight="1">
      <x:c r="A2666" s="7" t="str">
        <x:v>INV02661</x:v>
      </x:c>
      <x:c r="B2666" s="15" t="d">
        <x:v>2026-06-16T00:00:00.000Z</x:v>
      </x:c>
      <x:c r="C2666" s="14" t="d">
        <x:v>2026-06-01T00:00:00.000Z</x:v>
      </x:c>
      <x:c r="D2666" s="34" t="str">
        <x:v>0006</x:v>
      </x:c>
      <x:c r="E2666" s="7" t="str">
        <x:v>Central</x:v>
      </x:c>
      <x:c r="F2666" s="7" t="n">
        <x:v>2</x:v>
      </x:c>
      <x:c r="G2666" s="7" t="n">
        <x:v>260</x:v>
      </x:c>
      <x:c r="H2666" s="9" t="n">
        <x:v>0</x:v>
      </x:c>
      <x:c r="I2666" s="7" t="n">
        <x:v>520</x:v>
      </x:c>
    </x:row>
    <x:row r="2667" ht="23" customHeight="1">
      <x:c r="A2667" s="7" t="str">
        <x:v>INV02662</x:v>
      </x:c>
      <x:c r="B2667" s="15" t="d">
        <x:v>2026-06-17T00:00:00.000Z</x:v>
      </x:c>
      <x:c r="C2667" s="14" t="d">
        <x:v>2026-06-01T00:00:00.000Z</x:v>
      </x:c>
      <x:c r="D2667" s="34" t="str">
        <x:v>0007</x:v>
      </x:c>
      <x:c r="E2667" s="7" t="str">
        <x:v>Central</x:v>
      </x:c>
      <x:c r="F2667" s="7" t="n">
        <x:v>3</x:v>
      </x:c>
      <x:c r="G2667" s="7" t="n">
        <x:v>280</x:v>
      </x:c>
      <x:c r="H2667" s="9" t="n">
        <x:v>0.02</x:v>
      </x:c>
      <x:c r="I2667" s="7" t="n">
        <x:v>823.2</x:v>
      </x:c>
    </x:row>
    <x:row r="2668" ht="23" customHeight="1">
      <x:c r="A2668" s="7" t="str">
        <x:v>INV02663</x:v>
      </x:c>
      <x:c r="B2668" s="15" t="d">
        <x:v>2026-06-18T00:00:00.000Z</x:v>
      </x:c>
      <x:c r="C2668" s="14" t="d">
        <x:v>2026-06-01T00:00:00.000Z</x:v>
      </x:c>
      <x:c r="D2668" s="34" t="str">
        <x:v>0008</x:v>
      </x:c>
      <x:c r="E2668" s="7" t="str">
        <x:v>Central</x:v>
      </x:c>
      <x:c r="F2668" s="7" t="n">
        <x:v>3</x:v>
      </x:c>
      <x:c r="G2668" s="7" t="n">
        <x:v>300</x:v>
      </x:c>
      <x:c r="H2668" s="9" t="n">
        <x:v>0.05</x:v>
      </x:c>
      <x:c r="I2668" s="7" t="n">
        <x:v>855</x:v>
      </x:c>
    </x:row>
    <x:row r="2669" ht="23" customHeight="1">
      <x:c r="A2669" s="7" t="str">
        <x:v>INV02664</x:v>
      </x:c>
      <x:c r="B2669" s="15" t="d">
        <x:v>2026-06-19T00:00:00.000Z</x:v>
      </x:c>
      <x:c r="C2669" s="14" t="d">
        <x:v>2026-06-01T00:00:00.000Z</x:v>
      </x:c>
      <x:c r="D2669" s="34" t="str">
        <x:v>0001</x:v>
      </x:c>
      <x:c r="E2669" s="7" t="str">
        <x:v>East</x:v>
      </x:c>
      <x:c r="F2669" s="7" t="n">
        <x:v>6</x:v>
      </x:c>
      <x:c r="G2669" s="7" t="n">
        <x:v>160</x:v>
      </x:c>
      <x:c r="H2669" s="9" t="n">
        <x:v>0</x:v>
      </x:c>
      <x:c r="I2669" s="7" t="n">
        <x:v>960</x:v>
      </x:c>
    </x:row>
    <x:row r="2670" ht="23" customHeight="1">
      <x:c r="A2670" s="7" t="str">
        <x:v>INV02665</x:v>
      </x:c>
      <x:c r="B2670" s="15" t="d">
        <x:v>2026-06-20T00:00:00.000Z</x:v>
      </x:c>
      <x:c r="C2670" s="14" t="d">
        <x:v>2026-06-01T00:00:00.000Z</x:v>
      </x:c>
      <x:c r="D2670" s="34" t="str">
        <x:v>0002</x:v>
      </x:c>
      <x:c r="E2670" s="7" t="str">
        <x:v>East</x:v>
      </x:c>
      <x:c r="F2670" s="7" t="n">
        <x:v>-3</x:v>
      </x:c>
      <x:c r="G2670" s="7" t="n">
        <x:v>180</x:v>
      </x:c>
      <x:c r="H2670" s="9" t="n">
        <x:v>0.02</x:v>
      </x:c>
      <x:c r="I2670" s="7" t="n">
        <x:v>-529.2</x:v>
      </x:c>
    </x:row>
    <x:row r="2671" ht="23" customHeight="1">
      <x:c r="A2671" s="7" t="str">
        <x:v>INV02666</x:v>
      </x:c>
      <x:c r="B2671" s="15" t="d">
        <x:v>2026-06-21T00:00:00.000Z</x:v>
      </x:c>
      <x:c r="C2671" s="14" t="d">
        <x:v>2026-06-01T00:00:00.000Z</x:v>
      </x:c>
      <x:c r="D2671" s="34" t="str">
        <x:v>0003</x:v>
      </x:c>
      <x:c r="E2671" s="7" t="str">
        <x:v>East</x:v>
      </x:c>
      <x:c r="F2671" s="7" t="n">
        <x:v>4</x:v>
      </x:c>
      <x:c r="G2671" s="7" t="n">
        <x:v>200</x:v>
      </x:c>
      <x:c r="H2671" s="9" t="n">
        <x:v>0.05</x:v>
      </x:c>
      <x:c r="I2671" s="7" t="n">
        <x:v>760</x:v>
      </x:c>
    </x:row>
    <x:row r="2672" ht="23" customHeight="1">
      <x:c r="A2672" s="7" t="str">
        <x:v>INV02667</x:v>
      </x:c>
      <x:c r="B2672" s="15" t="d">
        <x:v>2026-06-22T00:00:00.000Z</x:v>
      </x:c>
      <x:c r="C2672" s="14" t="d">
        <x:v>2026-06-01T00:00:00.000Z</x:v>
      </x:c>
      <x:c r="D2672" s="34" t="str">
        <x:v>0004</x:v>
      </x:c>
      <x:c r="E2672" s="7" t="str">
        <x:v>East</x:v>
      </x:c>
      <x:c r="F2672" s="7" t="n">
        <x:v>3</x:v>
      </x:c>
      <x:c r="G2672" s="7" t="n">
        <x:v>220</x:v>
      </x:c>
      <x:c r="H2672" s="9" t="n">
        <x:v>0</x:v>
      </x:c>
      <x:c r="I2672" s="7" t="n">
        <x:v>660</x:v>
      </x:c>
    </x:row>
    <x:row r="2673" ht="23" customHeight="1">
      <x:c r="A2673" s="7" t="str">
        <x:v>INV02668</x:v>
      </x:c>
      <x:c r="B2673" s="15" t="d">
        <x:v>2026-06-23T00:00:00.000Z</x:v>
      </x:c>
      <x:c r="C2673" s="14" t="d">
        <x:v>2026-06-01T00:00:00.000Z</x:v>
      </x:c>
      <x:c r="D2673" s="34" t="str">
        <x:v>0005</x:v>
      </x:c>
      <x:c r="E2673" s="7" t="str">
        <x:v>East</x:v>
      </x:c>
      <x:c r="F2673" s="7" t="n">
        <x:v>4</x:v>
      </x:c>
      <x:c r="G2673" s="7" t="n">
        <x:v>240</x:v>
      </x:c>
      <x:c r="H2673" s="9" t="n">
        <x:v>0.02</x:v>
      </x:c>
      <x:c r="I2673" s="7" t="n">
        <x:v>940.8</x:v>
      </x:c>
    </x:row>
    <x:row r="2674" ht="23" customHeight="1">
      <x:c r="A2674" s="7" t="str">
        <x:v>INV02669</x:v>
      </x:c>
      <x:c r="B2674" s="15" t="d">
        <x:v>2026-06-24T00:00:00.000Z</x:v>
      </x:c>
      <x:c r="C2674" s="14" t="d">
        <x:v>2026-06-01T00:00:00.000Z</x:v>
      </x:c>
      <x:c r="D2674" s="34" t="str">
        <x:v>0006</x:v>
      </x:c>
      <x:c r="E2674" s="7" t="str">
        <x:v>East</x:v>
      </x:c>
      <x:c r="F2674" s="7" t="n">
        <x:v>4</x:v>
      </x:c>
      <x:c r="G2674" s="7" t="n">
        <x:v>260</x:v>
      </x:c>
      <x:c r="H2674" s="9" t="n">
        <x:v>0.05</x:v>
      </x:c>
      <x:c r="I2674" s="7" t="n">
        <x:v>988</x:v>
      </x:c>
    </x:row>
    <x:row r="2675" ht="23" customHeight="1">
      <x:c r="A2675" s="7" t="str">
        <x:v>INV02670</x:v>
      </x:c>
      <x:c r="B2675" s="15" t="d">
        <x:v>2026-06-25T00:00:00.000Z</x:v>
      </x:c>
      <x:c r="C2675" s="14" t="d">
        <x:v>2026-06-01T00:00:00.000Z</x:v>
      </x:c>
      <x:c r="D2675" s="34" t="str">
        <x:v>0007</x:v>
      </x:c>
      <x:c r="E2675" s="7" t="str">
        <x:v>East</x:v>
      </x:c>
      <x:c r="F2675" s="7" t="n">
        <x:v>1</x:v>
      </x:c>
      <x:c r="G2675" s="7" t="n">
        <x:v>280</x:v>
      </x:c>
      <x:c r="H2675" s="9" t="n">
        <x:v>0</x:v>
      </x:c>
      <x:c r="I2675" s="7" t="n">
        <x:v>280</x:v>
      </x:c>
    </x:row>
    <x:row r="2676" ht="23" customHeight="1">
      <x:c r="A2676" s="7" t="str">
        <x:v>INV02671</x:v>
      </x:c>
      <x:c r="B2676" s="15" t="d">
        <x:v>2026-06-26T00:00:00.000Z</x:v>
      </x:c>
      <x:c r="C2676" s="14" t="d">
        <x:v>2026-06-01T00:00:00.000Z</x:v>
      </x:c>
      <x:c r="D2676" s="34" t="str">
        <x:v>0008</x:v>
      </x:c>
      <x:c r="E2676" s="7" t="str">
        <x:v>East</x:v>
      </x:c>
      <x:c r="F2676" s="7" t="n">
        <x:v>6</x:v>
      </x:c>
      <x:c r="G2676" s="7" t="n">
        <x:v>300</x:v>
      </x:c>
      <x:c r="H2676" s="9" t="n">
        <x:v>0.02</x:v>
      </x:c>
      <x:c r="I2676" s="7" t="n">
        <x:v>1764</x:v>
      </x:c>
    </x:row>
    <x:row r="2677" ht="23" customHeight="1">
      <x:c r="A2677" s="7" t="str">
        <x:v>INV02672</x:v>
      </x:c>
      <x:c r="B2677" s="15" t="d">
        <x:v>2026-06-27T00:00:00.000Z</x:v>
      </x:c>
      <x:c r="C2677" s="14" t="d">
        <x:v>2026-06-01T00:00:00.000Z</x:v>
      </x:c>
      <x:c r="D2677" s="34" t="str">
        <x:v>0001</x:v>
      </x:c>
      <x:c r="E2677" s="7" t="str">
        <x:v>West</x:v>
      </x:c>
      <x:c r="F2677" s="7" t="n">
        <x:v>2</x:v>
      </x:c>
      <x:c r="G2677" s="7" t="n">
        <x:v>160</x:v>
      </x:c>
      <x:c r="H2677" s="9" t="n">
        <x:v>0.05</x:v>
      </x:c>
      <x:c r="I2677" s="7" t="n">
        <x:v>304</x:v>
      </x:c>
    </x:row>
    <x:row r="2678" ht="23" customHeight="1">
      <x:c r="A2678" s="7" t="str">
        <x:v>INV02673</x:v>
      </x:c>
      <x:c r="B2678" s="15" t="d">
        <x:v>2026-06-01T00:00:00.000Z</x:v>
      </x:c>
      <x:c r="C2678" s="14" t="d">
        <x:v>2026-06-01T00:00:00.000Z</x:v>
      </x:c>
      <x:c r="D2678" s="34" t="str">
        <x:v>0002</x:v>
      </x:c>
      <x:c r="E2678" s="7" t="str">
        <x:v>West</x:v>
      </x:c>
      <x:c r="F2678" s="7" t="n">
        <x:v>5</x:v>
      </x:c>
      <x:c r="G2678" s="7" t="n">
        <x:v>180</x:v>
      </x:c>
      <x:c r="H2678" s="9" t="n">
        <x:v>0</x:v>
      </x:c>
      <x:c r="I2678" s="7" t="n">
        <x:v>900</x:v>
      </x:c>
    </x:row>
    <x:row r="2679" ht="23" customHeight="1">
      <x:c r="A2679" s="7" t="str">
        <x:v>INV02674</x:v>
      </x:c>
      <x:c r="B2679" s="15" t="d">
        <x:v>2026-06-02T00:00:00.000Z</x:v>
      </x:c>
      <x:c r="C2679" s="14" t="d">
        <x:v>2026-06-01T00:00:00.000Z</x:v>
      </x:c>
      <x:c r="D2679" s="34" t="str">
        <x:v>0003</x:v>
      </x:c>
      <x:c r="E2679" s="7" t="str">
        <x:v>West</x:v>
      </x:c>
      <x:c r="F2679" s="7" t="n">
        <x:v>5</x:v>
      </x:c>
      <x:c r="G2679" s="7" t="n">
        <x:v>200</x:v>
      </x:c>
      <x:c r="H2679" s="9" t="n">
        <x:v>0.02</x:v>
      </x:c>
      <x:c r="I2679" s="7" t="n">
        <x:v>980</x:v>
      </x:c>
    </x:row>
    <x:row r="2680" ht="23" customHeight="1">
      <x:c r="A2680" s="7" t="str">
        <x:v>INV02675</x:v>
      </x:c>
      <x:c r="B2680" s="15" t="d">
        <x:v>2026-06-03T00:00:00.000Z</x:v>
      </x:c>
      <x:c r="C2680" s="14" t="d">
        <x:v>2026-06-01T00:00:00.000Z</x:v>
      </x:c>
      <x:c r="D2680" s="34" t="str">
        <x:v>0004</x:v>
      </x:c>
      <x:c r="E2680" s="7" t="str">
        <x:v>West</x:v>
      </x:c>
      <x:c r="F2680" s="7" t="n">
        <x:v>4</x:v>
      </x:c>
      <x:c r="G2680" s="7" t="n">
        <x:v>220</x:v>
      </x:c>
      <x:c r="H2680" s="9" t="n">
        <x:v>0.05</x:v>
      </x:c>
      <x:c r="I2680" s="7" t="n">
        <x:v>836</x:v>
      </x:c>
    </x:row>
    <x:row r="2681" ht="23" customHeight="1">
      <x:c r="A2681" s="7" t="str">
        <x:v>INV02676</x:v>
      </x:c>
      <x:c r="B2681" s="15" t="d">
        <x:v>2026-06-04T00:00:00.000Z</x:v>
      </x:c>
      <x:c r="C2681" s="14" t="d">
        <x:v>2026-06-01T00:00:00.000Z</x:v>
      </x:c>
      <x:c r="D2681" s="34" t="str">
        <x:v>0005</x:v>
      </x:c>
      <x:c r="E2681" s="7" t="str">
        <x:v>West</x:v>
      </x:c>
      <x:c r="F2681" s="7" t="n">
        <x:v>1</x:v>
      </x:c>
      <x:c r="G2681" s="7" t="n">
        <x:v>240</x:v>
      </x:c>
      <x:c r="H2681" s="9" t="n">
        <x:v>0</x:v>
      </x:c>
      <x:c r="I2681" s="7" t="n">
        <x:v>240</x:v>
      </x:c>
    </x:row>
    <x:row r="2682" ht="23" customHeight="1">
      <x:c r="A2682" s="7" t="str">
        <x:v>INV02677</x:v>
      </x:c>
      <x:c r="B2682" s="15" t="d">
        <x:v>2026-06-05T00:00:00.000Z</x:v>
      </x:c>
      <x:c r="C2682" s="14" t="d">
        <x:v>2026-06-01T00:00:00.000Z</x:v>
      </x:c>
      <x:c r="D2682" s="34" t="str">
        <x:v>0006</x:v>
      </x:c>
      <x:c r="E2682" s="7" t="str">
        <x:v>West</x:v>
      </x:c>
      <x:c r="F2682" s="7" t="n">
        <x:v>1</x:v>
      </x:c>
      <x:c r="G2682" s="7" t="n">
        <x:v>260</x:v>
      </x:c>
      <x:c r="H2682" s="9" t="n">
        <x:v>0.02</x:v>
      </x:c>
      <x:c r="I2682" s="7" t="n">
        <x:v>254.8</x:v>
      </x:c>
    </x:row>
    <x:row r="2683" ht="23" customHeight="1">
      <x:c r="A2683" s="7" t="str">
        <x:v>INV02678</x:v>
      </x:c>
      <x:c r="B2683" s="15" t="d">
        <x:v>2026-06-06T00:00:00.000Z</x:v>
      </x:c>
      <x:c r="C2683" s="14" t="d">
        <x:v>2026-06-01T00:00:00.000Z</x:v>
      </x:c>
      <x:c r="D2683" s="34" t="str">
        <x:v>0007</x:v>
      </x:c>
      <x:c r="E2683" s="7" t="str">
        <x:v>West</x:v>
      </x:c>
      <x:c r="F2683" s="7" t="n">
        <x:v>2</x:v>
      </x:c>
      <x:c r="G2683" s="7" t="n">
        <x:v>280</x:v>
      </x:c>
      <x:c r="H2683" s="9" t="n">
        <x:v>0.05</x:v>
      </x:c>
      <x:c r="I2683" s="7" t="n">
        <x:v>532</x:v>
      </x:c>
    </x:row>
    <x:row r="2684" ht="23" customHeight="1">
      <x:c r="A2684" s="7" t="str">
        <x:v>INV02679</x:v>
      </x:c>
      <x:c r="B2684" s="15" t="d">
        <x:v>2026-06-07T00:00:00.000Z</x:v>
      </x:c>
      <x:c r="C2684" s="14" t="d">
        <x:v>2026-06-01T00:00:00.000Z</x:v>
      </x:c>
      <x:c r="D2684" s="34" t="str">
        <x:v>0008</x:v>
      </x:c>
      <x:c r="E2684" s="7" t="str">
        <x:v>West</x:v>
      </x:c>
      <x:c r="F2684" s="7" t="n">
        <x:v>3</x:v>
      </x:c>
      <x:c r="G2684" s="7" t="n">
        <x:v>300</x:v>
      </x:c>
      <x:c r="H2684" s="9" t="n">
        <x:v>0</x:v>
      </x:c>
      <x:c r="I2684" s="7" t="n">
        <x:v>900</x:v>
      </x:c>
    </x:row>
    <x:row r="2685" ht="23" customHeight="1">
      <x:c r="A2685" s="7" t="str">
        <x:v>INV02680</x:v>
      </x:c>
      <x:c r="B2685" s="15" t="d">
        <x:v>2026-06-08T00:00:00.000Z</x:v>
      </x:c>
      <x:c r="C2685" s="14" t="d">
        <x:v>2026-06-01T00:00:00.000Z</x:v>
      </x:c>
      <x:c r="D2685" s="34" t="str">
        <x:v>0001</x:v>
      </x:c>
      <x:c r="E2685" s="7" t="str">
        <x:v>North</x:v>
      </x:c>
      <x:c r="F2685" s="7" t="n">
        <x:v>2</x:v>
      </x:c>
      <x:c r="G2685" s="7" t="n">
        <x:v>160</x:v>
      </x:c>
      <x:c r="H2685" s="9" t="n">
        <x:v>0.02</x:v>
      </x:c>
      <x:c r="I2685" s="7" t="n">
        <x:v>313.6</x:v>
      </x:c>
    </x:row>
    <x:row r="2686" ht="23" customHeight="1">
      <x:c r="A2686" s="7" t="str">
        <x:v>INV02681</x:v>
      </x:c>
      <x:c r="B2686" s="15" t="d">
        <x:v>2026-06-09T00:00:00.000Z</x:v>
      </x:c>
      <x:c r="C2686" s="14" t="d">
        <x:v>2026-06-01T00:00:00.000Z</x:v>
      </x:c>
      <x:c r="D2686" s="34" t="str">
        <x:v>0002</x:v>
      </x:c>
      <x:c r="E2686" s="7" t="str">
        <x:v>North</x:v>
      </x:c>
      <x:c r="F2686" s="7" t="n">
        <x:v>5</x:v>
      </x:c>
      <x:c r="G2686" s="7" t="n">
        <x:v>180</x:v>
      </x:c>
      <x:c r="H2686" s="9" t="n">
        <x:v>0.05</x:v>
      </x:c>
      <x:c r="I2686" s="7" t="n">
        <x:v>855</x:v>
      </x:c>
    </x:row>
    <x:row r="2687" ht="23" customHeight="1">
      <x:c r="A2687" s="7" t="str">
        <x:v>INV02682</x:v>
      </x:c>
      <x:c r="B2687" s="15" t="d">
        <x:v>2026-06-10T00:00:00.000Z</x:v>
      </x:c>
      <x:c r="C2687" s="14" t="d">
        <x:v>2026-06-01T00:00:00.000Z</x:v>
      </x:c>
      <x:c r="D2687" s="34" t="str">
        <x:v>0003</x:v>
      </x:c>
      <x:c r="E2687" s="7" t="str">
        <x:v>North</x:v>
      </x:c>
      <x:c r="F2687" s="7" t="n">
        <x:v>2</x:v>
      </x:c>
      <x:c r="G2687" s="7" t="n">
        <x:v>200</x:v>
      </x:c>
      <x:c r="H2687" s="9" t="n">
        <x:v>0</x:v>
      </x:c>
      <x:c r="I2687" s="7" t="n">
        <x:v>400</x:v>
      </x:c>
    </x:row>
    <x:row r="2688" ht="23" customHeight="1">
      <x:c r="A2688" s="7" t="str">
        <x:v>INV02683</x:v>
      </x:c>
      <x:c r="B2688" s="15" t="d">
        <x:v>2026-06-11T00:00:00.000Z</x:v>
      </x:c>
      <x:c r="C2688" s="14" t="d">
        <x:v>2026-06-01T00:00:00.000Z</x:v>
      </x:c>
      <x:c r="D2688" s="34" t="str">
        <x:v>0004</x:v>
      </x:c>
      <x:c r="E2688" s="7" t="str">
        <x:v>North</x:v>
      </x:c>
      <x:c r="F2688" s="7" t="n">
        <x:v>4</x:v>
      </x:c>
      <x:c r="G2688" s="7" t="n">
        <x:v>220</x:v>
      </x:c>
      <x:c r="H2688" s="9" t="n">
        <x:v>0.02</x:v>
      </x:c>
      <x:c r="I2688" s="7" t="n">
        <x:v>862.4</x:v>
      </x:c>
    </x:row>
    <x:row r="2689" ht="23" customHeight="1">
      <x:c r="A2689" s="7" t="str">
        <x:v>INV02684</x:v>
      </x:c>
      <x:c r="B2689" s="15" t="d">
        <x:v>2026-06-12T00:00:00.000Z</x:v>
      </x:c>
      <x:c r="C2689" s="14" t="d">
        <x:v>2026-06-01T00:00:00.000Z</x:v>
      </x:c>
      <x:c r="D2689" s="34" t="str">
        <x:v>0005</x:v>
      </x:c>
      <x:c r="E2689" s="7" t="str">
        <x:v>North</x:v>
      </x:c>
      <x:c r="F2689" s="7" t="n">
        <x:v>1</x:v>
      </x:c>
      <x:c r="G2689" s="7" t="n">
        <x:v>240</x:v>
      </x:c>
      <x:c r="H2689" s="9" t="n">
        <x:v>0.05</x:v>
      </x:c>
      <x:c r="I2689" s="7" t="n">
        <x:v>228</x:v>
      </x:c>
    </x:row>
    <x:row r="2690" ht="23" customHeight="1">
      <x:c r="A2690" s="7" t="str">
        <x:v>INV02685</x:v>
      </x:c>
      <x:c r="B2690" s="15" t="d">
        <x:v>2026-06-13T00:00:00.000Z</x:v>
      </x:c>
      <x:c r="C2690" s="14" t="d">
        <x:v>2026-06-01T00:00:00.000Z</x:v>
      </x:c>
      <x:c r="D2690" s="34" t="str">
        <x:v>0006</x:v>
      </x:c>
      <x:c r="E2690" s="7" t="str">
        <x:v>North</x:v>
      </x:c>
      <x:c r="F2690" s="7" t="n">
        <x:v>3</x:v>
      </x:c>
      <x:c r="G2690" s="7" t="n">
        <x:v>260</x:v>
      </x:c>
      <x:c r="H2690" s="9" t="n">
        <x:v>0</x:v>
      </x:c>
      <x:c r="I2690" s="7" t="n">
        <x:v>780</x:v>
      </x:c>
    </x:row>
    <x:row r="2691" ht="23" customHeight="1">
      <x:c r="A2691" s="7" t="str">
        <x:v>INV02686</x:v>
      </x:c>
      <x:c r="B2691" s="15" t="d">
        <x:v>2026-06-14T00:00:00.000Z</x:v>
      </x:c>
      <x:c r="C2691" s="14" t="d">
        <x:v>2026-06-01T00:00:00.000Z</x:v>
      </x:c>
      <x:c r="D2691" s="34" t="str">
        <x:v>0007</x:v>
      </x:c>
      <x:c r="E2691" s="7" t="str">
        <x:v>North</x:v>
      </x:c>
      <x:c r="F2691" s="7" t="n">
        <x:v>7</x:v>
      </x:c>
      <x:c r="G2691" s="7" t="n">
        <x:v>280</x:v>
      </x:c>
      <x:c r="H2691" s="9" t="n">
        <x:v>0.02</x:v>
      </x:c>
      <x:c r="I2691" s="7" t="n">
        <x:v>1920.8</x:v>
      </x:c>
    </x:row>
    <x:row r="2692" ht="23" customHeight="1">
      <x:c r="A2692" s="7" t="str">
        <x:v>INV02687</x:v>
      </x:c>
      <x:c r="B2692" s="15" t="d">
        <x:v>2026-06-15T00:00:00.000Z</x:v>
      </x:c>
      <x:c r="C2692" s="14" t="d">
        <x:v>2026-06-01T00:00:00.000Z</x:v>
      </x:c>
      <x:c r="D2692" s="34" t="str">
        <x:v>0008</x:v>
      </x:c>
      <x:c r="E2692" s="7" t="str">
        <x:v>North</x:v>
      </x:c>
      <x:c r="F2692" s="7" t="n">
        <x:v>6</x:v>
      </x:c>
      <x:c r="G2692" s="7" t="n">
        <x:v>300</x:v>
      </x:c>
      <x:c r="H2692" s="9" t="n">
        <x:v>0.05</x:v>
      </x:c>
      <x:c r="I2692" s="7" t="n">
        <x:v>1710</x:v>
      </x:c>
    </x:row>
    <x:row r="2693" ht="23" customHeight="1">
      <x:c r="A2693" s="7" t="str">
        <x:v>INV02688</x:v>
      </x:c>
      <x:c r="B2693" s="15" t="d">
        <x:v>2026-01-16T00:00:00.000Z</x:v>
      </x:c>
      <x:c r="C2693" s="14" t="d">
        <x:v>2026-01-01T00:00:00.000Z</x:v>
      </x:c>
      <x:c r="D2693" s="34" t="str">
        <x:v>0001</x:v>
      </x:c>
      <x:c r="E2693" s="7" t="str">
        <x:v>Central</x:v>
      </x:c>
      <x:c r="F2693" s="7" t="n">
        <x:v>6</x:v>
      </x:c>
      <x:c r="G2693" s="7" t="n">
        <x:v>160</x:v>
      </x:c>
      <x:c r="H2693" s="9" t="n">
        <x:v>0</x:v>
      </x:c>
      <x:c r="I2693" s="7" t="n">
        <x:v>960</x:v>
      </x:c>
    </x:row>
    <x:row r="2694" ht="23" customHeight="1">
      <x:c r="A2694" s="7" t="str">
        <x:v>INV02689</x:v>
      </x:c>
      <x:c r="B2694" s="15" t="d">
        <x:v>2026-01-17T00:00:00.000Z</x:v>
      </x:c>
      <x:c r="C2694" s="14" t="d">
        <x:v>2026-01-01T00:00:00.000Z</x:v>
      </x:c>
      <x:c r="D2694" s="34" t="str">
        <x:v>0002</x:v>
      </x:c>
      <x:c r="E2694" s="7" t="str">
        <x:v>Central</x:v>
      </x:c>
      <x:c r="F2694" s="7" t="n">
        <x:v>1</x:v>
      </x:c>
      <x:c r="G2694" s="7" t="n">
        <x:v>180</x:v>
      </x:c>
      <x:c r="H2694" s="9" t="n">
        <x:v>0.02</x:v>
      </x:c>
      <x:c r="I2694" s="7" t="n">
        <x:v>176.4</x:v>
      </x:c>
    </x:row>
    <x:row r="2695" ht="23" customHeight="1">
      <x:c r="A2695" s="7" t="str">
        <x:v>INV02690</x:v>
      </x:c>
      <x:c r="B2695" s="15" t="d">
        <x:v>2026-01-18T00:00:00.000Z</x:v>
      </x:c>
      <x:c r="C2695" s="14" t="d">
        <x:v>2026-01-01T00:00:00.000Z</x:v>
      </x:c>
      <x:c r="D2695" s="34" t="str">
        <x:v>0003</x:v>
      </x:c>
      <x:c r="E2695" s="7" t="str">
        <x:v>Central</x:v>
      </x:c>
      <x:c r="F2695" s="7" t="n">
        <x:v>6</x:v>
      </x:c>
      <x:c r="G2695" s="7" t="n">
        <x:v>200</x:v>
      </x:c>
      <x:c r="H2695" s="9" t="n">
        <x:v>0.05</x:v>
      </x:c>
      <x:c r="I2695" s="7" t="n">
        <x:v>1140</x:v>
      </x:c>
    </x:row>
    <x:row r="2696" ht="23" customHeight="1">
      <x:c r="A2696" s="7" t="str">
        <x:v>INV02691</x:v>
      </x:c>
      <x:c r="B2696" s="15" t="d">
        <x:v>2026-01-19T00:00:00.000Z</x:v>
      </x:c>
      <x:c r="C2696" s="14" t="d">
        <x:v>2026-01-01T00:00:00.000Z</x:v>
      </x:c>
      <x:c r="D2696" s="34" t="str">
        <x:v>0004</x:v>
      </x:c>
      <x:c r="E2696" s="7" t="str">
        <x:v>Central</x:v>
      </x:c>
      <x:c r="F2696" s="7" t="n">
        <x:v>5</x:v>
      </x:c>
      <x:c r="G2696" s="7" t="n">
        <x:v>220</x:v>
      </x:c>
      <x:c r="H2696" s="9" t="n">
        <x:v>0</x:v>
      </x:c>
      <x:c r="I2696" s="7" t="n">
        <x:v>1100</x:v>
      </x:c>
    </x:row>
    <x:row r="2697" ht="23" customHeight="1">
      <x:c r="A2697" s="7" t="str">
        <x:v>INV02692</x:v>
      </x:c>
      <x:c r="B2697" s="15" t="d">
        <x:v>2026-01-20T00:00:00.000Z</x:v>
      </x:c>
      <x:c r="C2697" s="14" t="d">
        <x:v>2026-01-01T00:00:00.000Z</x:v>
      </x:c>
      <x:c r="D2697" s="34" t="str">
        <x:v>0005</x:v>
      </x:c>
      <x:c r="E2697" s="7" t="str">
        <x:v>Central</x:v>
      </x:c>
      <x:c r="F2697" s="7" t="n">
        <x:v>7</x:v>
      </x:c>
      <x:c r="G2697" s="7" t="n">
        <x:v>240</x:v>
      </x:c>
      <x:c r="H2697" s="9" t="n">
        <x:v>0.02</x:v>
      </x:c>
      <x:c r="I2697" s="7" t="n">
        <x:v>1646.4</x:v>
      </x:c>
    </x:row>
    <x:row r="2698" ht="23" customHeight="1">
      <x:c r="A2698" s="7" t="str">
        <x:v>INV02693</x:v>
      </x:c>
      <x:c r="B2698" s="15" t="d">
        <x:v>2026-01-21T00:00:00.000Z</x:v>
      </x:c>
      <x:c r="C2698" s="14" t="d">
        <x:v>2026-01-01T00:00:00.000Z</x:v>
      </x:c>
      <x:c r="D2698" s="34" t="str">
        <x:v>0006</x:v>
      </x:c>
      <x:c r="E2698" s="7" t="str">
        <x:v>Central</x:v>
      </x:c>
      <x:c r="F2698" s="7" t="n">
        <x:v>2</x:v>
      </x:c>
      <x:c r="G2698" s="7" t="n">
        <x:v>260</x:v>
      </x:c>
      <x:c r="H2698" s="9" t="n">
        <x:v>0.05</x:v>
      </x:c>
      <x:c r="I2698" s="7" t="n">
        <x:v>494</x:v>
      </x:c>
    </x:row>
    <x:row r="2699" ht="23" customHeight="1">
      <x:c r="A2699" s="7" t="str">
        <x:v>INV02694</x:v>
      </x:c>
      <x:c r="B2699" s="15" t="d">
        <x:v>2026-01-22T00:00:00.000Z</x:v>
      </x:c>
      <x:c r="C2699" s="14" t="d">
        <x:v>2026-01-01T00:00:00.000Z</x:v>
      </x:c>
      <x:c r="D2699" s="34" t="str">
        <x:v>0007</x:v>
      </x:c>
      <x:c r="E2699" s="7" t="str">
        <x:v>Central</x:v>
      </x:c>
      <x:c r="F2699" s="7" t="n">
        <x:v>2</x:v>
      </x:c>
      <x:c r="G2699" s="7" t="n">
        <x:v>280</x:v>
      </x:c>
      <x:c r="H2699" s="9" t="n">
        <x:v>0</x:v>
      </x:c>
      <x:c r="I2699" s="7" t="n">
        <x:v>560</x:v>
      </x:c>
    </x:row>
    <x:row r="2700" ht="23" customHeight="1">
      <x:c r="A2700" s="7" t="str">
        <x:v>INV02695</x:v>
      </x:c>
      <x:c r="B2700" s="15" t="d">
        <x:v>2026-01-23T00:00:00.000Z</x:v>
      </x:c>
      <x:c r="C2700" s="14" t="d">
        <x:v>2026-01-01T00:00:00.000Z</x:v>
      </x:c>
      <x:c r="D2700" s="34" t="str">
        <x:v>0008</x:v>
      </x:c>
      <x:c r="E2700" s="7" t="str">
        <x:v>Central</x:v>
      </x:c>
      <x:c r="F2700" s="7" t="n">
        <x:v>4</x:v>
      </x:c>
      <x:c r="G2700" s="7" t="n">
        <x:v>300</x:v>
      </x:c>
      <x:c r="H2700" s="9" t="n">
        <x:v>0.02</x:v>
      </x:c>
      <x:c r="I2700" s="7" t="n">
        <x:v>1176</x:v>
      </x:c>
    </x:row>
    <x:row r="2701" ht="23" customHeight="1">
      <x:c r="A2701" s="7" t="str">
        <x:v>INV02696</x:v>
      </x:c>
      <x:c r="B2701" s="15" t="d">
        <x:v>2026-01-24T00:00:00.000Z</x:v>
      </x:c>
      <x:c r="C2701" s="14" t="d">
        <x:v>2026-01-01T00:00:00.000Z</x:v>
      </x:c>
      <x:c r="D2701" s="34" t="str">
        <x:v>0001</x:v>
      </x:c>
      <x:c r="E2701" s="7" t="str">
        <x:v>East</x:v>
      </x:c>
      <x:c r="F2701" s="7" t="n">
        <x:v>3</x:v>
      </x:c>
      <x:c r="G2701" s="7" t="n">
        <x:v>160</x:v>
      </x:c>
      <x:c r="H2701" s="9" t="n">
        <x:v>0.05</x:v>
      </x:c>
      <x:c r="I2701" s="7" t="n">
        <x:v>456</x:v>
      </x:c>
    </x:row>
    <x:row r="2702" ht="23" customHeight="1">
      <x:c r="A2702" s="7" t="str">
        <x:v>INV02697</x:v>
      </x:c>
      <x:c r="B2702" s="15" t="d">
        <x:v>2026-01-25T00:00:00.000Z</x:v>
      </x:c>
      <x:c r="C2702" s="14" t="d">
        <x:v>2026-01-01T00:00:00.000Z</x:v>
      </x:c>
      <x:c r="D2702" s="34" t="str">
        <x:v>0002</x:v>
      </x:c>
      <x:c r="E2702" s="7" t="str">
        <x:v>East</x:v>
      </x:c>
      <x:c r="F2702" s="7" t="n">
        <x:v>6</x:v>
      </x:c>
      <x:c r="G2702" s="7" t="n">
        <x:v>180</x:v>
      </x:c>
      <x:c r="H2702" s="9" t="n">
        <x:v>0</x:v>
      </x:c>
      <x:c r="I2702" s="7" t="n">
        <x:v>1080</x:v>
      </x:c>
    </x:row>
    <x:row r="2703" ht="23" customHeight="1">
      <x:c r="A2703" s="7" t="str">
        <x:v>INV02698</x:v>
      </x:c>
      <x:c r="B2703" s="15" t="d">
        <x:v>2026-01-26T00:00:00.000Z</x:v>
      </x:c>
      <x:c r="C2703" s="14" t="d">
        <x:v>2026-01-01T00:00:00.000Z</x:v>
      </x:c>
      <x:c r="D2703" s="34" t="str">
        <x:v>0003</x:v>
      </x:c>
      <x:c r="E2703" s="7" t="str">
        <x:v>East</x:v>
      </x:c>
      <x:c r="F2703" s="7" t="n">
        <x:v>5</x:v>
      </x:c>
      <x:c r="G2703" s="7" t="n">
        <x:v>200</x:v>
      </x:c>
      <x:c r="H2703" s="9" t="n">
        <x:v>0.02</x:v>
      </x:c>
      <x:c r="I2703" s="7" t="n">
        <x:v>980</x:v>
      </x:c>
    </x:row>
    <x:row r="2704" ht="23" customHeight="1">
      <x:c r="A2704" s="7" t="str">
        <x:v>INV02699</x:v>
      </x:c>
      <x:c r="B2704" s="15" t="d">
        <x:v>2026-01-27T00:00:00.000Z</x:v>
      </x:c>
      <x:c r="C2704" s="14" t="d">
        <x:v>2026-01-01T00:00:00.000Z</x:v>
      </x:c>
      <x:c r="D2704" s="34" t="str">
        <x:v>0004</x:v>
      </x:c>
      <x:c r="E2704" s="7" t="str">
        <x:v>East</x:v>
      </x:c>
      <x:c r="F2704" s="7" t="n">
        <x:v>7</x:v>
      </x:c>
      <x:c r="G2704" s="7" t="n">
        <x:v>220</x:v>
      </x:c>
      <x:c r="H2704" s="9" t="n">
        <x:v>0.05</x:v>
      </x:c>
      <x:c r="I2704" s="7" t="n">
        <x:v>1463</x:v>
      </x:c>
    </x:row>
    <x:row r="2705" ht="23" customHeight="1">
      <x:c r="A2705" s="7" t="str">
        <x:v>INV02700</x:v>
      </x:c>
      <x:c r="B2705" s="15" t="d">
        <x:v>2026-01-01T00:00:00.000Z</x:v>
      </x:c>
      <x:c r="C2705" s="14" t="d">
        <x:v>2026-01-01T00:00:00.000Z</x:v>
      </x:c>
      <x:c r="D2705" s="34" t="str">
        <x:v>0005</x:v>
      </x:c>
      <x:c r="E2705" s="7" t="str">
        <x:v>East</x:v>
      </x:c>
      <x:c r="F2705" s="7" t="n">
        <x:v>1</x:v>
      </x:c>
      <x:c r="G2705" s="7" t="n">
        <x:v>240</x:v>
      </x:c>
      <x:c r="H2705" s="9" t="n">
        <x:v>0</x:v>
      </x:c>
      <x:c r="I2705" s="7" t="n">
        <x:v>240</x:v>
      </x:c>
    </x:row>
    <x:row r="2706" ht="23" customHeight="1">
      <x:c r="A2706" s="7" t="str">
        <x:v>INV02701</x:v>
      </x:c>
      <x:c r="B2706" s="15" t="d">
        <x:v>2026-01-02T00:00:00.000Z</x:v>
      </x:c>
      <x:c r="C2706" s="14" t="d">
        <x:v>2026-01-01T00:00:00.000Z</x:v>
      </x:c>
      <x:c r="D2706" s="34" t="str">
        <x:v>0006</x:v>
      </x:c>
      <x:c r="E2706" s="7" t="str">
        <x:v>East</x:v>
      </x:c>
      <x:c r="F2706" s="7" t="n">
        <x:v>7</x:v>
      </x:c>
      <x:c r="G2706" s="7" t="n">
        <x:v>260</x:v>
      </x:c>
      <x:c r="H2706" s="9" t="n">
        <x:v>0.02</x:v>
      </x:c>
      <x:c r="I2706" s="7" t="n">
        <x:v>1783.6</x:v>
      </x:c>
    </x:row>
    <x:row r="2707" ht="23" customHeight="1">
      <x:c r="A2707" s="7" t="str">
        <x:v>INV02702</x:v>
      </x:c>
      <x:c r="B2707" s="15" t="d">
        <x:v>2026-01-03T00:00:00.000Z</x:v>
      </x:c>
      <x:c r="C2707" s="14" t="d">
        <x:v>2026-01-01T00:00:00.000Z</x:v>
      </x:c>
      <x:c r="D2707" s="34" t="str">
        <x:v>0007</x:v>
      </x:c>
      <x:c r="E2707" s="7" t="str">
        <x:v>East</x:v>
      </x:c>
      <x:c r="F2707" s="7" t="n">
        <x:v>4</x:v>
      </x:c>
      <x:c r="G2707" s="7" t="n">
        <x:v>280</x:v>
      </x:c>
      <x:c r="H2707" s="9" t="n">
        <x:v>0.05</x:v>
      </x:c>
      <x:c r="I2707" s="7" t="n">
        <x:v>1064</x:v>
      </x:c>
    </x:row>
    <x:row r="2708" ht="23" customHeight="1">
      <x:c r="A2708" s="7" t="str">
        <x:v>INV02703</x:v>
      </x:c>
      <x:c r="B2708" s="15" t="d">
        <x:v>2026-01-04T00:00:00.000Z</x:v>
      </x:c>
      <x:c r="C2708" s="14" t="d">
        <x:v>2026-01-01T00:00:00.000Z</x:v>
      </x:c>
      <x:c r="D2708" s="34" t="str">
        <x:v>0008</x:v>
      </x:c>
      <x:c r="E2708" s="7" t="str">
        <x:v>East</x:v>
      </x:c>
      <x:c r="F2708" s="7" t="n">
        <x:v>6</x:v>
      </x:c>
      <x:c r="G2708" s="7" t="n">
        <x:v>300</x:v>
      </x:c>
      <x:c r="H2708" s="9" t="n">
        <x:v>0</x:v>
      </x:c>
      <x:c r="I2708" s="7" t="n">
        <x:v>1800</x:v>
      </x:c>
    </x:row>
    <x:row r="2709" ht="23" customHeight="1">
      <x:c r="A2709" s="7" t="str">
        <x:v>INV02704</x:v>
      </x:c>
      <x:c r="B2709" s="15" t="d">
        <x:v>2026-01-05T00:00:00.000Z</x:v>
      </x:c>
      <x:c r="C2709" s="14" t="d">
        <x:v>2026-01-01T00:00:00.000Z</x:v>
      </x:c>
      <x:c r="D2709" s="34" t="str">
        <x:v>0001</x:v>
      </x:c>
      <x:c r="E2709" s="7" t="str">
        <x:v>West</x:v>
      </x:c>
      <x:c r="F2709" s="7" t="n">
        <x:v>3</x:v>
      </x:c>
      <x:c r="G2709" s="7" t="n">
        <x:v>160</x:v>
      </x:c>
      <x:c r="H2709" s="9" t="n">
        <x:v>0.02</x:v>
      </x:c>
      <x:c r="I2709" s="7" t="n">
        <x:v>470.4</x:v>
      </x:c>
    </x:row>
    <x:row r="2710" ht="23" customHeight="1">
      <x:c r="A2710" s="7" t="str">
        <x:v>INV02705</x:v>
      </x:c>
      <x:c r="B2710" s="15" t="d">
        <x:v>2026-01-06T00:00:00.000Z</x:v>
      </x:c>
      <x:c r="C2710" s="14" t="d">
        <x:v>2026-01-01T00:00:00.000Z</x:v>
      </x:c>
      <x:c r="D2710" s="34" t="str">
        <x:v>0002</x:v>
      </x:c>
      <x:c r="E2710" s="7" t="str">
        <x:v>West</x:v>
      </x:c>
      <x:c r="F2710" s="7" t="n">
        <x:v>6</x:v>
      </x:c>
      <x:c r="G2710" s="7" t="n">
        <x:v>180</x:v>
      </x:c>
      <x:c r="H2710" s="9" t="n">
        <x:v>0.05</x:v>
      </x:c>
      <x:c r="I2710" s="7" t="n">
        <x:v>1026</x:v>
      </x:c>
    </x:row>
    <x:row r="2711" ht="23" customHeight="1">
      <x:c r="A2711" s="7" t="str">
        <x:v>INV02706</x:v>
      </x:c>
      <x:c r="B2711" s="15" t="d">
        <x:v>2026-01-07T00:00:00.000Z</x:v>
      </x:c>
      <x:c r="C2711" s="14" t="d">
        <x:v>2026-01-01T00:00:00.000Z</x:v>
      </x:c>
      <x:c r="D2711" s="34" t="str">
        <x:v>0003</x:v>
      </x:c>
      <x:c r="E2711" s="7" t="str">
        <x:v>West</x:v>
      </x:c>
      <x:c r="F2711" s="7" t="n">
        <x:v>-2</x:v>
      </x:c>
      <x:c r="G2711" s="7" t="n">
        <x:v>200</x:v>
      </x:c>
      <x:c r="H2711" s="9" t="n">
        <x:v>0</x:v>
      </x:c>
      <x:c r="I2711" s="7" t="n">
        <x:v>-400</x:v>
      </x:c>
    </x:row>
    <x:row r="2712" ht="23" customHeight="1">
      <x:c r="A2712" s="7" t="str">
        <x:v>INV02707</x:v>
      </x:c>
      <x:c r="B2712" s="15" t="d">
        <x:v>2026-01-08T00:00:00.000Z</x:v>
      </x:c>
      <x:c r="C2712" s="14" t="d">
        <x:v>2026-01-01T00:00:00.000Z</x:v>
      </x:c>
      <x:c r="D2712" s="34" t="str">
        <x:v>0004</x:v>
      </x:c>
      <x:c r="E2712" s="7" t="str">
        <x:v>West</x:v>
      </x:c>
      <x:c r="F2712" s="7" t="n">
        <x:v>7</x:v>
      </x:c>
      <x:c r="G2712" s="7" t="n">
        <x:v>220</x:v>
      </x:c>
      <x:c r="H2712" s="9" t="n">
        <x:v>0.02</x:v>
      </x:c>
      <x:c r="I2712" s="7" t="n">
        <x:v>1509.2</x:v>
      </x:c>
    </x:row>
    <x:row r="2713" ht="23" customHeight="1">
      <x:c r="A2713" s="7" t="str">
        <x:v>INV02708</x:v>
      </x:c>
      <x:c r="B2713" s="15" t="d">
        <x:v>2026-01-09T00:00:00.000Z</x:v>
      </x:c>
      <x:c r="C2713" s="14" t="d">
        <x:v>2026-01-01T00:00:00.000Z</x:v>
      </x:c>
      <x:c r="D2713" s="34" t="str">
        <x:v>0005</x:v>
      </x:c>
      <x:c r="E2713" s="7" t="str">
        <x:v>West</x:v>
      </x:c>
      <x:c r="F2713" s="7" t="n">
        <x:v>7</x:v>
      </x:c>
      <x:c r="G2713" s="7" t="n">
        <x:v>240</x:v>
      </x:c>
      <x:c r="H2713" s="9" t="n">
        <x:v>0.05</x:v>
      </x:c>
      <x:c r="I2713" s="7" t="n">
        <x:v>1596</x:v>
      </x:c>
    </x:row>
    <x:row r="2714" ht="23" customHeight="1">
      <x:c r="A2714" s="7" t="str">
        <x:v>INV02709</x:v>
      </x:c>
      <x:c r="B2714" s="15" t="d">
        <x:v>2026-01-10T00:00:00.000Z</x:v>
      </x:c>
      <x:c r="C2714" s="14" t="d">
        <x:v>2026-01-01T00:00:00.000Z</x:v>
      </x:c>
      <x:c r="D2714" s="34" t="str">
        <x:v>0006</x:v>
      </x:c>
      <x:c r="E2714" s="7" t="str">
        <x:v>West</x:v>
      </x:c>
      <x:c r="F2714" s="7" t="n">
        <x:v>4</x:v>
      </x:c>
      <x:c r="G2714" s="7" t="n">
        <x:v>260</x:v>
      </x:c>
      <x:c r="H2714" s="9" t="n">
        <x:v>0</x:v>
      </x:c>
      <x:c r="I2714" s="7" t="n">
        <x:v>1040</x:v>
      </x:c>
    </x:row>
    <x:row r="2715" ht="23" customHeight="1">
      <x:c r="A2715" s="7" t="str">
        <x:v>INV02710</x:v>
      </x:c>
      <x:c r="B2715" s="15" t="d">
        <x:v>2026-01-11T00:00:00.000Z</x:v>
      </x:c>
      <x:c r="C2715" s="14" t="d">
        <x:v>2026-01-01T00:00:00.000Z</x:v>
      </x:c>
      <x:c r="D2715" s="34" t="str">
        <x:v>0007</x:v>
      </x:c>
      <x:c r="E2715" s="7" t="str">
        <x:v>West</x:v>
      </x:c>
      <x:c r="F2715" s="7" t="n">
        <x:v>1</x:v>
      </x:c>
      <x:c r="G2715" s="7" t="n">
        <x:v>280</x:v>
      </x:c>
      <x:c r="H2715" s="9" t="n">
        <x:v>0.02</x:v>
      </x:c>
      <x:c r="I2715" s="7" t="n">
        <x:v>274.4</x:v>
      </x:c>
    </x:row>
    <x:row r="2716" ht="23" customHeight="1">
      <x:c r="A2716" s="7" t="str">
        <x:v>INV02711</x:v>
      </x:c>
      <x:c r="B2716" s="15" t="d">
        <x:v>2026-01-12T00:00:00.000Z</x:v>
      </x:c>
      <x:c r="C2716" s="14" t="d">
        <x:v>2026-01-01T00:00:00.000Z</x:v>
      </x:c>
      <x:c r="D2716" s="34" t="str">
        <x:v>0008</x:v>
      </x:c>
      <x:c r="E2716" s="7" t="str">
        <x:v>West</x:v>
      </x:c>
      <x:c r="F2716" s="7" t="n">
        <x:v>4</x:v>
      </x:c>
      <x:c r="G2716" s="7" t="n">
        <x:v>300</x:v>
      </x:c>
      <x:c r="H2716" s="9" t="n">
        <x:v>0.05</x:v>
      </x:c>
      <x:c r="I2716" s="7" t="n">
        <x:v>1140</x:v>
      </x:c>
    </x:row>
    <x:row r="2717" ht="23" customHeight="1">
      <x:c r="A2717" s="7" t="str">
        <x:v>INV02712</x:v>
      </x:c>
      <x:c r="B2717" s="15" t="d">
        <x:v>2026-01-13T00:00:00.000Z</x:v>
      </x:c>
      <x:c r="C2717" s="14" t="d">
        <x:v>2026-01-01T00:00:00.000Z</x:v>
      </x:c>
      <x:c r="D2717" s="34" t="str">
        <x:v>0001</x:v>
      </x:c>
      <x:c r="E2717" s="7" t="str">
        <x:v>North</x:v>
      </x:c>
      <x:c r="F2717" s="7" t="n">
        <x:v>6</x:v>
      </x:c>
      <x:c r="G2717" s="7" t="n">
        <x:v>160</x:v>
      </x:c>
      <x:c r="H2717" s="9" t="n">
        <x:v>0</x:v>
      </x:c>
      <x:c r="I2717" s="7" t="n">
        <x:v>960</x:v>
      </x:c>
    </x:row>
    <x:row r="2718" ht="23" customHeight="1">
      <x:c r="A2718" s="7" t="str">
        <x:v>INV02713</x:v>
      </x:c>
      <x:c r="B2718" s="15" t="d">
        <x:v>2026-01-14T00:00:00.000Z</x:v>
      </x:c>
      <x:c r="C2718" s="14" t="d">
        <x:v>2026-01-01T00:00:00.000Z</x:v>
      </x:c>
      <x:c r="D2718" s="34" t="str">
        <x:v>0002</x:v>
      </x:c>
      <x:c r="E2718" s="7" t="str">
        <x:v>North</x:v>
      </x:c>
      <x:c r="F2718" s="7" t="n">
        <x:v>1</x:v>
      </x:c>
      <x:c r="G2718" s="7" t="n">
        <x:v>180</x:v>
      </x:c>
      <x:c r="H2718" s="9" t="n">
        <x:v>0.02</x:v>
      </x:c>
      <x:c r="I2718" s="7" t="n">
        <x:v>176.4</x:v>
      </x:c>
    </x:row>
    <x:row r="2719" ht="23" customHeight="1">
      <x:c r="A2719" s="7" t="str">
        <x:v>INV02714</x:v>
      </x:c>
      <x:c r="B2719" s="15" t="d">
        <x:v>2026-01-15T00:00:00.000Z</x:v>
      </x:c>
      <x:c r="C2719" s="14" t="d">
        <x:v>2026-01-01T00:00:00.000Z</x:v>
      </x:c>
      <x:c r="D2719" s="34" t="str">
        <x:v>0003</x:v>
      </x:c>
      <x:c r="E2719" s="7" t="str">
        <x:v>North</x:v>
      </x:c>
      <x:c r="F2719" s="7" t="n">
        <x:v>5</x:v>
      </x:c>
      <x:c r="G2719" s="7" t="n">
        <x:v>200</x:v>
      </x:c>
      <x:c r="H2719" s="9" t="n">
        <x:v>0.05</x:v>
      </x:c>
      <x:c r="I2719" s="7" t="n">
        <x:v>950</x:v>
      </x:c>
    </x:row>
    <x:row r="2720" ht="23" customHeight="1">
      <x:c r="A2720" s="7" t="str">
        <x:v>INV02715</x:v>
      </x:c>
      <x:c r="B2720" s="15" t="d">
        <x:v>2026-01-16T00:00:00.000Z</x:v>
      </x:c>
      <x:c r="C2720" s="14" t="d">
        <x:v>2026-01-01T00:00:00.000Z</x:v>
      </x:c>
      <x:c r="D2720" s="34" t="str">
        <x:v>0004</x:v>
      </x:c>
      <x:c r="E2720" s="7" t="str">
        <x:v>North</x:v>
      </x:c>
      <x:c r="F2720" s="7" t="n">
        <x:v>2</x:v>
      </x:c>
      <x:c r="G2720" s="7" t="n">
        <x:v>220</x:v>
      </x:c>
      <x:c r="H2720" s="9" t="n">
        <x:v>0</x:v>
      </x:c>
      <x:c r="I2720" s="7" t="n">
        <x:v>440</x:v>
      </x:c>
    </x:row>
    <x:row r="2721" ht="23" customHeight="1">
      <x:c r="A2721" s="7" t="str">
        <x:v>INV02716</x:v>
      </x:c>
      <x:c r="B2721" s="15" t="d">
        <x:v>2026-01-17T00:00:00.000Z</x:v>
      </x:c>
      <x:c r="C2721" s="14" t="d">
        <x:v>2026-01-01T00:00:00.000Z</x:v>
      </x:c>
      <x:c r="D2721" s="34" t="str">
        <x:v>0005</x:v>
      </x:c>
      <x:c r="E2721" s="7" t="str">
        <x:v>North</x:v>
      </x:c>
      <x:c r="F2721" s="7" t="n">
        <x:v>1</x:v>
      </x:c>
      <x:c r="G2721" s="7" t="n">
        <x:v>240</x:v>
      </x:c>
      <x:c r="H2721" s="9" t="n">
        <x:v>0.02</x:v>
      </x:c>
      <x:c r="I2721" s="7" t="n">
        <x:v>235.2</x:v>
      </x:c>
    </x:row>
    <x:row r="2722" ht="23" customHeight="1">
      <x:c r="A2722" s="7" t="str">
        <x:v>INV02717</x:v>
      </x:c>
      <x:c r="B2722" s="15" t="d">
        <x:v>2026-01-18T00:00:00.000Z</x:v>
      </x:c>
      <x:c r="C2722" s="14" t="d">
        <x:v>2026-01-01T00:00:00.000Z</x:v>
      </x:c>
      <x:c r="D2722" s="34" t="str">
        <x:v>0006</x:v>
      </x:c>
      <x:c r="E2722" s="7" t="str">
        <x:v>North</x:v>
      </x:c>
      <x:c r="F2722" s="7" t="n">
        <x:v>4</x:v>
      </x:c>
      <x:c r="G2722" s="7" t="n">
        <x:v>260</x:v>
      </x:c>
      <x:c r="H2722" s="9" t="n">
        <x:v>0.05</x:v>
      </x:c>
      <x:c r="I2722" s="7" t="n">
        <x:v>988</x:v>
      </x:c>
    </x:row>
    <x:row r="2723" ht="23" customHeight="1">
      <x:c r="A2723" s="7" t="str">
        <x:v>INV02718</x:v>
      </x:c>
      <x:c r="B2723" s="15" t="d">
        <x:v>2026-01-19T00:00:00.000Z</x:v>
      </x:c>
      <x:c r="C2723" s="14" t="d">
        <x:v>2026-01-01T00:00:00.000Z</x:v>
      </x:c>
      <x:c r="D2723" s="34" t="str">
        <x:v>0007</x:v>
      </x:c>
      <x:c r="E2723" s="7" t="str">
        <x:v>North</x:v>
      </x:c>
      <x:c r="F2723" s="7" t="n">
        <x:v>6</x:v>
      </x:c>
      <x:c r="G2723" s="7" t="n">
        <x:v>280</x:v>
      </x:c>
      <x:c r="H2723" s="9" t="n">
        <x:v>0</x:v>
      </x:c>
      <x:c r="I2723" s="7" t="n">
        <x:v>1680</x:v>
      </x:c>
    </x:row>
    <x:row r="2724" ht="23" customHeight="1">
      <x:c r="A2724" s="7" t="str">
        <x:v>INV02719</x:v>
      </x:c>
      <x:c r="B2724" s="15" t="d">
        <x:v>2026-01-20T00:00:00.000Z</x:v>
      </x:c>
      <x:c r="C2724" s="14" t="d">
        <x:v>2026-01-01T00:00:00.000Z</x:v>
      </x:c>
      <x:c r="D2724" s="34" t="str">
        <x:v>0008</x:v>
      </x:c>
      <x:c r="E2724" s="7" t="str">
        <x:v>North</x:v>
      </x:c>
      <x:c r="F2724" s="7" t="n">
        <x:v>2</x:v>
      </x:c>
      <x:c r="G2724" s="7" t="n">
        <x:v>300</x:v>
      </x:c>
      <x:c r="H2724" s="9" t="n">
        <x:v>0.02</x:v>
      </x:c>
      <x:c r="I2724" s="7" t="n">
        <x:v>588</x:v>
      </x:c>
    </x:row>
    <x:row r="2725" ht="23" customHeight="1">
      <x:c r="A2725" s="7" t="str">
        <x:v>INV02720</x:v>
      </x:c>
      <x:c r="B2725" s="15" t="d">
        <x:v>2026-02-21T00:00:00.000Z</x:v>
      </x:c>
      <x:c r="C2725" s="14" t="d">
        <x:v>2026-02-01T00:00:00.000Z</x:v>
      </x:c>
      <x:c r="D2725" s="34" t="str">
        <x:v>0001</x:v>
      </x:c>
      <x:c r="E2725" s="7" t="str">
        <x:v>Central</x:v>
      </x:c>
      <x:c r="F2725" s="7" t="n">
        <x:v>7</x:v>
      </x:c>
      <x:c r="G2725" s="7" t="n">
        <x:v>160</x:v>
      </x:c>
      <x:c r="H2725" s="9" t="n">
        <x:v>0.05</x:v>
      </x:c>
      <x:c r="I2725" s="7" t="n">
        <x:v>1064</x:v>
      </x:c>
    </x:row>
    <x:row r="2726" ht="23" customHeight="1">
      <x:c r="A2726" s="7" t="str">
        <x:v>INV02721</x:v>
      </x:c>
      <x:c r="B2726" s="15" t="d">
        <x:v>2026-02-22T00:00:00.000Z</x:v>
      </x:c>
      <x:c r="C2726" s="14" t="d">
        <x:v>2026-02-01T00:00:00.000Z</x:v>
      </x:c>
      <x:c r="D2726" s="34" t="str">
        <x:v>0002</x:v>
      </x:c>
      <x:c r="E2726" s="7" t="str">
        <x:v>Central</x:v>
      </x:c>
      <x:c r="F2726" s="7" t="n">
        <x:v>7</x:v>
      </x:c>
      <x:c r="G2726" s="7" t="n">
        <x:v>180</x:v>
      </x:c>
      <x:c r="H2726" s="9" t="n">
        <x:v>0</x:v>
      </x:c>
      <x:c r="I2726" s="7" t="n">
        <x:v>1260</x:v>
      </x:c>
    </x:row>
    <x:row r="2727" ht="23" customHeight="1">
      <x:c r="A2727" s="7" t="str">
        <x:v>INV02722</x:v>
      </x:c>
      <x:c r="B2727" s="15" t="d">
        <x:v>2026-02-23T00:00:00.000Z</x:v>
      </x:c>
      <x:c r="C2727" s="14" t="d">
        <x:v>2026-02-01T00:00:00.000Z</x:v>
      </x:c>
      <x:c r="D2727" s="34" t="str">
        <x:v>0003</x:v>
      </x:c>
      <x:c r="E2727" s="7" t="str">
        <x:v>Central</x:v>
      </x:c>
      <x:c r="F2727" s="7" t="n">
        <x:v>1</x:v>
      </x:c>
      <x:c r="G2727" s="7" t="n">
        <x:v>200</x:v>
      </x:c>
      <x:c r="H2727" s="9" t="n">
        <x:v>0.02</x:v>
      </x:c>
      <x:c r="I2727" s="7" t="n">
        <x:v>196</x:v>
      </x:c>
    </x:row>
    <x:row r="2728" ht="23" customHeight="1">
      <x:c r="A2728" s="7" t="str">
        <x:v>INV02723</x:v>
      </x:c>
      <x:c r="B2728" s="15" t="d">
        <x:v>2026-02-24T00:00:00.000Z</x:v>
      </x:c>
      <x:c r="C2728" s="14" t="d">
        <x:v>2026-02-01T00:00:00.000Z</x:v>
      </x:c>
      <x:c r="D2728" s="34" t="str">
        <x:v>0004</x:v>
      </x:c>
      <x:c r="E2728" s="7" t="str">
        <x:v>Central</x:v>
      </x:c>
      <x:c r="F2728" s="7" t="n">
        <x:v>3</x:v>
      </x:c>
      <x:c r="G2728" s="7" t="n">
        <x:v>220</x:v>
      </x:c>
      <x:c r="H2728" s="9" t="n">
        <x:v>0.05</x:v>
      </x:c>
      <x:c r="I2728" s="7" t="n">
        <x:v>627</x:v>
      </x:c>
    </x:row>
    <x:row r="2729" ht="23" customHeight="1">
      <x:c r="A2729" s="7" t="str">
        <x:v>INV02724</x:v>
      </x:c>
      <x:c r="B2729" s="15" t="d">
        <x:v>2026-02-25T00:00:00.000Z</x:v>
      </x:c>
      <x:c r="C2729" s="14" t="d">
        <x:v>2026-02-01T00:00:00.000Z</x:v>
      </x:c>
      <x:c r="D2729" s="34" t="str">
        <x:v>0005</x:v>
      </x:c>
      <x:c r="E2729" s="7" t="str">
        <x:v>Central</x:v>
      </x:c>
      <x:c r="F2729" s="7" t="n">
        <x:v>2</x:v>
      </x:c>
      <x:c r="G2729" s="7" t="n">
        <x:v>240</x:v>
      </x:c>
      <x:c r="H2729" s="9" t="n">
        <x:v>0</x:v>
      </x:c>
      <x:c r="I2729" s="7" t="n">
        <x:v>480</x:v>
      </x:c>
    </x:row>
    <x:row r="2730" ht="23" customHeight="1">
      <x:c r="A2730" s="7" t="str">
        <x:v>INV02725</x:v>
      </x:c>
      <x:c r="B2730" s="15" t="d">
        <x:v>2026-02-26T00:00:00.000Z</x:v>
      </x:c>
      <x:c r="C2730" s="14" t="d">
        <x:v>2026-02-01T00:00:00.000Z</x:v>
      </x:c>
      <x:c r="D2730" s="34" t="str">
        <x:v>0006</x:v>
      </x:c>
      <x:c r="E2730" s="7" t="str">
        <x:v>Central</x:v>
      </x:c>
      <x:c r="F2730" s="7" t="n">
        <x:v>6</x:v>
      </x:c>
      <x:c r="G2730" s="7" t="n">
        <x:v>260</x:v>
      </x:c>
      <x:c r="H2730" s="9" t="n">
        <x:v>0.02</x:v>
      </x:c>
      <x:c r="I2730" s="7" t="n">
        <x:v>1528.8</x:v>
      </x:c>
    </x:row>
    <x:row r="2731" ht="23" customHeight="1">
      <x:c r="A2731" s="7" t="str">
        <x:v>INV02726</x:v>
      </x:c>
      <x:c r="B2731" s="15" t="d">
        <x:v>2026-02-27T00:00:00.000Z</x:v>
      </x:c>
      <x:c r="C2731" s="14" t="d">
        <x:v>2026-02-01T00:00:00.000Z</x:v>
      </x:c>
      <x:c r="D2731" s="34" t="str">
        <x:v>0007</x:v>
      </x:c>
      <x:c r="E2731" s="7" t="str">
        <x:v>Central</x:v>
      </x:c>
      <x:c r="F2731" s="7" t="n">
        <x:v>4</x:v>
      </x:c>
      <x:c r="G2731" s="7" t="n">
        <x:v>280</x:v>
      </x:c>
      <x:c r="H2731" s="9" t="n">
        <x:v>0.05</x:v>
      </x:c>
      <x:c r="I2731" s="7" t="n">
        <x:v>1064</x:v>
      </x:c>
    </x:row>
    <x:row r="2732" ht="23" customHeight="1">
      <x:c r="A2732" s="7" t="str">
        <x:v>INV02727</x:v>
      </x:c>
      <x:c r="B2732" s="15" t="d">
        <x:v>2026-02-01T00:00:00.000Z</x:v>
      </x:c>
      <x:c r="C2732" s="14" t="d">
        <x:v>2026-02-01T00:00:00.000Z</x:v>
      </x:c>
      <x:c r="D2732" s="34" t="str">
        <x:v>0008</x:v>
      </x:c>
      <x:c r="E2732" s="7" t="str">
        <x:v>Central</x:v>
      </x:c>
      <x:c r="F2732" s="7" t="n">
        <x:v>7</x:v>
      </x:c>
      <x:c r="G2732" s="7" t="n">
        <x:v>300</x:v>
      </x:c>
      <x:c r="H2732" s="9" t="n">
        <x:v>0</x:v>
      </x:c>
      <x:c r="I2732" s="7" t="n">
        <x:v>2100</x:v>
      </x:c>
    </x:row>
    <x:row r="2733" ht="23" customHeight="1">
      <x:c r="A2733" s="7" t="str">
        <x:v>INV02728</x:v>
      </x:c>
      <x:c r="B2733" s="15" t="d">
        <x:v>2026-02-02T00:00:00.000Z</x:v>
      </x:c>
      <x:c r="C2733" s="14" t="d">
        <x:v>2026-02-01T00:00:00.000Z</x:v>
      </x:c>
      <x:c r="D2733" s="34" t="str">
        <x:v>0001</x:v>
      </x:c>
      <x:c r="E2733" s="7" t="str">
        <x:v>East</x:v>
      </x:c>
      <x:c r="F2733" s="7" t="n">
        <x:v>1</x:v>
      </x:c>
      <x:c r="G2733" s="7" t="n">
        <x:v>160</x:v>
      </x:c>
      <x:c r="H2733" s="9" t="n">
        <x:v>0.02</x:v>
      </x:c>
      <x:c r="I2733" s="7" t="n">
        <x:v>156.8</x:v>
      </x:c>
    </x:row>
    <x:row r="2734" ht="23" customHeight="1">
      <x:c r="A2734" s="7" t="str">
        <x:v>INV02729</x:v>
      </x:c>
      <x:c r="B2734" s="15" t="d">
        <x:v>2026-02-03T00:00:00.000Z</x:v>
      </x:c>
      <x:c r="C2734" s="14" t="d">
        <x:v>2026-02-01T00:00:00.000Z</x:v>
      </x:c>
      <x:c r="D2734" s="34" t="str">
        <x:v>0002</x:v>
      </x:c>
      <x:c r="E2734" s="7" t="str">
        <x:v>East</x:v>
      </x:c>
      <x:c r="F2734" s="7" t="n">
        <x:v>7</x:v>
      </x:c>
      <x:c r="G2734" s="7" t="n">
        <x:v>180</x:v>
      </x:c>
      <x:c r="H2734" s="9" t="n">
        <x:v>0.05</x:v>
      </x:c>
      <x:c r="I2734" s="7" t="n">
        <x:v>1197</x:v>
      </x:c>
    </x:row>
    <x:row r="2735" ht="23" customHeight="1">
      <x:c r="A2735" s="7" t="str">
        <x:v>INV02730</x:v>
      </x:c>
      <x:c r="B2735" s="15" t="d">
        <x:v>2026-02-04T00:00:00.000Z</x:v>
      </x:c>
      <x:c r="C2735" s="14" t="d">
        <x:v>2026-02-01T00:00:00.000Z</x:v>
      </x:c>
      <x:c r="D2735" s="34" t="str">
        <x:v>0003</x:v>
      </x:c>
      <x:c r="E2735" s="7" t="str">
        <x:v>East</x:v>
      </x:c>
      <x:c r="F2735" s="7" t="n">
        <x:v>6</x:v>
      </x:c>
      <x:c r="G2735" s="7" t="n">
        <x:v>200</x:v>
      </x:c>
      <x:c r="H2735" s="9" t="n">
        <x:v>0</x:v>
      </x:c>
      <x:c r="I2735" s="7" t="n">
        <x:v>1200</x:v>
      </x:c>
    </x:row>
    <x:row r="2736" ht="23" customHeight="1">
      <x:c r="A2736" s="7" t="str">
        <x:v>INV02731</x:v>
      </x:c>
      <x:c r="B2736" s="15" t="d">
        <x:v>2026-02-05T00:00:00.000Z</x:v>
      </x:c>
      <x:c r="C2736" s="14" t="d">
        <x:v>2026-02-01T00:00:00.000Z</x:v>
      </x:c>
      <x:c r="D2736" s="34" t="str">
        <x:v>0004</x:v>
      </x:c>
      <x:c r="E2736" s="7" t="str">
        <x:v>East</x:v>
      </x:c>
      <x:c r="F2736" s="7" t="n">
        <x:v>5</x:v>
      </x:c>
      <x:c r="G2736" s="7" t="n">
        <x:v>220</x:v>
      </x:c>
      <x:c r="H2736" s="9" t="n">
        <x:v>0.02</x:v>
      </x:c>
      <x:c r="I2736" s="7" t="n">
        <x:v>1078</x:v>
      </x:c>
    </x:row>
    <x:row r="2737" ht="23" customHeight="1">
      <x:c r="A2737" s="7" t="str">
        <x:v>INV02732</x:v>
      </x:c>
      <x:c r="B2737" s="15" t="d">
        <x:v>2026-02-06T00:00:00.000Z</x:v>
      </x:c>
      <x:c r="C2737" s="14" t="d">
        <x:v>2026-02-01T00:00:00.000Z</x:v>
      </x:c>
      <x:c r="D2737" s="34" t="str">
        <x:v>0005</x:v>
      </x:c>
      <x:c r="E2737" s="7" t="str">
        <x:v>East</x:v>
      </x:c>
      <x:c r="F2737" s="7" t="n">
        <x:v>4</x:v>
      </x:c>
      <x:c r="G2737" s="7" t="n">
        <x:v>240</x:v>
      </x:c>
      <x:c r="H2737" s="9" t="n">
        <x:v>0.05</x:v>
      </x:c>
      <x:c r="I2737" s="7" t="n">
        <x:v>912</x:v>
      </x:c>
    </x:row>
    <x:row r="2738" ht="23" customHeight="1">
      <x:c r="A2738" s="7" t="str">
        <x:v>INV02733</x:v>
      </x:c>
      <x:c r="B2738" s="15" t="d">
        <x:v>2026-02-07T00:00:00.000Z</x:v>
      </x:c>
      <x:c r="C2738" s="14" t="d">
        <x:v>2026-02-01T00:00:00.000Z</x:v>
      </x:c>
      <x:c r="D2738" s="34" t="str">
        <x:v>0006</x:v>
      </x:c>
      <x:c r="E2738" s="7" t="str">
        <x:v>East</x:v>
      </x:c>
      <x:c r="F2738" s="7" t="n">
        <x:v>6</x:v>
      </x:c>
      <x:c r="G2738" s="7" t="n">
        <x:v>260</x:v>
      </x:c>
      <x:c r="H2738" s="9" t="n">
        <x:v>0</x:v>
      </x:c>
      <x:c r="I2738" s="7" t="n">
        <x:v>1560</x:v>
      </x:c>
    </x:row>
    <x:row r="2739" ht="23" customHeight="1">
      <x:c r="A2739" s="7" t="str">
        <x:v>INV02734</x:v>
      </x:c>
      <x:c r="B2739" s="15" t="d">
        <x:v>2026-02-08T00:00:00.000Z</x:v>
      </x:c>
      <x:c r="C2739" s="14" t="d">
        <x:v>2026-02-01T00:00:00.000Z</x:v>
      </x:c>
      <x:c r="D2739" s="34" t="str">
        <x:v>0007</x:v>
      </x:c>
      <x:c r="E2739" s="7" t="str">
        <x:v>East</x:v>
      </x:c>
      <x:c r="F2739" s="7" t="n">
        <x:v>4</x:v>
      </x:c>
      <x:c r="G2739" s="7" t="n">
        <x:v>280</x:v>
      </x:c>
      <x:c r="H2739" s="9" t="n">
        <x:v>0.02</x:v>
      </x:c>
      <x:c r="I2739" s="7" t="n">
        <x:v>1097.6</x:v>
      </x:c>
    </x:row>
    <x:row r="2740" ht="23" customHeight="1">
      <x:c r="A2740" s="7" t="str">
        <x:v>INV02735</x:v>
      </x:c>
      <x:c r="B2740" s="15" t="d">
        <x:v>2026-02-09T00:00:00.000Z</x:v>
      </x:c>
      <x:c r="C2740" s="14" t="d">
        <x:v>2026-02-01T00:00:00.000Z</x:v>
      </x:c>
      <x:c r="D2740" s="34" t="str">
        <x:v>0008</x:v>
      </x:c>
      <x:c r="E2740" s="7" t="str">
        <x:v>East</x:v>
      </x:c>
      <x:c r="F2740" s="7" t="n">
        <x:v>1</x:v>
      </x:c>
      <x:c r="G2740" s="7" t="n">
        <x:v>300</x:v>
      </x:c>
      <x:c r="H2740" s="9" t="n">
        <x:v>0.05</x:v>
      </x:c>
      <x:c r="I2740" s="7" t="n">
        <x:v>285</x:v>
      </x:c>
    </x:row>
    <x:row r="2741" ht="23" customHeight="1">
      <x:c r="A2741" s="7" t="str">
        <x:v>INV02736</x:v>
      </x:c>
      <x:c r="B2741" s="15" t="d">
        <x:v>2026-02-10T00:00:00.000Z</x:v>
      </x:c>
      <x:c r="C2741" s="14" t="d">
        <x:v>2026-02-01T00:00:00.000Z</x:v>
      </x:c>
      <x:c r="D2741" s="34" t="str">
        <x:v>0001</x:v>
      </x:c>
      <x:c r="E2741" s="7" t="str">
        <x:v>West</x:v>
      </x:c>
      <x:c r="F2741" s="7" t="n">
        <x:v>5</x:v>
      </x:c>
      <x:c r="G2741" s="7" t="n">
        <x:v>160</x:v>
      </x:c>
      <x:c r="H2741" s="9" t="n">
        <x:v>0</x:v>
      </x:c>
      <x:c r="I2741" s="7" t="n">
        <x:v>800</x:v>
      </x:c>
    </x:row>
    <x:row r="2742" ht="23" customHeight="1">
      <x:c r="A2742" s="7" t="str">
        <x:v>INV02737</x:v>
      </x:c>
      <x:c r="B2742" s="15" t="d">
        <x:v>2026-02-11T00:00:00.000Z</x:v>
      </x:c>
      <x:c r="C2742" s="14" t="d">
        <x:v>2026-02-01T00:00:00.000Z</x:v>
      </x:c>
      <x:c r="D2742" s="34" t="str">
        <x:v>0002</x:v>
      </x:c>
      <x:c r="E2742" s="7" t="str">
        <x:v>West</x:v>
      </x:c>
      <x:c r="F2742" s="7" t="n">
        <x:v>7</x:v>
      </x:c>
      <x:c r="G2742" s="7" t="n">
        <x:v>180</x:v>
      </x:c>
      <x:c r="H2742" s="9" t="n">
        <x:v>0.02</x:v>
      </x:c>
      <x:c r="I2742" s="7" t="n">
        <x:v>1234.8</x:v>
      </x:c>
    </x:row>
    <x:row r="2743" ht="23" customHeight="1">
      <x:c r="A2743" s="7" t="str">
        <x:v>INV02738</x:v>
      </x:c>
      <x:c r="B2743" s="15" t="d">
        <x:v>2026-02-12T00:00:00.000Z</x:v>
      </x:c>
      <x:c r="C2743" s="14" t="d">
        <x:v>2026-02-01T00:00:00.000Z</x:v>
      </x:c>
      <x:c r="D2743" s="34" t="str">
        <x:v>0003</x:v>
      </x:c>
      <x:c r="E2743" s="7" t="str">
        <x:v>West</x:v>
      </x:c>
      <x:c r="F2743" s="7" t="n">
        <x:v>5</x:v>
      </x:c>
      <x:c r="G2743" s="7" t="n">
        <x:v>200</x:v>
      </x:c>
      <x:c r="H2743" s="9" t="n">
        <x:v>0.05</x:v>
      </x:c>
      <x:c r="I2743" s="7" t="n">
        <x:v>950</x:v>
      </x:c>
    </x:row>
    <x:row r="2744" ht="23" customHeight="1">
      <x:c r="A2744" s="7" t="str">
        <x:v>INV02739</x:v>
      </x:c>
      <x:c r="B2744" s="15" t="d">
        <x:v>2026-02-13T00:00:00.000Z</x:v>
      </x:c>
      <x:c r="C2744" s="14" t="d">
        <x:v>2026-02-01T00:00:00.000Z</x:v>
      </x:c>
      <x:c r="D2744" s="34" t="str">
        <x:v>0004</x:v>
      </x:c>
      <x:c r="E2744" s="7" t="str">
        <x:v>West</x:v>
      </x:c>
      <x:c r="F2744" s="7" t="n">
        <x:v>5</x:v>
      </x:c>
      <x:c r="G2744" s="7" t="n">
        <x:v>220</x:v>
      </x:c>
      <x:c r="H2744" s="9" t="n">
        <x:v>0</x:v>
      </x:c>
      <x:c r="I2744" s="7" t="n">
        <x:v>1100</x:v>
      </x:c>
    </x:row>
    <x:row r="2745" ht="23" customHeight="1">
      <x:c r="A2745" s="7" t="str">
        <x:v>INV02740</x:v>
      </x:c>
      <x:c r="B2745" s="15" t="d">
        <x:v>2026-02-14T00:00:00.000Z</x:v>
      </x:c>
      <x:c r="C2745" s="14" t="d">
        <x:v>2026-02-01T00:00:00.000Z</x:v>
      </x:c>
      <x:c r="D2745" s="34" t="str">
        <x:v>0005</x:v>
      </x:c>
      <x:c r="E2745" s="7" t="str">
        <x:v>West</x:v>
      </x:c>
      <x:c r="F2745" s="7" t="n">
        <x:v>1</x:v>
      </x:c>
      <x:c r="G2745" s="7" t="n">
        <x:v>240</x:v>
      </x:c>
      <x:c r="H2745" s="9" t="n">
        <x:v>0.02</x:v>
      </x:c>
      <x:c r="I2745" s="7" t="n">
        <x:v>235.2</x:v>
      </x:c>
    </x:row>
    <x:row r="2746" ht="23" customHeight="1">
      <x:c r="A2746" s="7" t="str">
        <x:v>INV02741</x:v>
      </x:c>
      <x:c r="B2746" s="15" t="d">
        <x:v>2026-02-15T00:00:00.000Z</x:v>
      </x:c>
      <x:c r="C2746" s="14" t="d">
        <x:v>2026-02-01T00:00:00.000Z</x:v>
      </x:c>
      <x:c r="D2746" s="34" t="str">
        <x:v>0006</x:v>
      </x:c>
      <x:c r="E2746" s="7" t="str">
        <x:v>West</x:v>
      </x:c>
      <x:c r="F2746" s="7" t="n">
        <x:v>3</x:v>
      </x:c>
      <x:c r="G2746" s="7" t="n">
        <x:v>260</x:v>
      </x:c>
      <x:c r="H2746" s="9" t="n">
        <x:v>0.05</x:v>
      </x:c>
      <x:c r="I2746" s="7" t="n">
        <x:v>741</x:v>
      </x:c>
    </x:row>
    <x:row r="2747" ht="23" customHeight="1">
      <x:c r="A2747" s="7" t="str">
        <x:v>INV02742</x:v>
      </x:c>
      <x:c r="B2747" s="15" t="d">
        <x:v>2026-02-16T00:00:00.000Z</x:v>
      </x:c>
      <x:c r="C2747" s="14" t="d">
        <x:v>2026-02-01T00:00:00.000Z</x:v>
      </x:c>
      <x:c r="D2747" s="34" t="str">
        <x:v>0007</x:v>
      </x:c>
      <x:c r="E2747" s="7" t="str">
        <x:v>West</x:v>
      </x:c>
      <x:c r="F2747" s="7" t="n">
        <x:v>3</x:v>
      </x:c>
      <x:c r="G2747" s="7" t="n">
        <x:v>280</x:v>
      </x:c>
      <x:c r="H2747" s="9" t="n">
        <x:v>0</x:v>
      </x:c>
      <x:c r="I2747" s="7" t="n">
        <x:v>840</x:v>
      </x:c>
    </x:row>
    <x:row r="2748" ht="23" customHeight="1">
      <x:c r="A2748" s="7" t="str">
        <x:v>INV02743</x:v>
      </x:c>
      <x:c r="B2748" s="15" t="d">
        <x:v>2026-02-17T00:00:00.000Z</x:v>
      </x:c>
      <x:c r="C2748" s="14" t="d">
        <x:v>2026-02-01T00:00:00.000Z</x:v>
      </x:c>
      <x:c r="D2748" s="34" t="str">
        <x:v>0008</x:v>
      </x:c>
      <x:c r="E2748" s="7" t="str">
        <x:v>West</x:v>
      </x:c>
      <x:c r="F2748" s="7" t="n">
        <x:v>6</x:v>
      </x:c>
      <x:c r="G2748" s="7" t="n">
        <x:v>300</x:v>
      </x:c>
      <x:c r="H2748" s="9" t="n">
        <x:v>0.02</x:v>
      </x:c>
      <x:c r="I2748" s="7" t="n">
        <x:v>1764</x:v>
      </x:c>
    </x:row>
    <x:row r="2749" ht="23" customHeight="1">
      <x:c r="A2749" s="7" t="str">
        <x:v>INV02744</x:v>
      </x:c>
      <x:c r="B2749" s="15" t="d">
        <x:v>2026-02-18T00:00:00.000Z</x:v>
      </x:c>
      <x:c r="C2749" s="14" t="d">
        <x:v>2026-02-01T00:00:00.000Z</x:v>
      </x:c>
      <x:c r="D2749" s="34" t="str">
        <x:v>0001</x:v>
      </x:c>
      <x:c r="E2749" s="7" t="str">
        <x:v>North</x:v>
      </x:c>
      <x:c r="F2749" s="7" t="n">
        <x:v>4</x:v>
      </x:c>
      <x:c r="G2749" s="7" t="n">
        <x:v>160</x:v>
      </x:c>
      <x:c r="H2749" s="9" t="n">
        <x:v>0.05</x:v>
      </x:c>
      <x:c r="I2749" s="7" t="n">
        <x:v>608</x:v>
      </x:c>
    </x:row>
    <x:row r="2750" ht="23" customHeight="1">
      <x:c r="A2750" s="7" t="str">
        <x:v>INV02745</x:v>
      </x:c>
      <x:c r="B2750" s="15" t="d">
        <x:v>2026-02-19T00:00:00.000Z</x:v>
      </x:c>
      <x:c r="C2750" s="14" t="d">
        <x:v>2026-02-01T00:00:00.000Z</x:v>
      </x:c>
      <x:c r="D2750" s="34" t="str">
        <x:v>0002</x:v>
      </x:c>
      <x:c r="E2750" s="7" t="str">
        <x:v>North</x:v>
      </x:c>
      <x:c r="F2750" s="7" t="n">
        <x:v>4</x:v>
      </x:c>
      <x:c r="G2750" s="7" t="n">
        <x:v>180</x:v>
      </x:c>
      <x:c r="H2750" s="9" t="n">
        <x:v>0</x:v>
      </x:c>
      <x:c r="I2750" s="7" t="n">
        <x:v>720</x:v>
      </x:c>
    </x:row>
    <x:row r="2751" ht="23" customHeight="1">
      <x:c r="A2751" s="7" t="str">
        <x:v>INV02746</x:v>
      </x:c>
      <x:c r="B2751" s="15" t="d">
        <x:v>2026-02-20T00:00:00.000Z</x:v>
      </x:c>
      <x:c r="C2751" s="14" t="d">
        <x:v>2026-02-01T00:00:00.000Z</x:v>
      </x:c>
      <x:c r="D2751" s="34" t="str">
        <x:v>0003</x:v>
      </x:c>
      <x:c r="E2751" s="7" t="str">
        <x:v>North</x:v>
      </x:c>
      <x:c r="F2751" s="7" t="n">
        <x:v>1</x:v>
      </x:c>
      <x:c r="G2751" s="7" t="n">
        <x:v>200</x:v>
      </x:c>
      <x:c r="H2751" s="9" t="n">
        <x:v>0.02</x:v>
      </x:c>
      <x:c r="I2751" s="7" t="n">
        <x:v>196</x:v>
      </x:c>
    </x:row>
    <x:row r="2752" ht="23" customHeight="1">
      <x:c r="A2752" s="7" t="str">
        <x:v>INV02747</x:v>
      </x:c>
      <x:c r="B2752" s="15" t="d">
        <x:v>2026-02-21T00:00:00.000Z</x:v>
      </x:c>
      <x:c r="C2752" s="14" t="d">
        <x:v>2026-02-01T00:00:00.000Z</x:v>
      </x:c>
      <x:c r="D2752" s="34" t="str">
        <x:v>0004</x:v>
      </x:c>
      <x:c r="E2752" s="7" t="str">
        <x:v>North</x:v>
      </x:c>
      <x:c r="F2752" s="7" t="n">
        <x:v>-7</x:v>
      </x:c>
      <x:c r="G2752" s="7" t="n">
        <x:v>220</x:v>
      </x:c>
      <x:c r="H2752" s="9" t="n">
        <x:v>0.05</x:v>
      </x:c>
      <x:c r="I2752" s="7" t="n">
        <x:v>-1463</x:v>
      </x:c>
    </x:row>
    <x:row r="2753" ht="23" customHeight="1">
      <x:c r="A2753" s="7" t="str">
        <x:v>INV02748</x:v>
      </x:c>
      <x:c r="B2753" s="15" t="d">
        <x:v>2026-02-22T00:00:00.000Z</x:v>
      </x:c>
      <x:c r="C2753" s="14" t="d">
        <x:v>2026-02-01T00:00:00.000Z</x:v>
      </x:c>
      <x:c r="D2753" s="34" t="str">
        <x:v>0005</x:v>
      </x:c>
      <x:c r="E2753" s="7" t="str">
        <x:v>North</x:v>
      </x:c>
      <x:c r="F2753" s="7" t="n">
        <x:v>1</x:v>
      </x:c>
      <x:c r="G2753" s="7" t="n">
        <x:v>240</x:v>
      </x:c>
      <x:c r="H2753" s="9" t="n">
        <x:v>0</x:v>
      </x:c>
      <x:c r="I2753" s="7" t="n">
        <x:v>240</x:v>
      </x:c>
    </x:row>
    <x:row r="2754" ht="23" customHeight="1">
      <x:c r="A2754" s="7" t="str">
        <x:v>INV02749</x:v>
      </x:c>
      <x:c r="B2754" s="15" t="d">
        <x:v>2026-02-23T00:00:00.000Z</x:v>
      </x:c>
      <x:c r="C2754" s="14" t="d">
        <x:v>2026-02-01T00:00:00.000Z</x:v>
      </x:c>
      <x:c r="D2754" s="34" t="str">
        <x:v>0006</x:v>
      </x:c>
      <x:c r="E2754" s="7" t="str">
        <x:v>North</x:v>
      </x:c>
      <x:c r="F2754" s="7" t="n">
        <x:v>1</x:v>
      </x:c>
      <x:c r="G2754" s="7" t="n">
        <x:v>260</x:v>
      </x:c>
      <x:c r="H2754" s="9" t="n">
        <x:v>0.02</x:v>
      </x:c>
      <x:c r="I2754" s="7" t="n">
        <x:v>254.8</x:v>
      </x:c>
    </x:row>
    <x:row r="2755" ht="23" customHeight="1">
      <x:c r="A2755" s="7" t="str">
        <x:v>INV02750</x:v>
      </x:c>
      <x:c r="B2755" s="15" t="d">
        <x:v>2026-02-24T00:00:00.000Z</x:v>
      </x:c>
      <x:c r="C2755" s="14" t="d">
        <x:v>2026-02-01T00:00:00.000Z</x:v>
      </x:c>
      <x:c r="D2755" s="34" t="str">
        <x:v>0007</x:v>
      </x:c>
      <x:c r="E2755" s="7" t="str">
        <x:v>North</x:v>
      </x:c>
      <x:c r="F2755" s="7" t="n">
        <x:v>3</x:v>
      </x:c>
      <x:c r="G2755" s="7" t="n">
        <x:v>280</x:v>
      </x:c>
      <x:c r="H2755" s="9" t="n">
        <x:v>0.05</x:v>
      </x:c>
      <x:c r="I2755" s="7" t="n">
        <x:v>798</x:v>
      </x:c>
    </x:row>
    <x:row r="2756" ht="23" customHeight="1">
      <x:c r="A2756" s="7" t="str">
        <x:v>INV02751</x:v>
      </x:c>
      <x:c r="B2756" s="15" t="d">
        <x:v>2026-02-25T00:00:00.000Z</x:v>
      </x:c>
      <x:c r="C2756" s="14" t="d">
        <x:v>2026-02-01T00:00:00.000Z</x:v>
      </x:c>
      <x:c r="D2756" s="34" t="str">
        <x:v>0008</x:v>
      </x:c>
      <x:c r="E2756" s="7" t="str">
        <x:v>North</x:v>
      </x:c>
      <x:c r="F2756" s="7" t="n">
        <x:v>5</x:v>
      </x:c>
      <x:c r="G2756" s="7" t="n">
        <x:v>300</x:v>
      </x:c>
      <x:c r="H2756" s="9" t="n">
        <x:v>0</x:v>
      </x:c>
      <x:c r="I2756" s="7" t="n">
        <x:v>1500</x:v>
      </x:c>
    </x:row>
    <x:row r="2757" ht="23" customHeight="1">
      <x:c r="A2757" s="7" t="str">
        <x:v>INV02752</x:v>
      </x:c>
      <x:c r="B2757" s="15" t="d">
        <x:v>2026-03-26T00:00:00.000Z</x:v>
      </x:c>
      <x:c r="C2757" s="14" t="d">
        <x:v>2026-03-01T00:00:00.000Z</x:v>
      </x:c>
      <x:c r="D2757" s="34" t="str">
        <x:v>0001</x:v>
      </x:c>
      <x:c r="E2757" s="7" t="str">
        <x:v>Central</x:v>
      </x:c>
      <x:c r="F2757" s="7" t="n">
        <x:v>6</x:v>
      </x:c>
      <x:c r="G2757" s="7" t="n">
        <x:v>160</x:v>
      </x:c>
      <x:c r="H2757" s="9" t="n">
        <x:v>0.02</x:v>
      </x:c>
      <x:c r="I2757" s="7" t="n">
        <x:v>940.8</x:v>
      </x:c>
    </x:row>
    <x:row r="2758" ht="23" customHeight="1">
      <x:c r="A2758" s="7" t="str">
        <x:v>INV02753</x:v>
      </x:c>
      <x:c r="B2758" s="15" t="d">
        <x:v>2026-03-27T00:00:00.000Z</x:v>
      </x:c>
      <x:c r="C2758" s="14" t="d">
        <x:v>2026-03-01T00:00:00.000Z</x:v>
      </x:c>
      <x:c r="D2758" s="34" t="str">
        <x:v>0002</x:v>
      </x:c>
      <x:c r="E2758" s="7" t="str">
        <x:v>Central</x:v>
      </x:c>
      <x:c r="F2758" s="7" t="n">
        <x:v>7</x:v>
      </x:c>
      <x:c r="G2758" s="7" t="n">
        <x:v>180</x:v>
      </x:c>
      <x:c r="H2758" s="9" t="n">
        <x:v>0.05</x:v>
      </x:c>
      <x:c r="I2758" s="7" t="n">
        <x:v>1197</x:v>
      </x:c>
    </x:row>
    <x:row r="2759" ht="23" customHeight="1">
      <x:c r="A2759" s="7" t="str">
        <x:v>INV02754</x:v>
      </x:c>
      <x:c r="B2759" s="15" t="d">
        <x:v>2026-03-01T00:00:00.000Z</x:v>
      </x:c>
      <x:c r="C2759" s="14" t="d">
        <x:v>2026-03-01T00:00:00.000Z</x:v>
      </x:c>
      <x:c r="D2759" s="34" t="str">
        <x:v>0003</x:v>
      </x:c>
      <x:c r="E2759" s="7" t="str">
        <x:v>Central</x:v>
      </x:c>
      <x:c r="F2759" s="7" t="n">
        <x:v>3</x:v>
      </x:c>
      <x:c r="G2759" s="7" t="n">
        <x:v>200</x:v>
      </x:c>
      <x:c r="H2759" s="9" t="n">
        <x:v>0</x:v>
      </x:c>
      <x:c r="I2759" s="7" t="n">
        <x:v>600</x:v>
      </x:c>
    </x:row>
    <x:row r="2760" ht="23" customHeight="1">
      <x:c r="A2760" s="7" t="str">
        <x:v>INV02755</x:v>
      </x:c>
      <x:c r="B2760" s="15" t="d">
        <x:v>2026-03-02T00:00:00.000Z</x:v>
      </x:c>
      <x:c r="C2760" s="14" t="d">
        <x:v>2026-03-01T00:00:00.000Z</x:v>
      </x:c>
      <x:c r="D2760" s="34" t="str">
        <x:v>0004</x:v>
      </x:c>
      <x:c r="E2760" s="7" t="str">
        <x:v>Central</x:v>
      </x:c>
      <x:c r="F2760" s="7" t="n">
        <x:v>3</x:v>
      </x:c>
      <x:c r="G2760" s="7" t="n">
        <x:v>220</x:v>
      </x:c>
      <x:c r="H2760" s="9" t="n">
        <x:v>0.02</x:v>
      </x:c>
      <x:c r="I2760" s="7" t="n">
        <x:v>646.8</x:v>
      </x:c>
    </x:row>
    <x:row r="2761" ht="23" customHeight="1">
      <x:c r="A2761" s="7" t="str">
        <x:v>INV02756</x:v>
      </x:c>
      <x:c r="B2761" s="15" t="d">
        <x:v>2026-03-03T00:00:00.000Z</x:v>
      </x:c>
      <x:c r="C2761" s="14" t="d">
        <x:v>2026-03-01T00:00:00.000Z</x:v>
      </x:c>
      <x:c r="D2761" s="34" t="str">
        <x:v>0005</x:v>
      </x:c>
      <x:c r="E2761" s="7" t="str">
        <x:v>Central</x:v>
      </x:c>
      <x:c r="F2761" s="7" t="n">
        <x:v>3</x:v>
      </x:c>
      <x:c r="G2761" s="7" t="n">
        <x:v>240</x:v>
      </x:c>
      <x:c r="H2761" s="9" t="n">
        <x:v>0.05</x:v>
      </x:c>
      <x:c r="I2761" s="7" t="n">
        <x:v>684</x:v>
      </x:c>
    </x:row>
    <x:row r="2762" ht="23" customHeight="1">
      <x:c r="A2762" s="7" t="str">
        <x:v>INV02757</x:v>
      </x:c>
      <x:c r="B2762" s="15" t="d">
        <x:v>2026-03-04T00:00:00.000Z</x:v>
      </x:c>
      <x:c r="C2762" s="14" t="d">
        <x:v>2026-03-01T00:00:00.000Z</x:v>
      </x:c>
      <x:c r="D2762" s="34" t="str">
        <x:v>0006</x:v>
      </x:c>
      <x:c r="E2762" s="7" t="str">
        <x:v>Central</x:v>
      </x:c>
      <x:c r="F2762" s="7" t="n">
        <x:v>3</x:v>
      </x:c>
      <x:c r="G2762" s="7" t="n">
        <x:v>260</x:v>
      </x:c>
      <x:c r="H2762" s="9" t="n">
        <x:v>0</x:v>
      </x:c>
      <x:c r="I2762" s="7" t="n">
        <x:v>780</x:v>
      </x:c>
    </x:row>
    <x:row r="2763" ht="23" customHeight="1">
      <x:c r="A2763" s="7" t="str">
        <x:v>INV02758</x:v>
      </x:c>
      <x:c r="B2763" s="15" t="d">
        <x:v>2026-03-05T00:00:00.000Z</x:v>
      </x:c>
      <x:c r="C2763" s="14" t="d">
        <x:v>2026-03-01T00:00:00.000Z</x:v>
      </x:c>
      <x:c r="D2763" s="34" t="str">
        <x:v>0007</x:v>
      </x:c>
      <x:c r="E2763" s="7" t="str">
        <x:v>Central</x:v>
      </x:c>
      <x:c r="F2763" s="7" t="n">
        <x:v>7</x:v>
      </x:c>
      <x:c r="G2763" s="7" t="n">
        <x:v>280</x:v>
      </x:c>
      <x:c r="H2763" s="9" t="n">
        <x:v>0.02</x:v>
      </x:c>
      <x:c r="I2763" s="7" t="n">
        <x:v>1920.8</x:v>
      </x:c>
    </x:row>
    <x:row r="2764" ht="23" customHeight="1">
      <x:c r="A2764" s="7" t="str">
        <x:v>INV02759</x:v>
      </x:c>
      <x:c r="B2764" s="15" t="d">
        <x:v>2026-03-06T00:00:00.000Z</x:v>
      </x:c>
      <x:c r="C2764" s="14" t="d">
        <x:v>2026-03-01T00:00:00.000Z</x:v>
      </x:c>
      <x:c r="D2764" s="34" t="str">
        <x:v>0008</x:v>
      </x:c>
      <x:c r="E2764" s="7" t="str">
        <x:v>Central</x:v>
      </x:c>
      <x:c r="F2764" s="7" t="n">
        <x:v>3</x:v>
      </x:c>
      <x:c r="G2764" s="7" t="n">
        <x:v>300</x:v>
      </x:c>
      <x:c r="H2764" s="9" t="n">
        <x:v>0.05</x:v>
      </x:c>
      <x:c r="I2764" s="7" t="n">
        <x:v>855</x:v>
      </x:c>
    </x:row>
    <x:row r="2765" ht="23" customHeight="1">
      <x:c r="A2765" s="7" t="str">
        <x:v>INV02760</x:v>
      </x:c>
      <x:c r="B2765" s="15" t="d">
        <x:v>2026-03-07T00:00:00.000Z</x:v>
      </x:c>
      <x:c r="C2765" s="14" t="d">
        <x:v>2026-03-01T00:00:00.000Z</x:v>
      </x:c>
      <x:c r="D2765" s="34" t="str">
        <x:v>0001</x:v>
      </x:c>
      <x:c r="E2765" s="7" t="str">
        <x:v>East</x:v>
      </x:c>
      <x:c r="F2765" s="7" t="n">
        <x:v>3</x:v>
      </x:c>
      <x:c r="G2765" s="7" t="n">
        <x:v>160</x:v>
      </x:c>
      <x:c r="H2765" s="9" t="n">
        <x:v>0</x:v>
      </x:c>
      <x:c r="I2765" s="7" t="n">
        <x:v>480</x:v>
      </x:c>
    </x:row>
    <x:row r="2766" ht="23" customHeight="1">
      <x:c r="A2766" s="7" t="str">
        <x:v>INV02761</x:v>
      </x:c>
      <x:c r="B2766" s="15" t="d">
        <x:v>2026-03-08T00:00:00.000Z</x:v>
      </x:c>
      <x:c r="C2766" s="14" t="d">
        <x:v>2026-03-01T00:00:00.000Z</x:v>
      </x:c>
      <x:c r="D2766" s="34" t="str">
        <x:v>0002</x:v>
      </x:c>
      <x:c r="E2766" s="7" t="str">
        <x:v>East</x:v>
      </x:c>
      <x:c r="F2766" s="7" t="n">
        <x:v>7</x:v>
      </x:c>
      <x:c r="G2766" s="7" t="n">
        <x:v>180</x:v>
      </x:c>
      <x:c r="H2766" s="9" t="n">
        <x:v>0.02</x:v>
      </x:c>
      <x:c r="I2766" s="7" t="n">
        <x:v>1234.8</x:v>
      </x:c>
    </x:row>
    <x:row r="2767" ht="23" customHeight="1">
      <x:c r="A2767" s="7" t="str">
        <x:v>INV02762</x:v>
      </x:c>
      <x:c r="B2767" s="15" t="d">
        <x:v>2026-03-09T00:00:00.000Z</x:v>
      </x:c>
      <x:c r="C2767" s="14" t="d">
        <x:v>2026-03-01T00:00:00.000Z</x:v>
      </x:c>
      <x:c r="D2767" s="34" t="str">
        <x:v>0003</x:v>
      </x:c>
      <x:c r="E2767" s="7" t="str">
        <x:v>East</x:v>
      </x:c>
      <x:c r="F2767" s="7" t="n">
        <x:v>5</x:v>
      </x:c>
      <x:c r="G2767" s="7" t="n">
        <x:v>200</x:v>
      </x:c>
      <x:c r="H2767" s="9" t="n">
        <x:v>0.05</x:v>
      </x:c>
      <x:c r="I2767" s="7" t="n">
        <x:v>950</x:v>
      </x:c>
    </x:row>
    <x:row r="2768" ht="23" customHeight="1">
      <x:c r="A2768" s="7" t="str">
        <x:v>INV02763</x:v>
      </x:c>
      <x:c r="B2768" s="15" t="d">
        <x:v>2026-03-10T00:00:00.000Z</x:v>
      </x:c>
      <x:c r="C2768" s="14" t="d">
        <x:v>2026-03-01T00:00:00.000Z</x:v>
      </x:c>
      <x:c r="D2768" s="34" t="str">
        <x:v>0004</x:v>
      </x:c>
      <x:c r="E2768" s="7" t="str">
        <x:v>East</x:v>
      </x:c>
      <x:c r="F2768" s="7" t="n">
        <x:v>2</x:v>
      </x:c>
      <x:c r="G2768" s="7" t="n">
        <x:v>220</x:v>
      </x:c>
      <x:c r="H2768" s="9" t="n">
        <x:v>0</x:v>
      </x:c>
      <x:c r="I2768" s="7" t="n">
        <x:v>440</x:v>
      </x:c>
    </x:row>
    <x:row r="2769" ht="23" customHeight="1">
      <x:c r="A2769" s="7" t="str">
        <x:v>INV02764</x:v>
      </x:c>
      <x:c r="B2769" s="15" t="d">
        <x:v>2026-03-11T00:00:00.000Z</x:v>
      </x:c>
      <x:c r="C2769" s="14" t="d">
        <x:v>2026-03-01T00:00:00.000Z</x:v>
      </x:c>
      <x:c r="D2769" s="34" t="str">
        <x:v>0005</x:v>
      </x:c>
      <x:c r="E2769" s="7" t="str">
        <x:v>East</x:v>
      </x:c>
      <x:c r="F2769" s="7" t="n">
        <x:v>2</x:v>
      </x:c>
      <x:c r="G2769" s="7" t="n">
        <x:v>240</x:v>
      </x:c>
      <x:c r="H2769" s="9" t="n">
        <x:v>0.02</x:v>
      </x:c>
      <x:c r="I2769" s="7" t="n">
        <x:v>470.4</x:v>
      </x:c>
    </x:row>
    <x:row r="2770" ht="23" customHeight="1">
      <x:c r="A2770" s="7" t="str">
        <x:v>INV02765</x:v>
      </x:c>
      <x:c r="B2770" s="15" t="d">
        <x:v>2026-03-12T00:00:00.000Z</x:v>
      </x:c>
      <x:c r="C2770" s="14" t="d">
        <x:v>2026-03-01T00:00:00.000Z</x:v>
      </x:c>
      <x:c r="D2770" s="34" t="str">
        <x:v>0006</x:v>
      </x:c>
      <x:c r="E2770" s="7" t="str">
        <x:v>East</x:v>
      </x:c>
      <x:c r="F2770" s="7" t="n">
        <x:v>3</x:v>
      </x:c>
      <x:c r="G2770" s="7" t="n">
        <x:v>260</x:v>
      </x:c>
      <x:c r="H2770" s="9" t="n">
        <x:v>0.05</x:v>
      </x:c>
      <x:c r="I2770" s="7" t="n">
        <x:v>741</x:v>
      </x:c>
    </x:row>
    <x:row r="2771" ht="23" customHeight="1">
      <x:c r="A2771" s="7" t="str">
        <x:v>INV02766</x:v>
      </x:c>
      <x:c r="B2771" s="15" t="d">
        <x:v>2026-03-13T00:00:00.000Z</x:v>
      </x:c>
      <x:c r="C2771" s="14" t="d">
        <x:v>2026-03-01T00:00:00.000Z</x:v>
      </x:c>
      <x:c r="D2771" s="34" t="str">
        <x:v>0007</x:v>
      </x:c>
      <x:c r="E2771" s="7" t="str">
        <x:v>East</x:v>
      </x:c>
      <x:c r="F2771" s="7" t="n">
        <x:v>6</x:v>
      </x:c>
      <x:c r="G2771" s="7" t="n">
        <x:v>280</x:v>
      </x:c>
      <x:c r="H2771" s="9" t="n">
        <x:v>0</x:v>
      </x:c>
      <x:c r="I2771" s="7" t="n">
        <x:v>1680</x:v>
      </x:c>
    </x:row>
    <x:row r="2772" ht="23" customHeight="1">
      <x:c r="A2772" s="7" t="str">
        <x:v>INV02767</x:v>
      </x:c>
      <x:c r="B2772" s="15" t="d">
        <x:v>2026-03-14T00:00:00.000Z</x:v>
      </x:c>
      <x:c r="C2772" s="14" t="d">
        <x:v>2026-03-01T00:00:00.000Z</x:v>
      </x:c>
      <x:c r="D2772" s="34" t="str">
        <x:v>0008</x:v>
      </x:c>
      <x:c r="E2772" s="7" t="str">
        <x:v>East</x:v>
      </x:c>
      <x:c r="F2772" s="7" t="n">
        <x:v>2</x:v>
      </x:c>
      <x:c r="G2772" s="7" t="n">
        <x:v>300</x:v>
      </x:c>
      <x:c r="H2772" s="9" t="n">
        <x:v>0.02</x:v>
      </x:c>
      <x:c r="I2772" s="7" t="n">
        <x:v>588</x:v>
      </x:c>
    </x:row>
    <x:row r="2773" ht="23" customHeight="1">
      <x:c r="A2773" s="7" t="str">
        <x:v>INV02768</x:v>
      </x:c>
      <x:c r="B2773" s="15" t="d">
        <x:v>2026-03-15T00:00:00.000Z</x:v>
      </x:c>
      <x:c r="C2773" s="14" t="d">
        <x:v>2026-03-01T00:00:00.000Z</x:v>
      </x:c>
      <x:c r="D2773" s="34" t="str">
        <x:v>0001</x:v>
      </x:c>
      <x:c r="E2773" s="7" t="str">
        <x:v>West</x:v>
      </x:c>
      <x:c r="F2773" s="7" t="n">
        <x:v>6</x:v>
      </x:c>
      <x:c r="G2773" s="7" t="n">
        <x:v>160</x:v>
      </x:c>
      <x:c r="H2773" s="9" t="n">
        <x:v>0.05</x:v>
      </x:c>
      <x:c r="I2773" s="7" t="n">
        <x:v>912</x:v>
      </x:c>
    </x:row>
    <x:row r="2774" ht="23" customHeight="1">
      <x:c r="A2774" s="7" t="str">
        <x:v>INV02769</x:v>
      </x:c>
      <x:c r="B2774" s="15" t="d">
        <x:v>2026-03-16T00:00:00.000Z</x:v>
      </x:c>
      <x:c r="C2774" s="14" t="d">
        <x:v>2026-03-01T00:00:00.000Z</x:v>
      </x:c>
      <x:c r="D2774" s="34" t="str">
        <x:v>0002</x:v>
      </x:c>
      <x:c r="E2774" s="7" t="str">
        <x:v>West</x:v>
      </x:c>
      <x:c r="F2774" s="7" t="n">
        <x:v>3</x:v>
      </x:c>
      <x:c r="G2774" s="7" t="n">
        <x:v>180</x:v>
      </x:c>
      <x:c r="H2774" s="9" t="n">
        <x:v>0</x:v>
      </x:c>
      <x:c r="I2774" s="7" t="n">
        <x:v>540</x:v>
      </x:c>
    </x:row>
    <x:row r="2775" ht="23" customHeight="1">
      <x:c r="A2775" s="7" t="str">
        <x:v>INV02770</x:v>
      </x:c>
      <x:c r="B2775" s="15" t="d">
        <x:v>2026-03-17T00:00:00.000Z</x:v>
      </x:c>
      <x:c r="C2775" s="14" t="d">
        <x:v>2026-03-01T00:00:00.000Z</x:v>
      </x:c>
      <x:c r="D2775" s="34" t="str">
        <x:v>0003</x:v>
      </x:c>
      <x:c r="E2775" s="7" t="str">
        <x:v>West</x:v>
      </x:c>
      <x:c r="F2775" s="7" t="n">
        <x:v>2</x:v>
      </x:c>
      <x:c r="G2775" s="7" t="n">
        <x:v>200</x:v>
      </x:c>
      <x:c r="H2775" s="9" t="n">
        <x:v>0.02</x:v>
      </x:c>
      <x:c r="I2775" s="7" t="n">
        <x:v>392</x:v>
      </x:c>
    </x:row>
    <x:row r="2776" ht="23" customHeight="1">
      <x:c r="A2776" s="7" t="str">
        <x:v>INV02771</x:v>
      </x:c>
      <x:c r="B2776" s="15" t="d">
        <x:v>2026-03-18T00:00:00.000Z</x:v>
      </x:c>
      <x:c r="C2776" s="14" t="d">
        <x:v>2026-03-01T00:00:00.000Z</x:v>
      </x:c>
      <x:c r="D2776" s="34" t="str">
        <x:v>0004</x:v>
      </x:c>
      <x:c r="E2776" s="7" t="str">
        <x:v>West</x:v>
      </x:c>
      <x:c r="F2776" s="7" t="n">
        <x:v>1</x:v>
      </x:c>
      <x:c r="G2776" s="7" t="n">
        <x:v>220</x:v>
      </x:c>
      <x:c r="H2776" s="9" t="n">
        <x:v>0.05</x:v>
      </x:c>
      <x:c r="I2776" s="7" t="n">
        <x:v>209</x:v>
      </x:c>
    </x:row>
    <x:row r="2777" ht="23" customHeight="1">
      <x:c r="A2777" s="7" t="str">
        <x:v>INV02772</x:v>
      </x:c>
      <x:c r="B2777" s="15" t="d">
        <x:v>2026-03-19T00:00:00.000Z</x:v>
      </x:c>
      <x:c r="C2777" s="14" t="d">
        <x:v>2026-03-01T00:00:00.000Z</x:v>
      </x:c>
      <x:c r="D2777" s="34" t="str">
        <x:v>0005</x:v>
      </x:c>
      <x:c r="E2777" s="7" t="str">
        <x:v>West</x:v>
      </x:c>
      <x:c r="F2777" s="7" t="n">
        <x:v>7</x:v>
      </x:c>
      <x:c r="G2777" s="7" t="n">
        <x:v>240</x:v>
      </x:c>
      <x:c r="H2777" s="9" t="n">
        <x:v>0</x:v>
      </x:c>
      <x:c r="I2777" s="7" t="n">
        <x:v>1680</x:v>
      </x:c>
    </x:row>
    <x:row r="2778" ht="23" customHeight="1">
      <x:c r="A2778" s="7" t="str">
        <x:v>INV02773</x:v>
      </x:c>
      <x:c r="B2778" s="15" t="d">
        <x:v>2026-03-20T00:00:00.000Z</x:v>
      </x:c>
      <x:c r="C2778" s="14" t="d">
        <x:v>2026-03-01T00:00:00.000Z</x:v>
      </x:c>
      <x:c r="D2778" s="34" t="str">
        <x:v>0006</x:v>
      </x:c>
      <x:c r="E2778" s="7" t="str">
        <x:v>West</x:v>
      </x:c>
      <x:c r="F2778" s="7" t="n">
        <x:v>1</x:v>
      </x:c>
      <x:c r="G2778" s="7" t="n">
        <x:v>260</x:v>
      </x:c>
      <x:c r="H2778" s="9" t="n">
        <x:v>0.02</x:v>
      </x:c>
      <x:c r="I2778" s="7" t="n">
        <x:v>254.8</x:v>
      </x:c>
    </x:row>
    <x:row r="2779" ht="23" customHeight="1">
      <x:c r="A2779" s="7" t="str">
        <x:v>INV02774</x:v>
      </x:c>
      <x:c r="B2779" s="15" t="d">
        <x:v>2026-03-21T00:00:00.000Z</x:v>
      </x:c>
      <x:c r="C2779" s="14" t="d">
        <x:v>2026-03-01T00:00:00.000Z</x:v>
      </x:c>
      <x:c r="D2779" s="34" t="str">
        <x:v>0007</x:v>
      </x:c>
      <x:c r="E2779" s="7" t="str">
        <x:v>West</x:v>
      </x:c>
      <x:c r="F2779" s="7" t="n">
        <x:v>4</x:v>
      </x:c>
      <x:c r="G2779" s="7" t="n">
        <x:v>280</x:v>
      </x:c>
      <x:c r="H2779" s="9" t="n">
        <x:v>0.05</x:v>
      </x:c>
      <x:c r="I2779" s="7" t="n">
        <x:v>1064</x:v>
      </x:c>
    </x:row>
    <x:row r="2780" ht="23" customHeight="1">
      <x:c r="A2780" s="7" t="str">
        <x:v>INV02775</x:v>
      </x:c>
      <x:c r="B2780" s="15" t="d">
        <x:v>2026-03-22T00:00:00.000Z</x:v>
      </x:c>
      <x:c r="C2780" s="14" t="d">
        <x:v>2026-03-01T00:00:00.000Z</x:v>
      </x:c>
      <x:c r="D2780" s="34" t="str">
        <x:v>0008</x:v>
      </x:c>
      <x:c r="E2780" s="7" t="str">
        <x:v>West</x:v>
      </x:c>
      <x:c r="F2780" s="7" t="n">
        <x:v>1</x:v>
      </x:c>
      <x:c r="G2780" s="7" t="n">
        <x:v>300</x:v>
      </x:c>
      <x:c r="H2780" s="9" t="n">
        <x:v>0</x:v>
      </x:c>
      <x:c r="I2780" s="7" t="n">
        <x:v>300</x:v>
      </x:c>
    </x:row>
    <x:row r="2781" ht="23" customHeight="1">
      <x:c r="A2781" s="7" t="str">
        <x:v>INV02776</x:v>
      </x:c>
      <x:c r="B2781" s="15" t="d">
        <x:v>2026-03-23T00:00:00.000Z</x:v>
      </x:c>
      <x:c r="C2781" s="14" t="d">
        <x:v>2026-03-01T00:00:00.000Z</x:v>
      </x:c>
      <x:c r="D2781" s="34" t="str">
        <x:v>0001</x:v>
      </x:c>
      <x:c r="E2781" s="7" t="str">
        <x:v>North</x:v>
      </x:c>
      <x:c r="F2781" s="7" t="n">
        <x:v>1</x:v>
      </x:c>
      <x:c r="G2781" s="7" t="n">
        <x:v>160</x:v>
      </x:c>
      <x:c r="H2781" s="9" t="n">
        <x:v>0.02</x:v>
      </x:c>
      <x:c r="I2781" s="7" t="n">
        <x:v>156.8</x:v>
      </x:c>
    </x:row>
    <x:row r="2782" ht="23" customHeight="1">
      <x:c r="A2782" s="7" t="str">
        <x:v>INV02777</x:v>
      </x:c>
      <x:c r="B2782" s="15" t="d">
        <x:v>2026-03-24T00:00:00.000Z</x:v>
      </x:c>
      <x:c r="C2782" s="14" t="d">
        <x:v>2026-03-01T00:00:00.000Z</x:v>
      </x:c>
      <x:c r="D2782" s="34" t="str">
        <x:v>0002</x:v>
      </x:c>
      <x:c r="E2782" s="7" t="str">
        <x:v>North</x:v>
      </x:c>
      <x:c r="F2782" s="7" t="n">
        <x:v>7</x:v>
      </x:c>
      <x:c r="G2782" s="7" t="n">
        <x:v>180</x:v>
      </x:c>
      <x:c r="H2782" s="9" t="n">
        <x:v>0.05</x:v>
      </x:c>
      <x:c r="I2782" s="7" t="n">
        <x:v>1197</x:v>
      </x:c>
    </x:row>
    <x:row r="2783" ht="23" customHeight="1">
      <x:c r="A2783" s="7" t="str">
        <x:v>INV02778</x:v>
      </x:c>
      <x:c r="B2783" s="15" t="d">
        <x:v>2026-03-25T00:00:00.000Z</x:v>
      </x:c>
      <x:c r="C2783" s="14" t="d">
        <x:v>2026-03-01T00:00:00.000Z</x:v>
      </x:c>
      <x:c r="D2783" s="34" t="str">
        <x:v>0003</x:v>
      </x:c>
      <x:c r="E2783" s="7" t="str">
        <x:v>North</x:v>
      </x:c>
      <x:c r="F2783" s="7" t="n">
        <x:v>3</x:v>
      </x:c>
      <x:c r="G2783" s="7" t="n">
        <x:v>200</x:v>
      </x:c>
      <x:c r="H2783" s="9" t="n">
        <x:v>0</x:v>
      </x:c>
      <x:c r="I2783" s="7" t="n">
        <x:v>600</x:v>
      </x:c>
    </x:row>
    <x:row r="2784" ht="23" customHeight="1">
      <x:c r="A2784" s="7" t="str">
        <x:v>INV02779</x:v>
      </x:c>
      <x:c r="B2784" s="15" t="d">
        <x:v>2026-03-26T00:00:00.000Z</x:v>
      </x:c>
      <x:c r="C2784" s="14" t="d">
        <x:v>2026-03-01T00:00:00.000Z</x:v>
      </x:c>
      <x:c r="D2784" s="34" t="str">
        <x:v>0004</x:v>
      </x:c>
      <x:c r="E2784" s="7" t="str">
        <x:v>North</x:v>
      </x:c>
      <x:c r="F2784" s="7" t="n">
        <x:v>7</x:v>
      </x:c>
      <x:c r="G2784" s="7" t="n">
        <x:v>220</x:v>
      </x:c>
      <x:c r="H2784" s="9" t="n">
        <x:v>0.02</x:v>
      </x:c>
      <x:c r="I2784" s="7" t="n">
        <x:v>1509.2</x:v>
      </x:c>
    </x:row>
    <x:row r="2785" ht="23" customHeight="1">
      <x:c r="A2785" s="7" t="str">
        <x:v>INV02780</x:v>
      </x:c>
      <x:c r="B2785" s="15" t="d">
        <x:v>2026-03-27T00:00:00.000Z</x:v>
      </x:c>
      <x:c r="C2785" s="14" t="d">
        <x:v>2026-03-01T00:00:00.000Z</x:v>
      </x:c>
      <x:c r="D2785" s="34" t="str">
        <x:v>0005</x:v>
      </x:c>
      <x:c r="E2785" s="7" t="str">
        <x:v>North</x:v>
      </x:c>
      <x:c r="F2785" s="7" t="n">
        <x:v>3</x:v>
      </x:c>
      <x:c r="G2785" s="7" t="n">
        <x:v>240</x:v>
      </x:c>
      <x:c r="H2785" s="9" t="n">
        <x:v>0.05</x:v>
      </x:c>
      <x:c r="I2785" s="7" t="n">
        <x:v>684</x:v>
      </x:c>
    </x:row>
    <x:row r="2786" ht="23" customHeight="1">
      <x:c r="A2786" s="7" t="str">
        <x:v>INV02781</x:v>
      </x:c>
      <x:c r="B2786" s="15" t="d">
        <x:v>2026-03-01T00:00:00.000Z</x:v>
      </x:c>
      <x:c r="C2786" s="14" t="d">
        <x:v>2026-03-01T00:00:00.000Z</x:v>
      </x:c>
      <x:c r="D2786" s="34" t="str">
        <x:v>0006</x:v>
      </x:c>
      <x:c r="E2786" s="7" t="str">
        <x:v>North</x:v>
      </x:c>
      <x:c r="F2786" s="7" t="n">
        <x:v>2</x:v>
      </x:c>
      <x:c r="G2786" s="7" t="n">
        <x:v>260</x:v>
      </x:c>
      <x:c r="H2786" s="9" t="n">
        <x:v>0</x:v>
      </x:c>
      <x:c r="I2786" s="7" t="n">
        <x:v>520</x:v>
      </x:c>
    </x:row>
    <x:row r="2787" ht="23" customHeight="1">
      <x:c r="A2787" s="7" t="str">
        <x:v>INV02782</x:v>
      </x:c>
      <x:c r="B2787" s="15" t="d">
        <x:v>2026-03-02T00:00:00.000Z</x:v>
      </x:c>
      <x:c r="C2787" s="14" t="d">
        <x:v>2026-03-01T00:00:00.000Z</x:v>
      </x:c>
      <x:c r="D2787" s="34" t="str">
        <x:v>0007</x:v>
      </x:c>
      <x:c r="E2787" s="7" t="str">
        <x:v>North</x:v>
      </x:c>
      <x:c r="F2787" s="7" t="n">
        <x:v>6</x:v>
      </x:c>
      <x:c r="G2787" s="7" t="n">
        <x:v>280</x:v>
      </x:c>
      <x:c r="H2787" s="9" t="n">
        <x:v>0.02</x:v>
      </x:c>
      <x:c r="I2787" s="7" t="n">
        <x:v>1646.4</x:v>
      </x:c>
    </x:row>
    <x:row r="2788" ht="23" customHeight="1">
      <x:c r="A2788" s="7" t="str">
        <x:v>INV02783</x:v>
      </x:c>
      <x:c r="B2788" s="15" t="d">
        <x:v>2026-03-03T00:00:00.000Z</x:v>
      </x:c>
      <x:c r="C2788" s="14" t="d">
        <x:v>2026-03-01T00:00:00.000Z</x:v>
      </x:c>
      <x:c r="D2788" s="34" t="str">
        <x:v>0008</x:v>
      </x:c>
      <x:c r="E2788" s="7" t="str">
        <x:v>North</x:v>
      </x:c>
      <x:c r="F2788" s="7" t="n">
        <x:v>5</x:v>
      </x:c>
      <x:c r="G2788" s="7" t="n">
        <x:v>300</x:v>
      </x:c>
      <x:c r="H2788" s="9" t="n">
        <x:v>0.05</x:v>
      </x:c>
      <x:c r="I2788" s="7" t="n">
        <x:v>1425</x:v>
      </x:c>
    </x:row>
    <x:row r="2789" ht="23" customHeight="1">
      <x:c r="A2789" s="7" t="str">
        <x:v>INV02784</x:v>
      </x:c>
      <x:c r="B2789" s="15" t="d">
        <x:v>2026-04-04T00:00:00.000Z</x:v>
      </x:c>
      <x:c r="C2789" s="14" t="d">
        <x:v>2026-04-01T00:00:00.000Z</x:v>
      </x:c>
      <x:c r="D2789" s="34" t="str">
        <x:v>0001</x:v>
      </x:c>
      <x:c r="E2789" s="7" t="str">
        <x:v>Central</x:v>
      </x:c>
      <x:c r="F2789" s="7" t="n">
        <x:v>4</x:v>
      </x:c>
      <x:c r="G2789" s="7" t="n">
        <x:v>160</x:v>
      </x:c>
      <x:c r="H2789" s="9" t="n">
        <x:v>0</x:v>
      </x:c>
      <x:c r="I2789" s="7" t="n">
        <x:v>640</x:v>
      </x:c>
    </x:row>
    <x:row r="2790" ht="23" customHeight="1">
      <x:c r="A2790" s="7" t="str">
        <x:v>INV02785</x:v>
      </x:c>
      <x:c r="B2790" s="15" t="d">
        <x:v>2026-04-05T00:00:00.000Z</x:v>
      </x:c>
      <x:c r="C2790" s="14" t="d">
        <x:v>2026-04-01T00:00:00.000Z</x:v>
      </x:c>
      <x:c r="D2790" s="34" t="str">
        <x:v>0002</x:v>
      </x:c>
      <x:c r="E2790" s="7" t="str">
        <x:v>Central</x:v>
      </x:c>
      <x:c r="F2790" s="7" t="n">
        <x:v>4</x:v>
      </x:c>
      <x:c r="G2790" s="7" t="n">
        <x:v>180</x:v>
      </x:c>
      <x:c r="H2790" s="9" t="n">
        <x:v>0.02</x:v>
      </x:c>
      <x:c r="I2790" s="7" t="n">
        <x:v>705.6</x:v>
      </x:c>
    </x:row>
    <x:row r="2791" ht="23" customHeight="1">
      <x:c r="A2791" s="7" t="str">
        <x:v>INV02786</x:v>
      </x:c>
      <x:c r="B2791" s="15" t="d">
        <x:v>2026-04-06T00:00:00.000Z</x:v>
      </x:c>
      <x:c r="C2791" s="14" t="d">
        <x:v>2026-04-01T00:00:00.000Z</x:v>
      </x:c>
      <x:c r="D2791" s="34" t="str">
        <x:v>0003</x:v>
      </x:c>
      <x:c r="E2791" s="7" t="str">
        <x:v>Central</x:v>
      </x:c>
      <x:c r="F2791" s="7" t="n">
        <x:v>5</x:v>
      </x:c>
      <x:c r="G2791" s="7" t="n">
        <x:v>200</x:v>
      </x:c>
      <x:c r="H2791" s="9" t="n">
        <x:v>0.05</x:v>
      </x:c>
      <x:c r="I2791" s="7" t="n">
        <x:v>950</x:v>
      </x:c>
    </x:row>
    <x:row r="2792" ht="23" customHeight="1">
      <x:c r="A2792" s="7" t="str">
        <x:v>INV02787</x:v>
      </x:c>
      <x:c r="B2792" s="15" t="d">
        <x:v>2026-04-07T00:00:00.000Z</x:v>
      </x:c>
      <x:c r="C2792" s="14" t="d">
        <x:v>2026-04-01T00:00:00.000Z</x:v>
      </x:c>
      <x:c r="D2792" s="34" t="str">
        <x:v>0004</x:v>
      </x:c>
      <x:c r="E2792" s="7" t="str">
        <x:v>Central</x:v>
      </x:c>
      <x:c r="F2792" s="7" t="n">
        <x:v>6</x:v>
      </x:c>
      <x:c r="G2792" s="7" t="n">
        <x:v>220</x:v>
      </x:c>
      <x:c r="H2792" s="9" t="n">
        <x:v>0</x:v>
      </x:c>
      <x:c r="I2792" s="7" t="n">
        <x:v>1320</x:v>
      </x:c>
    </x:row>
    <x:row r="2793" ht="23" customHeight="1">
      <x:c r="A2793" s="7" t="str">
        <x:v>INV02788</x:v>
      </x:c>
      <x:c r="B2793" s="15" t="d">
        <x:v>2026-04-08T00:00:00.000Z</x:v>
      </x:c>
      <x:c r="C2793" s="14" t="d">
        <x:v>2026-04-01T00:00:00.000Z</x:v>
      </x:c>
      <x:c r="D2793" s="34" t="str">
        <x:v>0005</x:v>
      </x:c>
      <x:c r="E2793" s="7" t="str">
        <x:v>Central</x:v>
      </x:c>
      <x:c r="F2793" s="7" t="n">
        <x:v>-6</x:v>
      </x:c>
      <x:c r="G2793" s="7" t="n">
        <x:v>240</x:v>
      </x:c>
      <x:c r="H2793" s="9" t="n">
        <x:v>0.02</x:v>
      </x:c>
      <x:c r="I2793" s="7" t="n">
        <x:v>-1411.2</x:v>
      </x:c>
    </x:row>
    <x:row r="2794" ht="23" customHeight="1">
      <x:c r="A2794" s="7" t="str">
        <x:v>INV02789</x:v>
      </x:c>
      <x:c r="B2794" s="15" t="d">
        <x:v>2026-04-09T00:00:00.000Z</x:v>
      </x:c>
      <x:c r="C2794" s="14" t="d">
        <x:v>2026-04-01T00:00:00.000Z</x:v>
      </x:c>
      <x:c r="D2794" s="34" t="str">
        <x:v>0006</x:v>
      </x:c>
      <x:c r="E2794" s="7" t="str">
        <x:v>Central</x:v>
      </x:c>
      <x:c r="F2794" s="7" t="n">
        <x:v>6</x:v>
      </x:c>
      <x:c r="G2794" s="7" t="n">
        <x:v>260</x:v>
      </x:c>
      <x:c r="H2794" s="9" t="n">
        <x:v>0.05</x:v>
      </x:c>
      <x:c r="I2794" s="7" t="n">
        <x:v>1482</x:v>
      </x:c>
    </x:row>
    <x:row r="2795" ht="23" customHeight="1">
      <x:c r="A2795" s="7" t="str">
        <x:v>INV02790</x:v>
      </x:c>
      <x:c r="B2795" s="15" t="d">
        <x:v>2026-04-10T00:00:00.000Z</x:v>
      </x:c>
      <x:c r="C2795" s="14" t="d">
        <x:v>2026-04-01T00:00:00.000Z</x:v>
      </x:c>
      <x:c r="D2795" s="34" t="str">
        <x:v>0007</x:v>
      </x:c>
      <x:c r="E2795" s="7" t="str">
        <x:v>Central</x:v>
      </x:c>
      <x:c r="F2795" s="7" t="n">
        <x:v>1</x:v>
      </x:c>
      <x:c r="G2795" s="7" t="n">
        <x:v>280</x:v>
      </x:c>
      <x:c r="H2795" s="9" t="n">
        <x:v>0</x:v>
      </x:c>
      <x:c r="I2795" s="7" t="n">
        <x:v>280</x:v>
      </x:c>
    </x:row>
    <x:row r="2796" ht="23" customHeight="1">
      <x:c r="A2796" s="7" t="str">
        <x:v>INV02791</x:v>
      </x:c>
      <x:c r="B2796" s="15" t="d">
        <x:v>2026-04-11T00:00:00.000Z</x:v>
      </x:c>
      <x:c r="C2796" s="14" t="d">
        <x:v>2026-04-01T00:00:00.000Z</x:v>
      </x:c>
      <x:c r="D2796" s="34" t="str">
        <x:v>0008</x:v>
      </x:c>
      <x:c r="E2796" s="7" t="str">
        <x:v>Central</x:v>
      </x:c>
      <x:c r="F2796" s="7" t="n">
        <x:v>5</x:v>
      </x:c>
      <x:c r="G2796" s="7" t="n">
        <x:v>300</x:v>
      </x:c>
      <x:c r="H2796" s="9" t="n">
        <x:v>0.02</x:v>
      </x:c>
      <x:c r="I2796" s="7" t="n">
        <x:v>1470</x:v>
      </x:c>
    </x:row>
    <x:row r="2797" ht="23" customHeight="1">
      <x:c r="A2797" s="7" t="str">
        <x:v>INV02792</x:v>
      </x:c>
      <x:c r="B2797" s="15" t="d">
        <x:v>2026-04-12T00:00:00.000Z</x:v>
      </x:c>
      <x:c r="C2797" s="14" t="d">
        <x:v>2026-04-01T00:00:00.000Z</x:v>
      </x:c>
      <x:c r="D2797" s="34" t="str">
        <x:v>0001</x:v>
      </x:c>
      <x:c r="E2797" s="7" t="str">
        <x:v>East</x:v>
      </x:c>
      <x:c r="F2797" s="7" t="n">
        <x:v>2</x:v>
      </x:c>
      <x:c r="G2797" s="7" t="n">
        <x:v>160</x:v>
      </x:c>
      <x:c r="H2797" s="9" t="n">
        <x:v>0.05</x:v>
      </x:c>
      <x:c r="I2797" s="7" t="n">
        <x:v>304</x:v>
      </x:c>
    </x:row>
    <x:row r="2798" ht="23" customHeight="1">
      <x:c r="A2798" s="7" t="str">
        <x:v>INV02793</x:v>
      </x:c>
      <x:c r="B2798" s="15" t="d">
        <x:v>2026-04-13T00:00:00.000Z</x:v>
      </x:c>
      <x:c r="C2798" s="14" t="d">
        <x:v>2026-04-01T00:00:00.000Z</x:v>
      </x:c>
      <x:c r="D2798" s="34" t="str">
        <x:v>0002</x:v>
      </x:c>
      <x:c r="E2798" s="7" t="str">
        <x:v>East</x:v>
      </x:c>
      <x:c r="F2798" s="7" t="n">
        <x:v>5</x:v>
      </x:c>
      <x:c r="G2798" s="7" t="n">
        <x:v>180</x:v>
      </x:c>
      <x:c r="H2798" s="9" t="n">
        <x:v>0</x:v>
      </x:c>
      <x:c r="I2798" s="7" t="n">
        <x:v>900</x:v>
      </x:c>
    </x:row>
    <x:row r="2799" ht="23" customHeight="1">
      <x:c r="A2799" s="7" t="str">
        <x:v>INV02794</x:v>
      </x:c>
      <x:c r="B2799" s="15" t="d">
        <x:v>2026-04-14T00:00:00.000Z</x:v>
      </x:c>
      <x:c r="C2799" s="14" t="d">
        <x:v>2026-04-01T00:00:00.000Z</x:v>
      </x:c>
      <x:c r="D2799" s="34" t="str">
        <x:v>0003</x:v>
      </x:c>
      <x:c r="E2799" s="7" t="str">
        <x:v>East</x:v>
      </x:c>
      <x:c r="F2799" s="7" t="n">
        <x:v>2</x:v>
      </x:c>
      <x:c r="G2799" s="7" t="n">
        <x:v>200</x:v>
      </x:c>
      <x:c r="H2799" s="9" t="n">
        <x:v>0.02</x:v>
      </x:c>
      <x:c r="I2799" s="7" t="n">
        <x:v>392</x:v>
      </x:c>
    </x:row>
    <x:row r="2800" ht="23" customHeight="1">
      <x:c r="A2800" s="7" t="str">
        <x:v>INV02795</x:v>
      </x:c>
      <x:c r="B2800" s="15" t="d">
        <x:v>2026-04-15T00:00:00.000Z</x:v>
      </x:c>
      <x:c r="C2800" s="14" t="d">
        <x:v>2026-04-01T00:00:00.000Z</x:v>
      </x:c>
      <x:c r="D2800" s="34" t="str">
        <x:v>0004</x:v>
      </x:c>
      <x:c r="E2800" s="7" t="str">
        <x:v>East</x:v>
      </x:c>
      <x:c r="F2800" s="7" t="n">
        <x:v>4</x:v>
      </x:c>
      <x:c r="G2800" s="7" t="n">
        <x:v>220</x:v>
      </x:c>
      <x:c r="H2800" s="9" t="n">
        <x:v>0.05</x:v>
      </x:c>
      <x:c r="I2800" s="7" t="n">
        <x:v>836</x:v>
      </x:c>
    </x:row>
    <x:row r="2801" ht="23" customHeight="1">
      <x:c r="A2801" s="7" t="str">
        <x:v>INV02796</x:v>
      </x:c>
      <x:c r="B2801" s="15" t="d">
        <x:v>2026-04-16T00:00:00.000Z</x:v>
      </x:c>
      <x:c r="C2801" s="14" t="d">
        <x:v>2026-04-01T00:00:00.000Z</x:v>
      </x:c>
      <x:c r="D2801" s="34" t="str">
        <x:v>0005</x:v>
      </x:c>
      <x:c r="E2801" s="7" t="str">
        <x:v>East</x:v>
      </x:c>
      <x:c r="F2801" s="7" t="n">
        <x:v>2</x:v>
      </x:c>
      <x:c r="G2801" s="7" t="n">
        <x:v>240</x:v>
      </x:c>
      <x:c r="H2801" s="9" t="n">
        <x:v>0</x:v>
      </x:c>
      <x:c r="I2801" s="7" t="n">
        <x:v>480</x:v>
      </x:c>
    </x:row>
    <x:row r="2802" ht="23" customHeight="1">
      <x:c r="A2802" s="7" t="str">
        <x:v>INV02797</x:v>
      </x:c>
      <x:c r="B2802" s="15" t="d">
        <x:v>2026-04-17T00:00:00.000Z</x:v>
      </x:c>
      <x:c r="C2802" s="14" t="d">
        <x:v>2026-04-01T00:00:00.000Z</x:v>
      </x:c>
      <x:c r="D2802" s="34" t="str">
        <x:v>0006</x:v>
      </x:c>
      <x:c r="E2802" s="7" t="str">
        <x:v>East</x:v>
      </x:c>
      <x:c r="F2802" s="7" t="n">
        <x:v>2</x:v>
      </x:c>
      <x:c r="G2802" s="7" t="n">
        <x:v>260</x:v>
      </x:c>
      <x:c r="H2802" s="9" t="n">
        <x:v>0.02</x:v>
      </x:c>
      <x:c r="I2802" s="7" t="n">
        <x:v>509.6</x:v>
      </x:c>
    </x:row>
    <x:row r="2803" ht="23" customHeight="1">
      <x:c r="A2803" s="7" t="str">
        <x:v>INV02798</x:v>
      </x:c>
      <x:c r="B2803" s="15" t="d">
        <x:v>2026-04-18T00:00:00.000Z</x:v>
      </x:c>
      <x:c r="C2803" s="14" t="d">
        <x:v>2026-04-01T00:00:00.000Z</x:v>
      </x:c>
      <x:c r="D2803" s="34" t="str">
        <x:v>0007</x:v>
      </x:c>
      <x:c r="E2803" s="7" t="str">
        <x:v>East</x:v>
      </x:c>
      <x:c r="F2803" s="7" t="n">
        <x:v>1</x:v>
      </x:c>
      <x:c r="G2803" s="7" t="n">
        <x:v>280</x:v>
      </x:c>
      <x:c r="H2803" s="9" t="n">
        <x:v>0.05</x:v>
      </x:c>
      <x:c r="I2803" s="7" t="n">
        <x:v>266</x:v>
      </x:c>
    </x:row>
    <x:row r="2804" ht="23" customHeight="1">
      <x:c r="A2804" s="7" t="str">
        <x:v>INV02799</x:v>
      </x:c>
      <x:c r="B2804" s="15" t="d">
        <x:v>2026-04-19T00:00:00.000Z</x:v>
      </x:c>
      <x:c r="C2804" s="14" t="d">
        <x:v>2026-04-01T00:00:00.000Z</x:v>
      </x:c>
      <x:c r="D2804" s="34" t="str">
        <x:v>0008</x:v>
      </x:c>
      <x:c r="E2804" s="7" t="str">
        <x:v>East</x:v>
      </x:c>
      <x:c r="F2804" s="7" t="n">
        <x:v>2</x:v>
      </x:c>
      <x:c r="G2804" s="7" t="n">
        <x:v>300</x:v>
      </x:c>
      <x:c r="H2804" s="9" t="n">
        <x:v>0</x:v>
      </x:c>
      <x:c r="I2804" s="7" t="n">
        <x:v>600</x:v>
      </x:c>
    </x:row>
    <x:row r="2805" ht="23" customHeight="1">
      <x:c r="A2805" s="7" t="str">
        <x:v>INV02800</x:v>
      </x:c>
      <x:c r="B2805" s="15" t="d">
        <x:v>2026-04-20T00:00:00.000Z</x:v>
      </x:c>
      <x:c r="C2805" s="14" t="d">
        <x:v>2026-04-01T00:00:00.000Z</x:v>
      </x:c>
      <x:c r="D2805" s="34" t="str">
        <x:v>0001</x:v>
      </x:c>
      <x:c r="E2805" s="7" t="str">
        <x:v>West</x:v>
      </x:c>
      <x:c r="F2805" s="7" t="n">
        <x:v>6</x:v>
      </x:c>
      <x:c r="G2805" s="7" t="n">
        <x:v>160</x:v>
      </x:c>
      <x:c r="H2805" s="9" t="n">
        <x:v>0.02</x:v>
      </x:c>
      <x:c r="I2805" s="7" t="n">
        <x:v>940.8</x:v>
      </x:c>
    </x:row>
    <x:row r="2806" ht="23" customHeight="1">
      <x:c r="A2806" s="7" t="str">
        <x:v>INV02801</x:v>
      </x:c>
      <x:c r="B2806" s="15" t="d">
        <x:v>2026-04-21T00:00:00.000Z</x:v>
      </x:c>
      <x:c r="C2806" s="14" t="d">
        <x:v>2026-04-01T00:00:00.000Z</x:v>
      </x:c>
      <x:c r="D2806" s="34" t="str">
        <x:v>0002</x:v>
      </x:c>
      <x:c r="E2806" s="7" t="str">
        <x:v>West</x:v>
      </x:c>
      <x:c r="F2806" s="7" t="n">
        <x:v>7</x:v>
      </x:c>
      <x:c r="G2806" s="7" t="n">
        <x:v>180</x:v>
      </x:c>
      <x:c r="H2806" s="9" t="n">
        <x:v>0.05</x:v>
      </x:c>
      <x:c r="I2806" s="7" t="n">
        <x:v>1197</x:v>
      </x:c>
    </x:row>
    <x:row r="2807" ht="23" customHeight="1">
      <x:c r="A2807" s="7" t="str">
        <x:v>INV02802</x:v>
      </x:c>
      <x:c r="B2807" s="15" t="d">
        <x:v>2026-04-22T00:00:00.000Z</x:v>
      </x:c>
      <x:c r="C2807" s="14" t="d">
        <x:v>2026-04-01T00:00:00.000Z</x:v>
      </x:c>
      <x:c r="D2807" s="34" t="str">
        <x:v>0003</x:v>
      </x:c>
      <x:c r="E2807" s="7" t="str">
        <x:v>West</x:v>
      </x:c>
      <x:c r="F2807" s="7" t="n">
        <x:v>7</x:v>
      </x:c>
      <x:c r="G2807" s="7" t="n">
        <x:v>200</x:v>
      </x:c>
      <x:c r="H2807" s="9" t="n">
        <x:v>0</x:v>
      </x:c>
      <x:c r="I2807" s="7" t="n">
        <x:v>1400</x:v>
      </x:c>
    </x:row>
    <x:row r="2808" ht="23" customHeight="1">
      <x:c r="A2808" s="7" t="str">
        <x:v>INV02803</x:v>
      </x:c>
      <x:c r="B2808" s="15" t="d">
        <x:v>2026-04-23T00:00:00.000Z</x:v>
      </x:c>
      <x:c r="C2808" s="14" t="d">
        <x:v>2026-04-01T00:00:00.000Z</x:v>
      </x:c>
      <x:c r="D2808" s="34" t="str">
        <x:v>0004</x:v>
      </x:c>
      <x:c r="E2808" s="7" t="str">
        <x:v>West</x:v>
      </x:c>
      <x:c r="F2808" s="7" t="n">
        <x:v>2</x:v>
      </x:c>
      <x:c r="G2808" s="7" t="n">
        <x:v>220</x:v>
      </x:c>
      <x:c r="H2808" s="9" t="n">
        <x:v>0.02</x:v>
      </x:c>
      <x:c r="I2808" s="7" t="n">
        <x:v>431.2</x:v>
      </x:c>
    </x:row>
    <x:row r="2809" ht="23" customHeight="1">
      <x:c r="A2809" s="7" t="str">
        <x:v>INV02804</x:v>
      </x:c>
      <x:c r="B2809" s="15" t="d">
        <x:v>2026-04-24T00:00:00.000Z</x:v>
      </x:c>
      <x:c r="C2809" s="14" t="d">
        <x:v>2026-04-01T00:00:00.000Z</x:v>
      </x:c>
      <x:c r="D2809" s="34" t="str">
        <x:v>0005</x:v>
      </x:c>
      <x:c r="E2809" s="7" t="str">
        <x:v>West</x:v>
      </x:c>
      <x:c r="F2809" s="7" t="n">
        <x:v>2</x:v>
      </x:c>
      <x:c r="G2809" s="7" t="n">
        <x:v>240</x:v>
      </x:c>
      <x:c r="H2809" s="9" t="n">
        <x:v>0.05</x:v>
      </x:c>
      <x:c r="I2809" s="7" t="n">
        <x:v>456</x:v>
      </x:c>
    </x:row>
    <x:row r="2810" ht="23" customHeight="1">
      <x:c r="A2810" s="7" t="str">
        <x:v>INV02805</x:v>
      </x:c>
      <x:c r="B2810" s="15" t="d">
        <x:v>2026-04-25T00:00:00.000Z</x:v>
      </x:c>
      <x:c r="C2810" s="14" t="d">
        <x:v>2026-04-01T00:00:00.000Z</x:v>
      </x:c>
      <x:c r="D2810" s="34" t="str">
        <x:v>0006</x:v>
      </x:c>
      <x:c r="E2810" s="7" t="str">
        <x:v>West</x:v>
      </x:c>
      <x:c r="F2810" s="7" t="n">
        <x:v>6</x:v>
      </x:c>
      <x:c r="G2810" s="7" t="n">
        <x:v>260</x:v>
      </x:c>
      <x:c r="H2810" s="9" t="n">
        <x:v>0</x:v>
      </x:c>
      <x:c r="I2810" s="7" t="n">
        <x:v>1560</x:v>
      </x:c>
    </x:row>
    <x:row r="2811" ht="23" customHeight="1">
      <x:c r="A2811" s="7" t="str">
        <x:v>INV02806</x:v>
      </x:c>
      <x:c r="B2811" s="15" t="d">
        <x:v>2026-04-26T00:00:00.000Z</x:v>
      </x:c>
      <x:c r="C2811" s="14" t="d">
        <x:v>2026-04-01T00:00:00.000Z</x:v>
      </x:c>
      <x:c r="D2811" s="34" t="str">
        <x:v>0007</x:v>
      </x:c>
      <x:c r="E2811" s="7" t="str">
        <x:v>West</x:v>
      </x:c>
      <x:c r="F2811" s="7" t="n">
        <x:v>1</x:v>
      </x:c>
      <x:c r="G2811" s="7" t="n">
        <x:v>280</x:v>
      </x:c>
      <x:c r="H2811" s="9" t="n">
        <x:v>0.02</x:v>
      </x:c>
      <x:c r="I2811" s="7" t="n">
        <x:v>274.4</x:v>
      </x:c>
    </x:row>
    <x:row r="2812" ht="23" customHeight="1">
      <x:c r="A2812" s="7" t="str">
        <x:v>INV02807</x:v>
      </x:c>
      <x:c r="B2812" s="15" t="d">
        <x:v>2026-04-27T00:00:00.000Z</x:v>
      </x:c>
      <x:c r="C2812" s="14" t="d">
        <x:v>2026-04-01T00:00:00.000Z</x:v>
      </x:c>
      <x:c r="D2812" s="34" t="str">
        <x:v>0008</x:v>
      </x:c>
      <x:c r="E2812" s="7" t="str">
        <x:v>West</x:v>
      </x:c>
      <x:c r="F2812" s="7" t="n">
        <x:v>7</x:v>
      </x:c>
      <x:c r="G2812" s="7" t="n">
        <x:v>300</x:v>
      </x:c>
      <x:c r="H2812" s="9" t="n">
        <x:v>0.05</x:v>
      </x:c>
      <x:c r="I2812" s="7" t="n">
        <x:v>1995</x:v>
      </x:c>
    </x:row>
    <x:row r="2813" ht="23" customHeight="1">
      <x:c r="A2813" s="7" t="str">
        <x:v>INV02808</x:v>
      </x:c>
      <x:c r="B2813" s="15" t="d">
        <x:v>2026-04-01T00:00:00.000Z</x:v>
      </x:c>
      <x:c r="C2813" s="14" t="d">
        <x:v>2026-04-01T00:00:00.000Z</x:v>
      </x:c>
      <x:c r="D2813" s="34" t="str">
        <x:v>0001</x:v>
      </x:c>
      <x:c r="E2813" s="7" t="str">
        <x:v>North</x:v>
      </x:c>
      <x:c r="F2813" s="7" t="n">
        <x:v>7</x:v>
      </x:c>
      <x:c r="G2813" s="7" t="n">
        <x:v>160</x:v>
      </x:c>
      <x:c r="H2813" s="9" t="n">
        <x:v>0</x:v>
      </x:c>
      <x:c r="I2813" s="7" t="n">
        <x:v>1120</x:v>
      </x:c>
    </x:row>
    <x:row r="2814" ht="23" customHeight="1">
      <x:c r="A2814" s="7" t="str">
        <x:v>INV02809</x:v>
      </x:c>
      <x:c r="B2814" s="15" t="d">
        <x:v>2026-04-02T00:00:00.000Z</x:v>
      </x:c>
      <x:c r="C2814" s="14" t="d">
        <x:v>2026-04-01T00:00:00.000Z</x:v>
      </x:c>
      <x:c r="D2814" s="34" t="str">
        <x:v>0002</x:v>
      </x:c>
      <x:c r="E2814" s="7" t="str">
        <x:v>North</x:v>
      </x:c>
      <x:c r="F2814" s="7" t="n">
        <x:v>4</x:v>
      </x:c>
      <x:c r="G2814" s="7" t="n">
        <x:v>180</x:v>
      </x:c>
      <x:c r="H2814" s="9" t="n">
        <x:v>0.02</x:v>
      </x:c>
      <x:c r="I2814" s="7" t="n">
        <x:v>705.6</x:v>
      </x:c>
    </x:row>
    <x:row r="2815" ht="23" customHeight="1">
      <x:c r="A2815" s="7" t="str">
        <x:v>INV02810</x:v>
      </x:c>
      <x:c r="B2815" s="15" t="d">
        <x:v>2026-04-03T00:00:00.000Z</x:v>
      </x:c>
      <x:c r="C2815" s="14" t="d">
        <x:v>2026-04-01T00:00:00.000Z</x:v>
      </x:c>
      <x:c r="D2815" s="34" t="str">
        <x:v>0003</x:v>
      </x:c>
      <x:c r="E2815" s="7" t="str">
        <x:v>North</x:v>
      </x:c>
      <x:c r="F2815" s="7" t="n">
        <x:v>6</x:v>
      </x:c>
      <x:c r="G2815" s="7" t="n">
        <x:v>200</x:v>
      </x:c>
      <x:c r="H2815" s="9" t="n">
        <x:v>0.05</x:v>
      </x:c>
      <x:c r="I2815" s="7" t="n">
        <x:v>1140</x:v>
      </x:c>
    </x:row>
    <x:row r="2816" ht="23" customHeight="1">
      <x:c r="A2816" s="7" t="str">
        <x:v>INV02811</x:v>
      </x:c>
      <x:c r="B2816" s="15" t="d">
        <x:v>2026-04-04T00:00:00.000Z</x:v>
      </x:c>
      <x:c r="C2816" s="14" t="d">
        <x:v>2026-04-01T00:00:00.000Z</x:v>
      </x:c>
      <x:c r="D2816" s="34" t="str">
        <x:v>0004</x:v>
      </x:c>
      <x:c r="E2816" s="7" t="str">
        <x:v>North</x:v>
      </x:c>
      <x:c r="F2816" s="7" t="n">
        <x:v>4</x:v>
      </x:c>
      <x:c r="G2816" s="7" t="n">
        <x:v>220</x:v>
      </x:c>
      <x:c r="H2816" s="9" t="n">
        <x:v>0</x:v>
      </x:c>
      <x:c r="I2816" s="7" t="n">
        <x:v>880</x:v>
      </x:c>
    </x:row>
    <x:row r="2817" ht="23" customHeight="1">
      <x:c r="A2817" s="7" t="str">
        <x:v>INV02812</x:v>
      </x:c>
      <x:c r="B2817" s="15" t="d">
        <x:v>2026-04-05T00:00:00.000Z</x:v>
      </x:c>
      <x:c r="C2817" s="14" t="d">
        <x:v>2026-04-01T00:00:00.000Z</x:v>
      </x:c>
      <x:c r="D2817" s="34" t="str">
        <x:v>0005</x:v>
      </x:c>
      <x:c r="E2817" s="7" t="str">
        <x:v>North</x:v>
      </x:c>
      <x:c r="F2817" s="7" t="n">
        <x:v>3</x:v>
      </x:c>
      <x:c r="G2817" s="7" t="n">
        <x:v>240</x:v>
      </x:c>
      <x:c r="H2817" s="9" t="n">
        <x:v>0.02</x:v>
      </x:c>
      <x:c r="I2817" s="7" t="n">
        <x:v>705.6</x:v>
      </x:c>
    </x:row>
    <x:row r="2818" ht="23" customHeight="1">
      <x:c r="A2818" s="7" t="str">
        <x:v>INV02813</x:v>
      </x:c>
      <x:c r="B2818" s="15" t="d">
        <x:v>2026-04-06T00:00:00.000Z</x:v>
      </x:c>
      <x:c r="C2818" s="14" t="d">
        <x:v>2026-04-01T00:00:00.000Z</x:v>
      </x:c>
      <x:c r="D2818" s="34" t="str">
        <x:v>0006</x:v>
      </x:c>
      <x:c r="E2818" s="7" t="str">
        <x:v>North</x:v>
      </x:c>
      <x:c r="F2818" s="7" t="n">
        <x:v>5</x:v>
      </x:c>
      <x:c r="G2818" s="7" t="n">
        <x:v>260</x:v>
      </x:c>
      <x:c r="H2818" s="9" t="n">
        <x:v>0.05</x:v>
      </x:c>
      <x:c r="I2818" s="7" t="n">
        <x:v>1235</x:v>
      </x:c>
    </x:row>
    <x:row r="2819" ht="23" customHeight="1">
      <x:c r="A2819" s="7" t="str">
        <x:v>INV02814</x:v>
      </x:c>
      <x:c r="B2819" s="15" t="d">
        <x:v>2026-04-07T00:00:00.000Z</x:v>
      </x:c>
      <x:c r="C2819" s="14" t="d">
        <x:v>2026-04-01T00:00:00.000Z</x:v>
      </x:c>
      <x:c r="D2819" s="34" t="str">
        <x:v>0007</x:v>
      </x:c>
      <x:c r="E2819" s="7" t="str">
        <x:v>North</x:v>
      </x:c>
      <x:c r="F2819" s="7" t="n">
        <x:v>4</x:v>
      </x:c>
      <x:c r="G2819" s="7" t="n">
        <x:v>280</x:v>
      </x:c>
      <x:c r="H2819" s="9" t="n">
        <x:v>0</x:v>
      </x:c>
      <x:c r="I2819" s="7" t="n">
        <x:v>1120</x:v>
      </x:c>
    </x:row>
    <x:row r="2820" ht="23" customHeight="1">
      <x:c r="A2820" s="7" t="str">
        <x:v>INV02815</x:v>
      </x:c>
      <x:c r="B2820" s="15" t="d">
        <x:v>2026-04-08T00:00:00.000Z</x:v>
      </x:c>
      <x:c r="C2820" s="14" t="d">
        <x:v>2026-04-01T00:00:00.000Z</x:v>
      </x:c>
      <x:c r="D2820" s="34" t="str">
        <x:v>0008</x:v>
      </x:c>
      <x:c r="E2820" s="7" t="str">
        <x:v>North</x:v>
      </x:c>
      <x:c r="F2820" s="7" t="n">
        <x:v>5</x:v>
      </x:c>
      <x:c r="G2820" s="7" t="n">
        <x:v>300</x:v>
      </x:c>
      <x:c r="H2820" s="9" t="n">
        <x:v>0.02</x:v>
      </x:c>
      <x:c r="I2820" s="7" t="n">
        <x:v>1470</x:v>
      </x:c>
    </x:row>
    <x:row r="2821" ht="23" customHeight="1">
      <x:c r="A2821" s="7" t="str">
        <x:v>INV02816</x:v>
      </x:c>
      <x:c r="B2821" s="15" t="d">
        <x:v>2026-05-09T00:00:00.000Z</x:v>
      </x:c>
      <x:c r="C2821" s="14" t="d">
        <x:v>2026-05-01T00:00:00.000Z</x:v>
      </x:c>
      <x:c r="D2821" s="34" t="str">
        <x:v>0001</x:v>
      </x:c>
      <x:c r="E2821" s="7" t="str">
        <x:v>Central</x:v>
      </x:c>
      <x:c r="F2821" s="7" t="n">
        <x:v>2</x:v>
      </x:c>
      <x:c r="G2821" s="7" t="n">
        <x:v>160</x:v>
      </x:c>
      <x:c r="H2821" s="9" t="n">
        <x:v>0.05</x:v>
      </x:c>
      <x:c r="I2821" s="7" t="n">
        <x:v>304</x:v>
      </x:c>
    </x:row>
    <x:row r="2822" ht="23" customHeight="1">
      <x:c r="A2822" s="7" t="str">
        <x:v>INV02817</x:v>
      </x:c>
      <x:c r="B2822" s="15" t="d">
        <x:v>2026-05-10T00:00:00.000Z</x:v>
      </x:c>
      <x:c r="C2822" s="14" t="d">
        <x:v>2026-05-01T00:00:00.000Z</x:v>
      </x:c>
      <x:c r="D2822" s="34" t="str">
        <x:v>0002</x:v>
      </x:c>
      <x:c r="E2822" s="7" t="str">
        <x:v>Central</x:v>
      </x:c>
      <x:c r="F2822" s="7" t="n">
        <x:v>6</x:v>
      </x:c>
      <x:c r="G2822" s="7" t="n">
        <x:v>180</x:v>
      </x:c>
      <x:c r="H2822" s="9" t="n">
        <x:v>0</x:v>
      </x:c>
      <x:c r="I2822" s="7" t="n">
        <x:v>1080</x:v>
      </x:c>
    </x:row>
    <x:row r="2823" ht="23" customHeight="1">
      <x:c r="A2823" s="7" t="str">
        <x:v>INV02818</x:v>
      </x:c>
      <x:c r="B2823" s="15" t="d">
        <x:v>2026-05-11T00:00:00.000Z</x:v>
      </x:c>
      <x:c r="C2823" s="14" t="d">
        <x:v>2026-05-01T00:00:00.000Z</x:v>
      </x:c>
      <x:c r="D2823" s="34" t="str">
        <x:v>0003</x:v>
      </x:c>
      <x:c r="E2823" s="7" t="str">
        <x:v>Central</x:v>
      </x:c>
      <x:c r="F2823" s="7" t="n">
        <x:v>1</x:v>
      </x:c>
      <x:c r="G2823" s="7" t="n">
        <x:v>200</x:v>
      </x:c>
      <x:c r="H2823" s="9" t="n">
        <x:v>0.02</x:v>
      </x:c>
      <x:c r="I2823" s="7" t="n">
        <x:v>196</x:v>
      </x:c>
    </x:row>
    <x:row r="2824" ht="23" customHeight="1">
      <x:c r="A2824" s="7" t="str">
        <x:v>INV02819</x:v>
      </x:c>
      <x:c r="B2824" s="15" t="d">
        <x:v>2026-05-12T00:00:00.000Z</x:v>
      </x:c>
      <x:c r="C2824" s="14" t="d">
        <x:v>2026-05-01T00:00:00.000Z</x:v>
      </x:c>
      <x:c r="D2824" s="34" t="str">
        <x:v>0004</x:v>
      </x:c>
      <x:c r="E2824" s="7" t="str">
        <x:v>Central</x:v>
      </x:c>
      <x:c r="F2824" s="7" t="n">
        <x:v>3</x:v>
      </x:c>
      <x:c r="G2824" s="7" t="n">
        <x:v>220</x:v>
      </x:c>
      <x:c r="H2824" s="9" t="n">
        <x:v>0.05</x:v>
      </x:c>
      <x:c r="I2824" s="7" t="n">
        <x:v>627</x:v>
      </x:c>
    </x:row>
    <x:row r="2825" ht="23" customHeight="1">
      <x:c r="A2825" s="7" t="str">
        <x:v>INV02820</x:v>
      </x:c>
      <x:c r="B2825" s="15" t="d">
        <x:v>2026-05-13T00:00:00.000Z</x:v>
      </x:c>
      <x:c r="C2825" s="14" t="d">
        <x:v>2026-05-01T00:00:00.000Z</x:v>
      </x:c>
      <x:c r="D2825" s="34" t="str">
        <x:v>0005</x:v>
      </x:c>
      <x:c r="E2825" s="7" t="str">
        <x:v>Central</x:v>
      </x:c>
      <x:c r="F2825" s="7" t="n">
        <x:v>5</x:v>
      </x:c>
      <x:c r="G2825" s="7" t="n">
        <x:v>240</x:v>
      </x:c>
      <x:c r="H2825" s="9" t="n">
        <x:v>0</x:v>
      </x:c>
      <x:c r="I2825" s="7" t="n">
        <x:v>1200</x:v>
      </x:c>
    </x:row>
    <x:row r="2826" ht="23" customHeight="1">
      <x:c r="A2826" s="7" t="str">
        <x:v>INV02821</x:v>
      </x:c>
      <x:c r="B2826" s="15" t="d">
        <x:v>2026-05-14T00:00:00.000Z</x:v>
      </x:c>
      <x:c r="C2826" s="14" t="d">
        <x:v>2026-05-01T00:00:00.000Z</x:v>
      </x:c>
      <x:c r="D2826" s="34" t="str">
        <x:v>0006</x:v>
      </x:c>
      <x:c r="E2826" s="7" t="str">
        <x:v>Central</x:v>
      </x:c>
      <x:c r="F2826" s="7" t="n">
        <x:v>6</x:v>
      </x:c>
      <x:c r="G2826" s="7" t="n">
        <x:v>260</x:v>
      </x:c>
      <x:c r="H2826" s="9" t="n">
        <x:v>0.02</x:v>
      </x:c>
      <x:c r="I2826" s="7" t="n">
        <x:v>1528.8</x:v>
      </x:c>
    </x:row>
    <x:row r="2827" ht="23" customHeight="1">
      <x:c r="A2827" s="7" t="str">
        <x:v>INV02822</x:v>
      </x:c>
      <x:c r="B2827" s="15" t="d">
        <x:v>2026-05-15T00:00:00.000Z</x:v>
      </x:c>
      <x:c r="C2827" s="14" t="d">
        <x:v>2026-05-01T00:00:00.000Z</x:v>
      </x:c>
      <x:c r="D2827" s="34" t="str">
        <x:v>0007</x:v>
      </x:c>
      <x:c r="E2827" s="7" t="str">
        <x:v>Central</x:v>
      </x:c>
      <x:c r="F2827" s="7" t="n">
        <x:v>3</x:v>
      </x:c>
      <x:c r="G2827" s="7" t="n">
        <x:v>280</x:v>
      </x:c>
      <x:c r="H2827" s="9" t="n">
        <x:v>0.05</x:v>
      </x:c>
      <x:c r="I2827" s="7" t="n">
        <x:v>798</x:v>
      </x:c>
    </x:row>
    <x:row r="2828" ht="23" customHeight="1">
      <x:c r="A2828" s="7" t="str">
        <x:v>INV02823</x:v>
      </x:c>
      <x:c r="B2828" s="15" t="d">
        <x:v>2026-05-16T00:00:00.000Z</x:v>
      </x:c>
      <x:c r="C2828" s="14" t="d">
        <x:v>2026-05-01T00:00:00.000Z</x:v>
      </x:c>
      <x:c r="D2828" s="34" t="str">
        <x:v>0008</x:v>
      </x:c>
      <x:c r="E2828" s="7" t="str">
        <x:v>Central</x:v>
      </x:c>
      <x:c r="F2828" s="7" t="n">
        <x:v>7</x:v>
      </x:c>
      <x:c r="G2828" s="7" t="n">
        <x:v>300</x:v>
      </x:c>
      <x:c r="H2828" s="9" t="n">
        <x:v>0</x:v>
      </x:c>
      <x:c r="I2828" s="7" t="n">
        <x:v>2100</x:v>
      </x:c>
    </x:row>
    <x:row r="2829" ht="23" customHeight="1">
      <x:c r="A2829" s="7" t="str">
        <x:v>INV02824</x:v>
      </x:c>
      <x:c r="B2829" s="15" t="d">
        <x:v>2026-05-17T00:00:00.000Z</x:v>
      </x:c>
      <x:c r="C2829" s="14" t="d">
        <x:v>2026-05-01T00:00:00.000Z</x:v>
      </x:c>
      <x:c r="D2829" s="34" t="str">
        <x:v>0001</x:v>
      </x:c>
      <x:c r="E2829" s="7" t="str">
        <x:v>East</x:v>
      </x:c>
      <x:c r="F2829" s="7" t="n">
        <x:v>7</x:v>
      </x:c>
      <x:c r="G2829" s="7" t="n">
        <x:v>160</x:v>
      </x:c>
      <x:c r="H2829" s="9" t="n">
        <x:v>0.02</x:v>
      </x:c>
      <x:c r="I2829" s="7" t="n">
        <x:v>1097.6</x:v>
      </x:c>
    </x:row>
    <x:row r="2830" ht="23" customHeight="1">
      <x:c r="A2830" s="7" t="str">
        <x:v>INV02825</x:v>
      </x:c>
      <x:c r="B2830" s="15" t="d">
        <x:v>2026-05-18T00:00:00.000Z</x:v>
      </x:c>
      <x:c r="C2830" s="14" t="d">
        <x:v>2026-05-01T00:00:00.000Z</x:v>
      </x:c>
      <x:c r="D2830" s="34" t="str">
        <x:v>0002</x:v>
      </x:c>
      <x:c r="E2830" s="7" t="str">
        <x:v>East</x:v>
      </x:c>
      <x:c r="F2830" s="7" t="n">
        <x:v>2</x:v>
      </x:c>
      <x:c r="G2830" s="7" t="n">
        <x:v>180</x:v>
      </x:c>
      <x:c r="H2830" s="9" t="n">
        <x:v>0.05</x:v>
      </x:c>
      <x:c r="I2830" s="7" t="n">
        <x:v>342</x:v>
      </x:c>
    </x:row>
    <x:row r="2831" ht="23" customHeight="1">
      <x:c r="A2831" s="7" t="str">
        <x:v>INV02826</x:v>
      </x:c>
      <x:c r="B2831" s="15" t="d">
        <x:v>2026-05-19T00:00:00.000Z</x:v>
      </x:c>
      <x:c r="C2831" s="14" t="d">
        <x:v>2026-05-01T00:00:00.000Z</x:v>
      </x:c>
      <x:c r="D2831" s="34" t="str">
        <x:v>0003</x:v>
      </x:c>
      <x:c r="E2831" s="7" t="str">
        <x:v>East</x:v>
      </x:c>
      <x:c r="F2831" s="7" t="n">
        <x:v>6</x:v>
      </x:c>
      <x:c r="G2831" s="7" t="n">
        <x:v>200</x:v>
      </x:c>
      <x:c r="H2831" s="9" t="n">
        <x:v>0</x:v>
      </x:c>
      <x:c r="I2831" s="7" t="n">
        <x:v>1200</x:v>
      </x:c>
    </x:row>
    <x:row r="2832" ht="23" customHeight="1">
      <x:c r="A2832" s="7" t="str">
        <x:v>INV02827</x:v>
      </x:c>
      <x:c r="B2832" s="15" t="d">
        <x:v>2026-05-20T00:00:00.000Z</x:v>
      </x:c>
      <x:c r="C2832" s="14" t="d">
        <x:v>2026-05-01T00:00:00.000Z</x:v>
      </x:c>
      <x:c r="D2832" s="34" t="str">
        <x:v>0004</x:v>
      </x:c>
      <x:c r="E2832" s="7" t="str">
        <x:v>East</x:v>
      </x:c>
      <x:c r="F2832" s="7" t="n">
        <x:v>1</x:v>
      </x:c>
      <x:c r="G2832" s="7" t="n">
        <x:v>220</x:v>
      </x:c>
      <x:c r="H2832" s="9" t="n">
        <x:v>0.02</x:v>
      </x:c>
      <x:c r="I2832" s="7" t="n">
        <x:v>215.6</x:v>
      </x:c>
    </x:row>
    <x:row r="2833" ht="23" customHeight="1">
      <x:c r="A2833" s="7" t="str">
        <x:v>INV02828</x:v>
      </x:c>
      <x:c r="B2833" s="15" t="d">
        <x:v>2026-05-21T00:00:00.000Z</x:v>
      </x:c>
      <x:c r="C2833" s="14" t="d">
        <x:v>2026-05-01T00:00:00.000Z</x:v>
      </x:c>
      <x:c r="D2833" s="34" t="str">
        <x:v>0005</x:v>
      </x:c>
      <x:c r="E2833" s="7" t="str">
        <x:v>East</x:v>
      </x:c>
      <x:c r="F2833" s="7" t="n">
        <x:v>5</x:v>
      </x:c>
      <x:c r="G2833" s="7" t="n">
        <x:v>240</x:v>
      </x:c>
      <x:c r="H2833" s="9" t="n">
        <x:v>0.05</x:v>
      </x:c>
      <x:c r="I2833" s="7" t="n">
        <x:v>1140</x:v>
      </x:c>
    </x:row>
    <x:row r="2834" ht="23" customHeight="1">
      <x:c r="A2834" s="7" t="str">
        <x:v>INV02829</x:v>
      </x:c>
      <x:c r="B2834" s="15" t="d">
        <x:v>2026-05-22T00:00:00.000Z</x:v>
      </x:c>
      <x:c r="C2834" s="14" t="d">
        <x:v>2026-05-01T00:00:00.000Z</x:v>
      </x:c>
      <x:c r="D2834" s="34" t="str">
        <x:v>0006</x:v>
      </x:c>
      <x:c r="E2834" s="7" t="str">
        <x:v>East</x:v>
      </x:c>
      <x:c r="F2834" s="7" t="n">
        <x:v>-2</x:v>
      </x:c>
      <x:c r="G2834" s="7" t="n">
        <x:v>260</x:v>
      </x:c>
      <x:c r="H2834" s="9" t="n">
        <x:v>0</x:v>
      </x:c>
      <x:c r="I2834" s="7" t="n">
        <x:v>-520</x:v>
      </x:c>
    </x:row>
    <x:row r="2835" ht="23" customHeight="1">
      <x:c r="A2835" s="7" t="str">
        <x:v>INV02830</x:v>
      </x:c>
      <x:c r="B2835" s="15" t="d">
        <x:v>2026-05-23T00:00:00.000Z</x:v>
      </x:c>
      <x:c r="C2835" s="14" t="d">
        <x:v>2026-05-01T00:00:00.000Z</x:v>
      </x:c>
      <x:c r="D2835" s="34" t="str">
        <x:v>0007</x:v>
      </x:c>
      <x:c r="E2835" s="7" t="str">
        <x:v>East</x:v>
      </x:c>
      <x:c r="F2835" s="7" t="n">
        <x:v>2</x:v>
      </x:c>
      <x:c r="G2835" s="7" t="n">
        <x:v>280</x:v>
      </x:c>
      <x:c r="H2835" s="9" t="n">
        <x:v>0.02</x:v>
      </x:c>
      <x:c r="I2835" s="7" t="n">
        <x:v>548.8</x:v>
      </x:c>
    </x:row>
    <x:row r="2836" ht="23" customHeight="1">
      <x:c r="A2836" s="7" t="str">
        <x:v>INV02831</x:v>
      </x:c>
      <x:c r="B2836" s="15" t="d">
        <x:v>2026-05-24T00:00:00.000Z</x:v>
      </x:c>
      <x:c r="C2836" s="14" t="d">
        <x:v>2026-05-01T00:00:00.000Z</x:v>
      </x:c>
      <x:c r="D2836" s="34" t="str">
        <x:v>0008</x:v>
      </x:c>
      <x:c r="E2836" s="7" t="str">
        <x:v>East</x:v>
      </x:c>
      <x:c r="F2836" s="7" t="n">
        <x:v>5</x:v>
      </x:c>
      <x:c r="G2836" s="7" t="n">
        <x:v>300</x:v>
      </x:c>
      <x:c r="H2836" s="9" t="n">
        <x:v>0.05</x:v>
      </x:c>
      <x:c r="I2836" s="7" t="n">
        <x:v>1425</x:v>
      </x:c>
    </x:row>
    <x:row r="2837" ht="23" customHeight="1">
      <x:c r="A2837" s="7" t="str">
        <x:v>INV02832</x:v>
      </x:c>
      <x:c r="B2837" s="15" t="d">
        <x:v>2026-05-25T00:00:00.000Z</x:v>
      </x:c>
      <x:c r="C2837" s="14" t="d">
        <x:v>2026-05-01T00:00:00.000Z</x:v>
      </x:c>
      <x:c r="D2837" s="34" t="str">
        <x:v>0001</x:v>
      </x:c>
      <x:c r="E2837" s="7" t="str">
        <x:v>West</x:v>
      </x:c>
      <x:c r="F2837" s="7" t="n">
        <x:v>3</x:v>
      </x:c>
      <x:c r="G2837" s="7" t="n">
        <x:v>160</x:v>
      </x:c>
      <x:c r="H2837" s="9" t="n">
        <x:v>0</x:v>
      </x:c>
      <x:c r="I2837" s="7" t="n">
        <x:v>480</x:v>
      </x:c>
    </x:row>
    <x:row r="2838" ht="23" customHeight="1">
      <x:c r="A2838" s="7" t="str">
        <x:v>INV02833</x:v>
      </x:c>
      <x:c r="B2838" s="15" t="d">
        <x:v>2026-05-26T00:00:00.000Z</x:v>
      </x:c>
      <x:c r="C2838" s="14" t="d">
        <x:v>2026-05-01T00:00:00.000Z</x:v>
      </x:c>
      <x:c r="D2838" s="34" t="str">
        <x:v>0002</x:v>
      </x:c>
      <x:c r="E2838" s="7" t="str">
        <x:v>West</x:v>
      </x:c>
      <x:c r="F2838" s="7" t="n">
        <x:v>2</x:v>
      </x:c>
      <x:c r="G2838" s="7" t="n">
        <x:v>180</x:v>
      </x:c>
      <x:c r="H2838" s="9" t="n">
        <x:v>0.02</x:v>
      </x:c>
      <x:c r="I2838" s="7" t="n">
        <x:v>352.8</x:v>
      </x:c>
    </x:row>
    <x:row r="2839" ht="23" customHeight="1">
      <x:c r="A2839" s="7" t="str">
        <x:v>INV02834</x:v>
      </x:c>
      <x:c r="B2839" s="15" t="d">
        <x:v>2026-05-27T00:00:00.000Z</x:v>
      </x:c>
      <x:c r="C2839" s="14" t="d">
        <x:v>2026-05-01T00:00:00.000Z</x:v>
      </x:c>
      <x:c r="D2839" s="34" t="str">
        <x:v>0003</x:v>
      </x:c>
      <x:c r="E2839" s="7" t="str">
        <x:v>West</x:v>
      </x:c>
      <x:c r="F2839" s="7" t="n">
        <x:v>2</x:v>
      </x:c>
      <x:c r="G2839" s="7" t="n">
        <x:v>200</x:v>
      </x:c>
      <x:c r="H2839" s="9" t="n">
        <x:v>0.05</x:v>
      </x:c>
      <x:c r="I2839" s="7" t="n">
        <x:v>380</x:v>
      </x:c>
    </x:row>
    <x:row r="2840" ht="23" customHeight="1">
      <x:c r="A2840" s="7" t="str">
        <x:v>INV02835</x:v>
      </x:c>
      <x:c r="B2840" s="15" t="d">
        <x:v>2026-05-01T00:00:00.000Z</x:v>
      </x:c>
      <x:c r="C2840" s="14" t="d">
        <x:v>2026-05-01T00:00:00.000Z</x:v>
      </x:c>
      <x:c r="D2840" s="34" t="str">
        <x:v>0004</x:v>
      </x:c>
      <x:c r="E2840" s="7" t="str">
        <x:v>West</x:v>
      </x:c>
      <x:c r="F2840" s="7" t="n">
        <x:v>1</x:v>
      </x:c>
      <x:c r="G2840" s="7" t="n">
        <x:v>220</x:v>
      </x:c>
      <x:c r="H2840" s="9" t="n">
        <x:v>0</x:v>
      </x:c>
      <x:c r="I2840" s="7" t="n">
        <x:v>220</x:v>
      </x:c>
    </x:row>
    <x:row r="2841" ht="23" customHeight="1">
      <x:c r="A2841" s="7" t="str">
        <x:v>INV02836</x:v>
      </x:c>
      <x:c r="B2841" s="15" t="d">
        <x:v>2026-05-02T00:00:00.000Z</x:v>
      </x:c>
      <x:c r="C2841" s="14" t="d">
        <x:v>2026-05-01T00:00:00.000Z</x:v>
      </x:c>
      <x:c r="D2841" s="34" t="str">
        <x:v>0005</x:v>
      </x:c>
      <x:c r="E2841" s="7" t="str">
        <x:v>West</x:v>
      </x:c>
      <x:c r="F2841" s="7" t="n">
        <x:v>7</x:v>
      </x:c>
      <x:c r="G2841" s="7" t="n">
        <x:v>240</x:v>
      </x:c>
      <x:c r="H2841" s="9" t="n">
        <x:v>0.02</x:v>
      </x:c>
      <x:c r="I2841" s="7" t="n">
        <x:v>1646.4</x:v>
      </x:c>
    </x:row>
    <x:row r="2842" ht="23" customHeight="1">
      <x:c r="A2842" s="7" t="str">
        <x:v>INV02837</x:v>
      </x:c>
      <x:c r="B2842" s="15" t="d">
        <x:v>2026-05-03T00:00:00.000Z</x:v>
      </x:c>
      <x:c r="C2842" s="14" t="d">
        <x:v>2026-05-01T00:00:00.000Z</x:v>
      </x:c>
      <x:c r="D2842" s="34" t="str">
        <x:v>0006</x:v>
      </x:c>
      <x:c r="E2842" s="7" t="str">
        <x:v>West</x:v>
      </x:c>
      <x:c r="F2842" s="7" t="n">
        <x:v>1</x:v>
      </x:c>
      <x:c r="G2842" s="7" t="n">
        <x:v>260</x:v>
      </x:c>
      <x:c r="H2842" s="9" t="n">
        <x:v>0.05</x:v>
      </x:c>
      <x:c r="I2842" s="7" t="n">
        <x:v>247</x:v>
      </x:c>
    </x:row>
    <x:row r="2843" ht="23" customHeight="1">
      <x:c r="A2843" s="7" t="str">
        <x:v>INV02838</x:v>
      </x:c>
      <x:c r="B2843" s="15" t="d">
        <x:v>2026-05-04T00:00:00.000Z</x:v>
      </x:c>
      <x:c r="C2843" s="14" t="d">
        <x:v>2026-05-01T00:00:00.000Z</x:v>
      </x:c>
      <x:c r="D2843" s="34" t="str">
        <x:v>0007</x:v>
      </x:c>
      <x:c r="E2843" s="7" t="str">
        <x:v>West</x:v>
      </x:c>
      <x:c r="F2843" s="7" t="n">
        <x:v>3</x:v>
      </x:c>
      <x:c r="G2843" s="7" t="n">
        <x:v>280</x:v>
      </x:c>
      <x:c r="H2843" s="9" t="n">
        <x:v>0</x:v>
      </x:c>
      <x:c r="I2843" s="7" t="n">
        <x:v>840</x:v>
      </x:c>
    </x:row>
    <x:row r="2844" ht="23" customHeight="1">
      <x:c r="A2844" s="7" t="str">
        <x:v>INV02839</x:v>
      </x:c>
      <x:c r="B2844" s="15" t="d">
        <x:v>2026-05-05T00:00:00.000Z</x:v>
      </x:c>
      <x:c r="C2844" s="14" t="d">
        <x:v>2026-05-01T00:00:00.000Z</x:v>
      </x:c>
      <x:c r="D2844" s="34" t="str">
        <x:v>0008</x:v>
      </x:c>
      <x:c r="E2844" s="7" t="str">
        <x:v>West</x:v>
      </x:c>
      <x:c r="F2844" s="7" t="n">
        <x:v>3</x:v>
      </x:c>
      <x:c r="G2844" s="7" t="n">
        <x:v>300</x:v>
      </x:c>
      <x:c r="H2844" s="9" t="n">
        <x:v>0.02</x:v>
      </x:c>
      <x:c r="I2844" s="7" t="n">
        <x:v>882</x:v>
      </x:c>
    </x:row>
    <x:row r="2845" ht="23" customHeight="1">
      <x:c r="A2845" s="7" t="str">
        <x:v>INV02840</x:v>
      </x:c>
      <x:c r="B2845" s="15" t="d">
        <x:v>2026-05-06T00:00:00.000Z</x:v>
      </x:c>
      <x:c r="C2845" s="14" t="d">
        <x:v>2026-05-01T00:00:00.000Z</x:v>
      </x:c>
      <x:c r="D2845" s="34" t="str">
        <x:v>0001</x:v>
      </x:c>
      <x:c r="E2845" s="7" t="str">
        <x:v>North</x:v>
      </x:c>
      <x:c r="F2845" s="7" t="n">
        <x:v>2</x:v>
      </x:c>
      <x:c r="G2845" s="7" t="n">
        <x:v>160</x:v>
      </x:c>
      <x:c r="H2845" s="9" t="n">
        <x:v>0.05</x:v>
      </x:c>
      <x:c r="I2845" s="7" t="n">
        <x:v>304</x:v>
      </x:c>
    </x:row>
    <x:row r="2846" ht="23" customHeight="1">
      <x:c r="A2846" s="7" t="str">
        <x:v>INV02841</x:v>
      </x:c>
      <x:c r="B2846" s="15" t="d">
        <x:v>2026-05-07T00:00:00.000Z</x:v>
      </x:c>
      <x:c r="C2846" s="14" t="d">
        <x:v>2026-05-01T00:00:00.000Z</x:v>
      </x:c>
      <x:c r="D2846" s="34" t="str">
        <x:v>0002</x:v>
      </x:c>
      <x:c r="E2846" s="7" t="str">
        <x:v>North</x:v>
      </x:c>
      <x:c r="F2846" s="7" t="n">
        <x:v>1</x:v>
      </x:c>
      <x:c r="G2846" s="7" t="n">
        <x:v>180</x:v>
      </x:c>
      <x:c r="H2846" s="9" t="n">
        <x:v>0</x:v>
      </x:c>
      <x:c r="I2846" s="7" t="n">
        <x:v>180</x:v>
      </x:c>
    </x:row>
    <x:row r="2847" ht="23" customHeight="1">
      <x:c r="A2847" s="7" t="str">
        <x:v>INV02842</x:v>
      </x:c>
      <x:c r="B2847" s="15" t="d">
        <x:v>2026-05-08T00:00:00.000Z</x:v>
      </x:c>
      <x:c r="C2847" s="14" t="d">
        <x:v>2026-05-01T00:00:00.000Z</x:v>
      </x:c>
      <x:c r="D2847" s="34" t="str">
        <x:v>0003</x:v>
      </x:c>
      <x:c r="E2847" s="7" t="str">
        <x:v>North</x:v>
      </x:c>
      <x:c r="F2847" s="7" t="n">
        <x:v>5</x:v>
      </x:c>
      <x:c r="G2847" s="7" t="n">
        <x:v>200</x:v>
      </x:c>
      <x:c r="H2847" s="9" t="n">
        <x:v>0.02</x:v>
      </x:c>
      <x:c r="I2847" s="7" t="n">
        <x:v>980</x:v>
      </x:c>
    </x:row>
    <x:row r="2848" ht="23" customHeight="1">
      <x:c r="A2848" s="7" t="str">
        <x:v>INV02843</x:v>
      </x:c>
      <x:c r="B2848" s="15" t="d">
        <x:v>2026-05-09T00:00:00.000Z</x:v>
      </x:c>
      <x:c r="C2848" s="14" t="d">
        <x:v>2026-05-01T00:00:00.000Z</x:v>
      </x:c>
      <x:c r="D2848" s="34" t="str">
        <x:v>0004</x:v>
      </x:c>
      <x:c r="E2848" s="7" t="str">
        <x:v>North</x:v>
      </x:c>
      <x:c r="F2848" s="7" t="n">
        <x:v>6</x:v>
      </x:c>
      <x:c r="G2848" s="7" t="n">
        <x:v>220</x:v>
      </x:c>
      <x:c r="H2848" s="9" t="n">
        <x:v>0.05</x:v>
      </x:c>
      <x:c r="I2848" s="7" t="n">
        <x:v>1254</x:v>
      </x:c>
    </x:row>
    <x:row r="2849" ht="23" customHeight="1">
      <x:c r="A2849" s="7" t="str">
        <x:v>INV02844</x:v>
      </x:c>
      <x:c r="B2849" s="15" t="d">
        <x:v>2026-05-10T00:00:00.000Z</x:v>
      </x:c>
      <x:c r="C2849" s="14" t="d">
        <x:v>2026-05-01T00:00:00.000Z</x:v>
      </x:c>
      <x:c r="D2849" s="34" t="str">
        <x:v>0005</x:v>
      </x:c>
      <x:c r="E2849" s="7" t="str">
        <x:v>North</x:v>
      </x:c>
      <x:c r="F2849" s="7" t="n">
        <x:v>1</x:v>
      </x:c>
      <x:c r="G2849" s="7" t="n">
        <x:v>240</x:v>
      </x:c>
      <x:c r="H2849" s="9" t="n">
        <x:v>0</x:v>
      </x:c>
      <x:c r="I2849" s="7" t="n">
        <x:v>240</x:v>
      </x:c>
    </x:row>
    <x:row r="2850" ht="23" customHeight="1">
      <x:c r="A2850" s="7" t="str">
        <x:v>INV02845</x:v>
      </x:c>
      <x:c r="B2850" s="15" t="d">
        <x:v>2026-05-11T00:00:00.000Z</x:v>
      </x:c>
      <x:c r="C2850" s="14" t="d">
        <x:v>2026-05-01T00:00:00.000Z</x:v>
      </x:c>
      <x:c r="D2850" s="34" t="str">
        <x:v>0006</x:v>
      </x:c>
      <x:c r="E2850" s="7" t="str">
        <x:v>North</x:v>
      </x:c>
      <x:c r="F2850" s="7" t="n">
        <x:v>7</x:v>
      </x:c>
      <x:c r="G2850" s="7" t="n">
        <x:v>260</x:v>
      </x:c>
      <x:c r="H2850" s="9" t="n">
        <x:v>0.02</x:v>
      </x:c>
      <x:c r="I2850" s="7" t="n">
        <x:v>1783.6</x:v>
      </x:c>
    </x:row>
    <x:row r="2851" ht="23" customHeight="1">
      <x:c r="A2851" s="7" t="str">
        <x:v>INV02846</x:v>
      </x:c>
      <x:c r="B2851" s="15" t="d">
        <x:v>2026-05-12T00:00:00.000Z</x:v>
      </x:c>
      <x:c r="C2851" s="14" t="d">
        <x:v>2026-05-01T00:00:00.000Z</x:v>
      </x:c>
      <x:c r="D2851" s="34" t="str">
        <x:v>0007</x:v>
      </x:c>
      <x:c r="E2851" s="7" t="str">
        <x:v>North</x:v>
      </x:c>
      <x:c r="F2851" s="7" t="n">
        <x:v>1</x:v>
      </x:c>
      <x:c r="G2851" s="7" t="n">
        <x:v>280</x:v>
      </x:c>
      <x:c r="H2851" s="9" t="n">
        <x:v>0.05</x:v>
      </x:c>
      <x:c r="I2851" s="7" t="n">
        <x:v>266</x:v>
      </x:c>
    </x:row>
    <x:row r="2852" ht="23" customHeight="1">
      <x:c r="A2852" s="7" t="str">
        <x:v>INV02847</x:v>
      </x:c>
      <x:c r="B2852" s="15" t="d">
        <x:v>2026-05-13T00:00:00.000Z</x:v>
      </x:c>
      <x:c r="C2852" s="14" t="d">
        <x:v>2026-05-01T00:00:00.000Z</x:v>
      </x:c>
      <x:c r="D2852" s="34" t="str">
        <x:v>0008</x:v>
      </x:c>
      <x:c r="E2852" s="7" t="str">
        <x:v>North</x:v>
      </x:c>
      <x:c r="F2852" s="7" t="n">
        <x:v>2</x:v>
      </x:c>
      <x:c r="G2852" s="7" t="n">
        <x:v>300</x:v>
      </x:c>
      <x:c r="H2852" s="9" t="n">
        <x:v>0</x:v>
      </x:c>
      <x:c r="I2852" s="7" t="n">
        <x:v>600</x:v>
      </x:c>
    </x:row>
    <x:row r="2853" ht="23" customHeight="1">
      <x:c r="A2853" s="7" t="str">
        <x:v>INV02848</x:v>
      </x:c>
      <x:c r="B2853" s="15" t="d">
        <x:v>2026-06-14T00:00:00.000Z</x:v>
      </x:c>
      <x:c r="C2853" s="14" t="d">
        <x:v>2026-06-01T00:00:00.000Z</x:v>
      </x:c>
      <x:c r="D2853" s="34" t="str">
        <x:v>0001</x:v>
      </x:c>
      <x:c r="E2853" s="7" t="str">
        <x:v>Central</x:v>
      </x:c>
      <x:c r="F2853" s="7" t="n">
        <x:v>2</x:v>
      </x:c>
      <x:c r="G2853" s="7" t="n">
        <x:v>160</x:v>
      </x:c>
      <x:c r="H2853" s="9" t="n">
        <x:v>0.02</x:v>
      </x:c>
      <x:c r="I2853" s="7" t="n">
        <x:v>313.6</x:v>
      </x:c>
    </x:row>
    <x:row r="2854" ht="23" customHeight="1">
      <x:c r="A2854" s="7" t="str">
        <x:v>INV02849</x:v>
      </x:c>
      <x:c r="B2854" s="15" t="d">
        <x:v>2026-06-15T00:00:00.000Z</x:v>
      </x:c>
      <x:c r="C2854" s="14" t="d">
        <x:v>2026-06-01T00:00:00.000Z</x:v>
      </x:c>
      <x:c r="D2854" s="34" t="str">
        <x:v>0002</x:v>
      </x:c>
      <x:c r="E2854" s="7" t="str">
        <x:v>Central</x:v>
      </x:c>
      <x:c r="F2854" s="7" t="n">
        <x:v>3</x:v>
      </x:c>
      <x:c r="G2854" s="7" t="n">
        <x:v>180</x:v>
      </x:c>
      <x:c r="H2854" s="9" t="n">
        <x:v>0.05</x:v>
      </x:c>
      <x:c r="I2854" s="7" t="n">
        <x:v>513</x:v>
      </x:c>
    </x:row>
    <x:row r="2855" ht="23" customHeight="1">
      <x:c r="A2855" s="7" t="str">
        <x:v>INV02850</x:v>
      </x:c>
      <x:c r="B2855" s="15" t="d">
        <x:v>2026-06-16T00:00:00.000Z</x:v>
      </x:c>
      <x:c r="C2855" s="14" t="d">
        <x:v>2026-06-01T00:00:00.000Z</x:v>
      </x:c>
      <x:c r="D2855" s="34" t="str">
        <x:v>0003</x:v>
      </x:c>
      <x:c r="E2855" s="7" t="str">
        <x:v>Central</x:v>
      </x:c>
      <x:c r="F2855" s="7" t="n">
        <x:v>3</x:v>
      </x:c>
      <x:c r="G2855" s="7" t="n">
        <x:v>200</x:v>
      </x:c>
      <x:c r="H2855" s="9" t="n">
        <x:v>0</x:v>
      </x:c>
      <x:c r="I2855" s="7" t="n">
        <x:v>600</x:v>
      </x:c>
    </x:row>
    <x:row r="2856" ht="23" customHeight="1">
      <x:c r="A2856" s="7" t="str">
        <x:v>INV02851</x:v>
      </x:c>
      <x:c r="B2856" s="15" t="d">
        <x:v>2026-06-17T00:00:00.000Z</x:v>
      </x:c>
      <x:c r="C2856" s="14" t="d">
        <x:v>2026-06-01T00:00:00.000Z</x:v>
      </x:c>
      <x:c r="D2856" s="34" t="str">
        <x:v>0004</x:v>
      </x:c>
      <x:c r="E2856" s="7" t="str">
        <x:v>Central</x:v>
      </x:c>
      <x:c r="F2856" s="7" t="n">
        <x:v>1</x:v>
      </x:c>
      <x:c r="G2856" s="7" t="n">
        <x:v>220</x:v>
      </x:c>
      <x:c r="H2856" s="9" t="n">
        <x:v>0.02</x:v>
      </x:c>
      <x:c r="I2856" s="7" t="n">
        <x:v>215.6</x:v>
      </x:c>
    </x:row>
    <x:row r="2857" ht="23" customHeight="1">
      <x:c r="A2857" s="7" t="str">
        <x:v>INV02852</x:v>
      </x:c>
      <x:c r="B2857" s="15" t="d">
        <x:v>2026-06-18T00:00:00.000Z</x:v>
      </x:c>
      <x:c r="C2857" s="14" t="d">
        <x:v>2026-06-01T00:00:00.000Z</x:v>
      </x:c>
      <x:c r="D2857" s="34" t="str">
        <x:v>0005</x:v>
      </x:c>
      <x:c r="E2857" s="7" t="str">
        <x:v>Central</x:v>
      </x:c>
      <x:c r="F2857" s="7" t="n">
        <x:v>7</x:v>
      </x:c>
      <x:c r="G2857" s="7" t="n">
        <x:v>240</x:v>
      </x:c>
      <x:c r="H2857" s="9" t="n">
        <x:v>0.05</x:v>
      </x:c>
      <x:c r="I2857" s="7" t="n">
        <x:v>1596</x:v>
      </x:c>
    </x:row>
    <x:row r="2858" ht="23" customHeight="1">
      <x:c r="A2858" s="7" t="str">
        <x:v>INV02853</x:v>
      </x:c>
      <x:c r="B2858" s="15" t="d">
        <x:v>2026-06-19T00:00:00.000Z</x:v>
      </x:c>
      <x:c r="C2858" s="14" t="d">
        <x:v>2026-06-01T00:00:00.000Z</x:v>
      </x:c>
      <x:c r="D2858" s="34" t="str">
        <x:v>0006</x:v>
      </x:c>
      <x:c r="E2858" s="7" t="str">
        <x:v>Central</x:v>
      </x:c>
      <x:c r="F2858" s="7" t="n">
        <x:v>5</x:v>
      </x:c>
      <x:c r="G2858" s="7" t="n">
        <x:v>260</x:v>
      </x:c>
      <x:c r="H2858" s="9" t="n">
        <x:v>0</x:v>
      </x:c>
      <x:c r="I2858" s="7" t="n">
        <x:v>1300</x:v>
      </x:c>
    </x:row>
    <x:row r="2859" ht="23" customHeight="1">
      <x:c r="A2859" s="7" t="str">
        <x:v>INV02854</x:v>
      </x:c>
      <x:c r="B2859" s="15" t="d">
        <x:v>2026-06-20T00:00:00.000Z</x:v>
      </x:c>
      <x:c r="C2859" s="14" t="d">
        <x:v>2026-06-01T00:00:00.000Z</x:v>
      </x:c>
      <x:c r="D2859" s="34" t="str">
        <x:v>0007</x:v>
      </x:c>
      <x:c r="E2859" s="7" t="str">
        <x:v>Central</x:v>
      </x:c>
      <x:c r="F2859" s="7" t="n">
        <x:v>1</x:v>
      </x:c>
      <x:c r="G2859" s="7" t="n">
        <x:v>280</x:v>
      </x:c>
      <x:c r="H2859" s="9" t="n">
        <x:v>0.02</x:v>
      </x:c>
      <x:c r="I2859" s="7" t="n">
        <x:v>274.4</x:v>
      </x:c>
    </x:row>
    <x:row r="2860" ht="23" customHeight="1">
      <x:c r="A2860" s="7" t="str">
        <x:v>INV02855</x:v>
      </x:c>
      <x:c r="B2860" s="15" t="d">
        <x:v>2026-06-21T00:00:00.000Z</x:v>
      </x:c>
      <x:c r="C2860" s="14" t="d">
        <x:v>2026-06-01T00:00:00.000Z</x:v>
      </x:c>
      <x:c r="D2860" s="34" t="str">
        <x:v>0008</x:v>
      </x:c>
      <x:c r="E2860" s="7" t="str">
        <x:v>Central</x:v>
      </x:c>
      <x:c r="F2860" s="7" t="n">
        <x:v>6</x:v>
      </x:c>
      <x:c r="G2860" s="7" t="n">
        <x:v>300</x:v>
      </x:c>
      <x:c r="H2860" s="9" t="n">
        <x:v>0.05</x:v>
      </x:c>
      <x:c r="I2860" s="7" t="n">
        <x:v>1710</x:v>
      </x:c>
    </x:row>
    <x:row r="2861" ht="23" customHeight="1">
      <x:c r="A2861" s="7" t="str">
        <x:v>INV02856</x:v>
      </x:c>
      <x:c r="B2861" s="15" t="d">
        <x:v>2026-06-22T00:00:00.000Z</x:v>
      </x:c>
      <x:c r="C2861" s="14" t="d">
        <x:v>2026-06-01T00:00:00.000Z</x:v>
      </x:c>
      <x:c r="D2861" s="34" t="str">
        <x:v>0001</x:v>
      </x:c>
      <x:c r="E2861" s="7" t="str">
        <x:v>East</x:v>
      </x:c>
      <x:c r="F2861" s="7" t="n">
        <x:v>7</x:v>
      </x:c>
      <x:c r="G2861" s="7" t="n">
        <x:v>160</x:v>
      </x:c>
      <x:c r="H2861" s="9" t="n">
        <x:v>0</x:v>
      </x:c>
      <x:c r="I2861" s="7" t="n">
        <x:v>1120</x:v>
      </x:c>
    </x:row>
    <x:row r="2862" ht="23" customHeight="1">
      <x:c r="A2862" s="7" t="str">
        <x:v>INV02857</x:v>
      </x:c>
      <x:c r="B2862" s="15" t="d">
        <x:v>2026-06-23T00:00:00.000Z</x:v>
      </x:c>
      <x:c r="C2862" s="14" t="d">
        <x:v>2026-06-01T00:00:00.000Z</x:v>
      </x:c>
      <x:c r="D2862" s="34" t="str">
        <x:v>0002</x:v>
      </x:c>
      <x:c r="E2862" s="7" t="str">
        <x:v>East</x:v>
      </x:c>
      <x:c r="F2862" s="7" t="n">
        <x:v>7</x:v>
      </x:c>
      <x:c r="G2862" s="7" t="n">
        <x:v>180</x:v>
      </x:c>
      <x:c r="H2862" s="9" t="n">
        <x:v>0.02</x:v>
      </x:c>
      <x:c r="I2862" s="7" t="n">
        <x:v>1234.8</x:v>
      </x:c>
    </x:row>
    <x:row r="2863" ht="23" customHeight="1">
      <x:c r="A2863" s="7" t="str">
        <x:v>INV02858</x:v>
      </x:c>
      <x:c r="B2863" s="15" t="d">
        <x:v>2026-06-24T00:00:00.000Z</x:v>
      </x:c>
      <x:c r="C2863" s="14" t="d">
        <x:v>2026-06-01T00:00:00.000Z</x:v>
      </x:c>
      <x:c r="D2863" s="34" t="str">
        <x:v>0003</x:v>
      </x:c>
      <x:c r="E2863" s="7" t="str">
        <x:v>East</x:v>
      </x:c>
      <x:c r="F2863" s="7" t="n">
        <x:v>7</x:v>
      </x:c>
      <x:c r="G2863" s="7" t="n">
        <x:v>200</x:v>
      </x:c>
      <x:c r="H2863" s="9" t="n">
        <x:v>0.05</x:v>
      </x:c>
      <x:c r="I2863" s="7" t="n">
        <x:v>1330</x:v>
      </x:c>
    </x:row>
    <x:row r="2864" ht="23" customHeight="1">
      <x:c r="A2864" s="7" t="str">
        <x:v>INV02859</x:v>
      </x:c>
      <x:c r="B2864" s="15" t="d">
        <x:v>2026-06-25T00:00:00.000Z</x:v>
      </x:c>
      <x:c r="C2864" s="14" t="d">
        <x:v>2026-06-01T00:00:00.000Z</x:v>
      </x:c>
      <x:c r="D2864" s="34" t="str">
        <x:v>0004</x:v>
      </x:c>
      <x:c r="E2864" s="7" t="str">
        <x:v>East</x:v>
      </x:c>
      <x:c r="F2864" s="7" t="n">
        <x:v>4</x:v>
      </x:c>
      <x:c r="G2864" s="7" t="n">
        <x:v>220</x:v>
      </x:c>
      <x:c r="H2864" s="9" t="n">
        <x:v>0</x:v>
      </x:c>
      <x:c r="I2864" s="7" t="n">
        <x:v>880</x:v>
      </x:c>
    </x:row>
    <x:row r="2865" ht="23" customHeight="1">
      <x:c r="A2865" s="7" t="str">
        <x:v>INV02860</x:v>
      </x:c>
      <x:c r="B2865" s="15" t="d">
        <x:v>2026-06-26T00:00:00.000Z</x:v>
      </x:c>
      <x:c r="C2865" s="14" t="d">
        <x:v>2026-06-01T00:00:00.000Z</x:v>
      </x:c>
      <x:c r="D2865" s="34" t="str">
        <x:v>0005</x:v>
      </x:c>
      <x:c r="E2865" s="7" t="str">
        <x:v>East</x:v>
      </x:c>
      <x:c r="F2865" s="7" t="n">
        <x:v>7</x:v>
      </x:c>
      <x:c r="G2865" s="7" t="n">
        <x:v>240</x:v>
      </x:c>
      <x:c r="H2865" s="9" t="n">
        <x:v>0.02</x:v>
      </x:c>
      <x:c r="I2865" s="7" t="n">
        <x:v>1646.4</x:v>
      </x:c>
    </x:row>
    <x:row r="2866" ht="23" customHeight="1">
      <x:c r="A2866" s="7" t="str">
        <x:v>INV02861</x:v>
      </x:c>
      <x:c r="B2866" s="15" t="d">
        <x:v>2026-06-27T00:00:00.000Z</x:v>
      </x:c>
      <x:c r="C2866" s="14" t="d">
        <x:v>2026-06-01T00:00:00.000Z</x:v>
      </x:c>
      <x:c r="D2866" s="34" t="str">
        <x:v>0006</x:v>
      </x:c>
      <x:c r="E2866" s="7" t="str">
        <x:v>East</x:v>
      </x:c>
      <x:c r="F2866" s="7" t="n">
        <x:v>5</x:v>
      </x:c>
      <x:c r="G2866" s="7" t="n">
        <x:v>260</x:v>
      </x:c>
      <x:c r="H2866" s="9" t="n">
        <x:v>0.05</x:v>
      </x:c>
      <x:c r="I2866" s="7" t="n">
        <x:v>1235</x:v>
      </x:c>
    </x:row>
    <x:row r="2867" ht="23" customHeight="1">
      <x:c r="A2867" s="7" t="str">
        <x:v>INV02862</x:v>
      </x:c>
      <x:c r="B2867" s="15" t="d">
        <x:v>2026-06-01T00:00:00.000Z</x:v>
      </x:c>
      <x:c r="C2867" s="14" t="d">
        <x:v>2026-06-01T00:00:00.000Z</x:v>
      </x:c>
      <x:c r="D2867" s="34" t="str">
        <x:v>0007</x:v>
      </x:c>
      <x:c r="E2867" s="7" t="str">
        <x:v>East</x:v>
      </x:c>
      <x:c r="F2867" s="7" t="n">
        <x:v>3</x:v>
      </x:c>
      <x:c r="G2867" s="7" t="n">
        <x:v>280</x:v>
      </x:c>
      <x:c r="H2867" s="9" t="n">
        <x:v>0</x:v>
      </x:c>
      <x:c r="I2867" s="7" t="n">
        <x:v>840</x:v>
      </x:c>
    </x:row>
    <x:row r="2868" ht="23" customHeight="1">
      <x:c r="A2868" s="7" t="str">
        <x:v>INV02863</x:v>
      </x:c>
      <x:c r="B2868" s="15" t="d">
        <x:v>2026-06-02T00:00:00.000Z</x:v>
      </x:c>
      <x:c r="C2868" s="14" t="d">
        <x:v>2026-06-01T00:00:00.000Z</x:v>
      </x:c>
      <x:c r="D2868" s="34" t="str">
        <x:v>0008</x:v>
      </x:c>
      <x:c r="E2868" s="7" t="str">
        <x:v>East</x:v>
      </x:c>
      <x:c r="F2868" s="7" t="n">
        <x:v>2</x:v>
      </x:c>
      <x:c r="G2868" s="7" t="n">
        <x:v>300</x:v>
      </x:c>
      <x:c r="H2868" s="9" t="n">
        <x:v>0.02</x:v>
      </x:c>
      <x:c r="I2868" s="7" t="n">
        <x:v>588</x:v>
      </x:c>
    </x:row>
    <x:row r="2869" ht="23" customHeight="1">
      <x:c r="A2869" s="7" t="str">
        <x:v>INV02864</x:v>
      </x:c>
      <x:c r="B2869" s="15" t="d">
        <x:v>2026-06-03T00:00:00.000Z</x:v>
      </x:c>
      <x:c r="C2869" s="14" t="d">
        <x:v>2026-06-01T00:00:00.000Z</x:v>
      </x:c>
      <x:c r="D2869" s="34" t="str">
        <x:v>0001</x:v>
      </x:c>
      <x:c r="E2869" s="7" t="str">
        <x:v>West</x:v>
      </x:c>
      <x:c r="F2869" s="7" t="n">
        <x:v>3</x:v>
      </x:c>
      <x:c r="G2869" s="7" t="n">
        <x:v>160</x:v>
      </x:c>
      <x:c r="H2869" s="9" t="n">
        <x:v>0.05</x:v>
      </x:c>
      <x:c r="I2869" s="7" t="n">
        <x:v>456</x:v>
      </x:c>
    </x:row>
    <x:row r="2870" ht="23" customHeight="1">
      <x:c r="A2870" s="7" t="str">
        <x:v>INV02865</x:v>
      </x:c>
      <x:c r="B2870" s="15" t="d">
        <x:v>2026-06-04T00:00:00.000Z</x:v>
      </x:c>
      <x:c r="C2870" s="14" t="d">
        <x:v>2026-06-01T00:00:00.000Z</x:v>
      </x:c>
      <x:c r="D2870" s="34" t="str">
        <x:v>0002</x:v>
      </x:c>
      <x:c r="E2870" s="7" t="str">
        <x:v>West</x:v>
      </x:c>
      <x:c r="F2870" s="7" t="n">
        <x:v>6</x:v>
      </x:c>
      <x:c r="G2870" s="7" t="n">
        <x:v>180</x:v>
      </x:c>
      <x:c r="H2870" s="9" t="n">
        <x:v>0</x:v>
      </x:c>
      <x:c r="I2870" s="7" t="n">
        <x:v>1080</x:v>
      </x:c>
    </x:row>
    <x:row r="2871" ht="23" customHeight="1">
      <x:c r="A2871" s="7" t="str">
        <x:v>INV02866</x:v>
      </x:c>
      <x:c r="B2871" s="15" t="d">
        <x:v>2026-06-05T00:00:00.000Z</x:v>
      </x:c>
      <x:c r="C2871" s="14" t="d">
        <x:v>2026-06-01T00:00:00.000Z</x:v>
      </x:c>
      <x:c r="D2871" s="34" t="str">
        <x:v>0003</x:v>
      </x:c>
      <x:c r="E2871" s="7" t="str">
        <x:v>West</x:v>
      </x:c>
      <x:c r="F2871" s="7" t="n">
        <x:v>2</x:v>
      </x:c>
      <x:c r="G2871" s="7" t="n">
        <x:v>200</x:v>
      </x:c>
      <x:c r="H2871" s="9" t="n">
        <x:v>0.02</x:v>
      </x:c>
      <x:c r="I2871" s="7" t="n">
        <x:v>392</x:v>
      </x:c>
    </x:row>
    <x:row r="2872" ht="23" customHeight="1">
      <x:c r="A2872" s="7" t="str">
        <x:v>INV02867</x:v>
      </x:c>
      <x:c r="B2872" s="15" t="d">
        <x:v>2026-06-06T00:00:00.000Z</x:v>
      </x:c>
      <x:c r="C2872" s="14" t="d">
        <x:v>2026-06-01T00:00:00.000Z</x:v>
      </x:c>
      <x:c r="D2872" s="34" t="str">
        <x:v>0004</x:v>
      </x:c>
      <x:c r="E2872" s="7" t="str">
        <x:v>West</x:v>
      </x:c>
      <x:c r="F2872" s="7" t="n">
        <x:v>1</x:v>
      </x:c>
      <x:c r="G2872" s="7" t="n">
        <x:v>220</x:v>
      </x:c>
      <x:c r="H2872" s="9" t="n">
        <x:v>0.05</x:v>
      </x:c>
      <x:c r="I2872" s="7" t="n">
        <x:v>209</x:v>
      </x:c>
    </x:row>
    <x:row r="2873" ht="23" customHeight="1">
      <x:c r="A2873" s="7" t="str">
        <x:v>INV02868</x:v>
      </x:c>
      <x:c r="B2873" s="15" t="d">
        <x:v>2026-06-07T00:00:00.000Z</x:v>
      </x:c>
      <x:c r="C2873" s="14" t="d">
        <x:v>2026-06-01T00:00:00.000Z</x:v>
      </x:c>
      <x:c r="D2873" s="34" t="str">
        <x:v>0005</x:v>
      </x:c>
      <x:c r="E2873" s="7" t="str">
        <x:v>West</x:v>
      </x:c>
      <x:c r="F2873" s="7" t="n">
        <x:v>6</x:v>
      </x:c>
      <x:c r="G2873" s="7" t="n">
        <x:v>240</x:v>
      </x:c>
      <x:c r="H2873" s="9" t="n">
        <x:v>0</x:v>
      </x:c>
      <x:c r="I2873" s="7" t="n">
        <x:v>1440</x:v>
      </x:c>
    </x:row>
    <x:row r="2874" ht="23" customHeight="1">
      <x:c r="A2874" s="7" t="str">
        <x:v>INV02869</x:v>
      </x:c>
      <x:c r="B2874" s="15" t="d">
        <x:v>2026-06-08T00:00:00.000Z</x:v>
      </x:c>
      <x:c r="C2874" s="14" t="d">
        <x:v>2026-06-01T00:00:00.000Z</x:v>
      </x:c>
      <x:c r="D2874" s="34" t="str">
        <x:v>0006</x:v>
      </x:c>
      <x:c r="E2874" s="7" t="str">
        <x:v>West</x:v>
      </x:c>
      <x:c r="F2874" s="7" t="n">
        <x:v>4</x:v>
      </x:c>
      <x:c r="G2874" s="7" t="n">
        <x:v>260</x:v>
      </x:c>
      <x:c r="H2874" s="9" t="n">
        <x:v>0.02</x:v>
      </x:c>
      <x:c r="I2874" s="7" t="n">
        <x:v>1019.2</x:v>
      </x:c>
    </x:row>
    <x:row r="2875" ht="23" customHeight="1">
      <x:c r="A2875" s="7" t="str">
        <x:v>INV02870</x:v>
      </x:c>
      <x:c r="B2875" s="15" t="d">
        <x:v>2026-06-09T00:00:00.000Z</x:v>
      </x:c>
      <x:c r="C2875" s="14" t="d">
        <x:v>2026-06-01T00:00:00.000Z</x:v>
      </x:c>
      <x:c r="D2875" s="34" t="str">
        <x:v>0007</x:v>
      </x:c>
      <x:c r="E2875" s="7" t="str">
        <x:v>West</x:v>
      </x:c>
      <x:c r="F2875" s="7" t="n">
        <x:v>-3</x:v>
      </x:c>
      <x:c r="G2875" s="7" t="n">
        <x:v>280</x:v>
      </x:c>
      <x:c r="H2875" s="9" t="n">
        <x:v>0.05</x:v>
      </x:c>
      <x:c r="I2875" s="7" t="n">
        <x:v>-798</x:v>
      </x:c>
    </x:row>
    <x:row r="2876" ht="23" customHeight="1">
      <x:c r="A2876" s="7" t="str">
        <x:v>INV02871</x:v>
      </x:c>
      <x:c r="B2876" s="15" t="d">
        <x:v>2026-06-10T00:00:00.000Z</x:v>
      </x:c>
      <x:c r="C2876" s="14" t="d">
        <x:v>2026-06-01T00:00:00.000Z</x:v>
      </x:c>
      <x:c r="D2876" s="34" t="str">
        <x:v>0008</x:v>
      </x:c>
      <x:c r="E2876" s="7" t="str">
        <x:v>West</x:v>
      </x:c>
      <x:c r="F2876" s="7" t="n">
        <x:v>2</x:v>
      </x:c>
      <x:c r="G2876" s="7" t="n">
        <x:v>300</x:v>
      </x:c>
      <x:c r="H2876" s="9" t="n">
        <x:v>0</x:v>
      </x:c>
      <x:c r="I2876" s="7" t="n">
        <x:v>600</x:v>
      </x:c>
    </x:row>
    <x:row r="2877" ht="23" customHeight="1">
      <x:c r="A2877" s="7" t="str">
        <x:v>INV02872</x:v>
      </x:c>
      <x:c r="B2877" s="15" t="d">
        <x:v>2026-06-11T00:00:00.000Z</x:v>
      </x:c>
      <x:c r="C2877" s="14" t="d">
        <x:v>2026-06-01T00:00:00.000Z</x:v>
      </x:c>
      <x:c r="D2877" s="34" t="str">
        <x:v>0001</x:v>
      </x:c>
      <x:c r="E2877" s="7" t="str">
        <x:v>North</x:v>
      </x:c>
      <x:c r="F2877" s="7" t="n">
        <x:v>1</x:v>
      </x:c>
      <x:c r="G2877" s="7" t="n">
        <x:v>160</x:v>
      </x:c>
      <x:c r="H2877" s="9" t="n">
        <x:v>0.02</x:v>
      </x:c>
      <x:c r="I2877" s="7" t="n">
        <x:v>156.8</x:v>
      </x:c>
    </x:row>
    <x:row r="2878" ht="23" customHeight="1">
      <x:c r="A2878" s="7" t="str">
        <x:v>INV02873</x:v>
      </x:c>
      <x:c r="B2878" s="15" t="d">
        <x:v>2026-06-12T00:00:00.000Z</x:v>
      </x:c>
      <x:c r="C2878" s="14" t="d">
        <x:v>2026-06-01T00:00:00.000Z</x:v>
      </x:c>
      <x:c r="D2878" s="34" t="str">
        <x:v>0002</x:v>
      </x:c>
      <x:c r="E2878" s="7" t="str">
        <x:v>North</x:v>
      </x:c>
      <x:c r="F2878" s="7" t="n">
        <x:v>1</x:v>
      </x:c>
      <x:c r="G2878" s="7" t="n">
        <x:v>180</x:v>
      </x:c>
      <x:c r="H2878" s="9" t="n">
        <x:v>0.05</x:v>
      </x:c>
      <x:c r="I2878" s="7" t="n">
        <x:v>171</x:v>
      </x:c>
    </x:row>
    <x:row r="2879" ht="23" customHeight="1">
      <x:c r="A2879" s="7" t="str">
        <x:v>INV02874</x:v>
      </x:c>
      <x:c r="B2879" s="15" t="d">
        <x:v>2026-06-13T00:00:00.000Z</x:v>
      </x:c>
      <x:c r="C2879" s="14" t="d">
        <x:v>2026-06-01T00:00:00.000Z</x:v>
      </x:c>
      <x:c r="D2879" s="34" t="str">
        <x:v>0003</x:v>
      </x:c>
      <x:c r="E2879" s="7" t="str">
        <x:v>North</x:v>
      </x:c>
      <x:c r="F2879" s="7" t="n">
        <x:v>5</x:v>
      </x:c>
      <x:c r="G2879" s="7" t="n">
        <x:v>200</x:v>
      </x:c>
      <x:c r="H2879" s="9" t="n">
        <x:v>0</x:v>
      </x:c>
      <x:c r="I2879" s="7" t="n">
        <x:v>1000</x:v>
      </x:c>
    </x:row>
    <x:row r="2880" ht="23" customHeight="1">
      <x:c r="A2880" s="7" t="str">
        <x:v>INV02875</x:v>
      </x:c>
      <x:c r="B2880" s="15" t="d">
        <x:v>2026-06-14T00:00:00.000Z</x:v>
      </x:c>
      <x:c r="C2880" s="14" t="d">
        <x:v>2026-06-01T00:00:00.000Z</x:v>
      </x:c>
      <x:c r="D2880" s="34" t="str">
        <x:v>0004</x:v>
      </x:c>
      <x:c r="E2880" s="7" t="str">
        <x:v>North</x:v>
      </x:c>
      <x:c r="F2880" s="7" t="n">
        <x:v>3</x:v>
      </x:c>
      <x:c r="G2880" s="7" t="n">
        <x:v>220</x:v>
      </x:c>
      <x:c r="H2880" s="9" t="n">
        <x:v>0.02</x:v>
      </x:c>
      <x:c r="I2880" s="7" t="n">
        <x:v>646.8</x:v>
      </x:c>
    </x:row>
    <x:row r="2881" ht="23" customHeight="1">
      <x:c r="A2881" s="7" t="str">
        <x:v>INV02876</x:v>
      </x:c>
      <x:c r="B2881" s="15" t="d">
        <x:v>2026-06-15T00:00:00.000Z</x:v>
      </x:c>
      <x:c r="C2881" s="14" t="d">
        <x:v>2026-06-01T00:00:00.000Z</x:v>
      </x:c>
      <x:c r="D2881" s="34" t="str">
        <x:v>0005</x:v>
      </x:c>
      <x:c r="E2881" s="7" t="str">
        <x:v>North</x:v>
      </x:c>
      <x:c r="F2881" s="7" t="n">
        <x:v>5</x:v>
      </x:c>
      <x:c r="G2881" s="7" t="n">
        <x:v>240</x:v>
      </x:c>
      <x:c r="H2881" s="9" t="n">
        <x:v>0.05</x:v>
      </x:c>
      <x:c r="I2881" s="7" t="n">
        <x:v>1140</x:v>
      </x:c>
    </x:row>
    <x:row r="2882" ht="23" customHeight="1">
      <x:c r="A2882" s="7" t="str">
        <x:v>INV02877</x:v>
      </x:c>
      <x:c r="B2882" s="15" t="d">
        <x:v>2026-06-16T00:00:00.000Z</x:v>
      </x:c>
      <x:c r="C2882" s="14" t="d">
        <x:v>2026-06-01T00:00:00.000Z</x:v>
      </x:c>
      <x:c r="D2882" s="34" t="str">
        <x:v>0006</x:v>
      </x:c>
      <x:c r="E2882" s="7" t="str">
        <x:v>North</x:v>
      </x:c>
      <x:c r="F2882" s="7" t="n">
        <x:v>7</x:v>
      </x:c>
      <x:c r="G2882" s="7" t="n">
        <x:v>260</x:v>
      </x:c>
      <x:c r="H2882" s="9" t="n">
        <x:v>0</x:v>
      </x:c>
      <x:c r="I2882" s="7" t="n">
        <x:v>1820</x:v>
      </x:c>
    </x:row>
    <x:row r="2883" ht="23" customHeight="1">
      <x:c r="A2883" s="7" t="str">
        <x:v>INV02878</x:v>
      </x:c>
      <x:c r="B2883" s="15" t="d">
        <x:v>2026-06-17T00:00:00.000Z</x:v>
      </x:c>
      <x:c r="C2883" s="14" t="d">
        <x:v>2026-06-01T00:00:00.000Z</x:v>
      </x:c>
      <x:c r="D2883" s="34" t="str">
        <x:v>0007</x:v>
      </x:c>
      <x:c r="E2883" s="7" t="str">
        <x:v>North</x:v>
      </x:c>
      <x:c r="F2883" s="7" t="n">
        <x:v>7</x:v>
      </x:c>
      <x:c r="G2883" s="7" t="n">
        <x:v>280</x:v>
      </x:c>
      <x:c r="H2883" s="9" t="n">
        <x:v>0.02</x:v>
      </x:c>
      <x:c r="I2883" s="7" t="n">
        <x:v>1920.8</x:v>
      </x:c>
    </x:row>
    <x:row r="2884" ht="23" customHeight="1">
      <x:c r="A2884" s="7" t="str">
        <x:v>INV02879</x:v>
      </x:c>
      <x:c r="B2884" s="15" t="d">
        <x:v>2026-06-18T00:00:00.000Z</x:v>
      </x:c>
      <x:c r="C2884" s="14" t="d">
        <x:v>2026-06-01T00:00:00.000Z</x:v>
      </x:c>
      <x:c r="D2884" s="34" t="str">
        <x:v>0008</x:v>
      </x:c>
      <x:c r="E2884" s="7" t="str">
        <x:v>North</x:v>
      </x:c>
      <x:c r="F2884" s="7" t="n">
        <x:v>6</x:v>
      </x:c>
      <x:c r="G2884" s="7" t="n">
        <x:v>300</x:v>
      </x:c>
      <x:c r="H2884" s="9" t="n">
        <x:v>0.05</x:v>
      </x:c>
      <x:c r="I2884" s="7" t="n">
        <x:v>1710</x:v>
      </x:c>
    </x:row>
    <x:row r="2885" ht="23" customHeight="1">
      <x:c r="A2885" s="7" t="str">
        <x:v>INV02880</x:v>
      </x:c>
      <x:c r="B2885" s="15" t="d">
        <x:v>2026-01-19T00:00:00.000Z</x:v>
      </x:c>
      <x:c r="C2885" s="14" t="d">
        <x:v>2026-01-01T00:00:00.000Z</x:v>
      </x:c>
      <x:c r="D2885" s="34" t="str">
        <x:v>0001</x:v>
      </x:c>
      <x:c r="E2885" s="7" t="str">
        <x:v>Central</x:v>
      </x:c>
      <x:c r="F2885" s="7" t="n">
        <x:v>3</x:v>
      </x:c>
      <x:c r="G2885" s="7" t="n">
        <x:v>160</x:v>
      </x:c>
      <x:c r="H2885" s="9" t="n">
        <x:v>0</x:v>
      </x:c>
      <x:c r="I2885" s="7" t="n">
        <x:v>480</x:v>
      </x:c>
    </x:row>
    <x:row r="2886" ht="23" customHeight="1">
      <x:c r="A2886" s="7" t="str">
        <x:v>INV02881</x:v>
      </x:c>
      <x:c r="B2886" s="15" t="d">
        <x:v>2026-01-20T00:00:00.000Z</x:v>
      </x:c>
      <x:c r="C2886" s="14" t="d">
        <x:v>2026-01-01T00:00:00.000Z</x:v>
      </x:c>
      <x:c r="D2886" s="34" t="str">
        <x:v>0002</x:v>
      </x:c>
      <x:c r="E2886" s="7" t="str">
        <x:v>Central</x:v>
      </x:c>
      <x:c r="F2886" s="7" t="n">
        <x:v>3</x:v>
      </x:c>
      <x:c r="G2886" s="7" t="n">
        <x:v>180</x:v>
      </x:c>
      <x:c r="H2886" s="9" t="n">
        <x:v>0.02</x:v>
      </x:c>
      <x:c r="I2886" s="7" t="n">
        <x:v>529.2</x:v>
      </x:c>
    </x:row>
    <x:row r="2887" ht="23" customHeight="1">
      <x:c r="A2887" s="7" t="str">
        <x:v>INV02882</x:v>
      </x:c>
      <x:c r="B2887" s="15" t="d">
        <x:v>2026-01-21T00:00:00.000Z</x:v>
      </x:c>
      <x:c r="C2887" s="14" t="d">
        <x:v>2026-01-01T00:00:00.000Z</x:v>
      </x:c>
      <x:c r="D2887" s="34" t="str">
        <x:v>0003</x:v>
      </x:c>
      <x:c r="E2887" s="7" t="str">
        <x:v>Central</x:v>
      </x:c>
      <x:c r="F2887" s="7" t="n">
        <x:v>6</x:v>
      </x:c>
      <x:c r="G2887" s="7" t="n">
        <x:v>200</x:v>
      </x:c>
      <x:c r="H2887" s="9" t="n">
        <x:v>0.05</x:v>
      </x:c>
      <x:c r="I2887" s="7" t="n">
        <x:v>1140</x:v>
      </x:c>
    </x:row>
    <x:row r="2888" ht="23" customHeight="1">
      <x:c r="A2888" s="7" t="str">
        <x:v>INV02883</x:v>
      </x:c>
      <x:c r="B2888" s="15" t="d">
        <x:v>2026-01-22T00:00:00.000Z</x:v>
      </x:c>
      <x:c r="C2888" s="14" t="d">
        <x:v>2026-01-01T00:00:00.000Z</x:v>
      </x:c>
      <x:c r="D2888" s="34" t="str">
        <x:v>0004</x:v>
      </x:c>
      <x:c r="E2888" s="7" t="str">
        <x:v>Central</x:v>
      </x:c>
      <x:c r="F2888" s="7" t="n">
        <x:v>5</x:v>
      </x:c>
      <x:c r="G2888" s="7" t="n">
        <x:v>220</x:v>
      </x:c>
      <x:c r="H2888" s="9" t="n">
        <x:v>0</x:v>
      </x:c>
      <x:c r="I2888" s="7" t="n">
        <x:v>1100</x:v>
      </x:c>
    </x:row>
    <x:row r="2889" ht="23" customHeight="1">
      <x:c r="A2889" s="7" t="str">
        <x:v>INV02884</x:v>
      </x:c>
      <x:c r="B2889" s="15" t="d">
        <x:v>2026-01-23T00:00:00.000Z</x:v>
      </x:c>
      <x:c r="C2889" s="14" t="d">
        <x:v>2026-01-01T00:00:00.000Z</x:v>
      </x:c>
      <x:c r="D2889" s="34" t="str">
        <x:v>0005</x:v>
      </x:c>
      <x:c r="E2889" s="7" t="str">
        <x:v>Central</x:v>
      </x:c>
      <x:c r="F2889" s="7" t="n">
        <x:v>7</x:v>
      </x:c>
      <x:c r="G2889" s="7" t="n">
        <x:v>240</x:v>
      </x:c>
      <x:c r="H2889" s="9" t="n">
        <x:v>0.02</x:v>
      </x:c>
      <x:c r="I2889" s="7" t="n">
        <x:v>1646.4</x:v>
      </x:c>
    </x:row>
    <x:row r="2890" ht="23" customHeight="1">
      <x:c r="A2890" s="7" t="str">
        <x:v>INV02885</x:v>
      </x:c>
      <x:c r="B2890" s="15" t="d">
        <x:v>2026-01-24T00:00:00.000Z</x:v>
      </x:c>
      <x:c r="C2890" s="14" t="d">
        <x:v>2026-01-01T00:00:00.000Z</x:v>
      </x:c>
      <x:c r="D2890" s="34" t="str">
        <x:v>0006</x:v>
      </x:c>
      <x:c r="E2890" s="7" t="str">
        <x:v>Central</x:v>
      </x:c>
      <x:c r="F2890" s="7" t="n">
        <x:v>2</x:v>
      </x:c>
      <x:c r="G2890" s="7" t="n">
        <x:v>260</x:v>
      </x:c>
      <x:c r="H2890" s="9" t="n">
        <x:v>0.05</x:v>
      </x:c>
      <x:c r="I2890" s="7" t="n">
        <x:v>494</x:v>
      </x:c>
    </x:row>
    <x:row r="2891" ht="23" customHeight="1">
      <x:c r="A2891" s="7" t="str">
        <x:v>INV02886</x:v>
      </x:c>
      <x:c r="B2891" s="15" t="d">
        <x:v>2026-01-25T00:00:00.000Z</x:v>
      </x:c>
      <x:c r="C2891" s="14" t="d">
        <x:v>2026-01-01T00:00:00.000Z</x:v>
      </x:c>
      <x:c r="D2891" s="34" t="str">
        <x:v>0007</x:v>
      </x:c>
      <x:c r="E2891" s="7" t="str">
        <x:v>Central</x:v>
      </x:c>
      <x:c r="F2891" s="7" t="n">
        <x:v>4</x:v>
      </x:c>
      <x:c r="G2891" s="7" t="n">
        <x:v>280</x:v>
      </x:c>
      <x:c r="H2891" s="9" t="n">
        <x:v>0</x:v>
      </x:c>
      <x:c r="I2891" s="7" t="n">
        <x:v>1120</x:v>
      </x:c>
    </x:row>
    <x:row r="2892" ht="23" customHeight="1">
      <x:c r="A2892" s="7" t="str">
        <x:v>INV02887</x:v>
      </x:c>
      <x:c r="B2892" s="15" t="d">
        <x:v>2026-01-26T00:00:00.000Z</x:v>
      </x:c>
      <x:c r="C2892" s="14" t="d">
        <x:v>2026-01-01T00:00:00.000Z</x:v>
      </x:c>
      <x:c r="D2892" s="34" t="str">
        <x:v>0008</x:v>
      </x:c>
      <x:c r="E2892" s="7" t="str">
        <x:v>Central</x:v>
      </x:c>
      <x:c r="F2892" s="7" t="n">
        <x:v>4</x:v>
      </x:c>
      <x:c r="G2892" s="7" t="n">
        <x:v>300</x:v>
      </x:c>
      <x:c r="H2892" s="9" t="n">
        <x:v>0.02</x:v>
      </x:c>
      <x:c r="I2892" s="7" t="n">
        <x:v>1176</x:v>
      </x:c>
    </x:row>
    <x:row r="2893" ht="23" customHeight="1">
      <x:c r="A2893" s="7" t="str">
        <x:v>INV02888</x:v>
      </x:c>
      <x:c r="B2893" s="15" t="d">
        <x:v>2026-01-27T00:00:00.000Z</x:v>
      </x:c>
      <x:c r="C2893" s="14" t="d">
        <x:v>2026-01-01T00:00:00.000Z</x:v>
      </x:c>
      <x:c r="D2893" s="34" t="str">
        <x:v>0001</x:v>
      </x:c>
      <x:c r="E2893" s="7" t="str">
        <x:v>East</x:v>
      </x:c>
      <x:c r="F2893" s="7" t="n">
        <x:v>7</x:v>
      </x:c>
      <x:c r="G2893" s="7" t="n">
        <x:v>160</x:v>
      </x:c>
      <x:c r="H2893" s="9" t="n">
        <x:v>0.05</x:v>
      </x:c>
      <x:c r="I2893" s="7" t="n">
        <x:v>1064</x:v>
      </x:c>
    </x:row>
    <x:row r="2894" ht="23" customHeight="1">
      <x:c r="A2894" s="7" t="str">
        <x:v>INV02889</x:v>
      </x:c>
      <x:c r="B2894" s="15" t="d">
        <x:v>2026-01-01T00:00:00.000Z</x:v>
      </x:c>
      <x:c r="C2894" s="14" t="d">
        <x:v>2026-01-01T00:00:00.000Z</x:v>
      </x:c>
      <x:c r="D2894" s="34" t="str">
        <x:v>0002</x:v>
      </x:c>
      <x:c r="E2894" s="7" t="str">
        <x:v>East</x:v>
      </x:c>
      <x:c r="F2894" s="7" t="n">
        <x:v>5</x:v>
      </x:c>
      <x:c r="G2894" s="7" t="n">
        <x:v>180</x:v>
      </x:c>
      <x:c r="H2894" s="9" t="n">
        <x:v>0</x:v>
      </x:c>
      <x:c r="I2894" s="7" t="n">
        <x:v>900</x:v>
      </x:c>
    </x:row>
    <x:row r="2895" ht="23" customHeight="1">
      <x:c r="A2895" s="7" t="str">
        <x:v>INV02890</x:v>
      </x:c>
      <x:c r="B2895" s="15" t="d">
        <x:v>2026-01-02T00:00:00.000Z</x:v>
      </x:c>
      <x:c r="C2895" s="14" t="d">
        <x:v>2026-01-01T00:00:00.000Z</x:v>
      </x:c>
      <x:c r="D2895" s="34" t="str">
        <x:v>0003</x:v>
      </x:c>
      <x:c r="E2895" s="7" t="str">
        <x:v>East</x:v>
      </x:c>
      <x:c r="F2895" s="7" t="n">
        <x:v>3</x:v>
      </x:c>
      <x:c r="G2895" s="7" t="n">
        <x:v>200</x:v>
      </x:c>
      <x:c r="H2895" s="9" t="n">
        <x:v>0.02</x:v>
      </x:c>
      <x:c r="I2895" s="7" t="n">
        <x:v>588</x:v>
      </x:c>
    </x:row>
    <x:row r="2896" ht="23" customHeight="1">
      <x:c r="A2896" s="7" t="str">
        <x:v>INV02891</x:v>
      </x:c>
      <x:c r="B2896" s="15" t="d">
        <x:v>2026-01-03T00:00:00.000Z</x:v>
      </x:c>
      <x:c r="C2896" s="14" t="d">
        <x:v>2026-01-01T00:00:00.000Z</x:v>
      </x:c>
      <x:c r="D2896" s="34" t="str">
        <x:v>0004</x:v>
      </x:c>
      <x:c r="E2896" s="7" t="str">
        <x:v>East</x:v>
      </x:c>
      <x:c r="F2896" s="7" t="n">
        <x:v>5</x:v>
      </x:c>
      <x:c r="G2896" s="7" t="n">
        <x:v>220</x:v>
      </x:c>
      <x:c r="H2896" s="9" t="n">
        <x:v>0.05</x:v>
      </x:c>
      <x:c r="I2896" s="7" t="n">
        <x:v>1045</x:v>
      </x:c>
    </x:row>
    <x:row r="2897" ht="23" customHeight="1">
      <x:c r="A2897" s="7" t="str">
        <x:v>INV02892</x:v>
      </x:c>
      <x:c r="B2897" s="15" t="d">
        <x:v>2026-01-04T00:00:00.000Z</x:v>
      </x:c>
      <x:c r="C2897" s="14" t="d">
        <x:v>2026-01-01T00:00:00.000Z</x:v>
      </x:c>
      <x:c r="D2897" s="34" t="str">
        <x:v>0005</x:v>
      </x:c>
      <x:c r="E2897" s="7" t="str">
        <x:v>East</x:v>
      </x:c>
      <x:c r="F2897" s="7" t="n">
        <x:v>4</x:v>
      </x:c>
      <x:c r="G2897" s="7" t="n">
        <x:v>240</x:v>
      </x:c>
      <x:c r="H2897" s="9" t="n">
        <x:v>0</x:v>
      </x:c>
      <x:c r="I2897" s="7" t="n">
        <x:v>960</x:v>
      </x:c>
    </x:row>
    <x:row r="2898" ht="23" customHeight="1">
      <x:c r="A2898" s="7" t="str">
        <x:v>INV02893</x:v>
      </x:c>
      <x:c r="B2898" s="15" t="d">
        <x:v>2026-01-05T00:00:00.000Z</x:v>
      </x:c>
      <x:c r="C2898" s="14" t="d">
        <x:v>2026-01-01T00:00:00.000Z</x:v>
      </x:c>
      <x:c r="D2898" s="34" t="str">
        <x:v>0006</x:v>
      </x:c>
      <x:c r="E2898" s="7" t="str">
        <x:v>East</x:v>
      </x:c>
      <x:c r="F2898" s="7" t="n">
        <x:v>7</x:v>
      </x:c>
      <x:c r="G2898" s="7" t="n">
        <x:v>260</x:v>
      </x:c>
      <x:c r="H2898" s="9" t="n">
        <x:v>0.02</x:v>
      </x:c>
      <x:c r="I2898" s="7" t="n">
        <x:v>1783.6</x:v>
      </x:c>
    </x:row>
    <x:row r="2899" ht="23" customHeight="1">
      <x:c r="A2899" s="7" t="str">
        <x:v>INV02894</x:v>
      </x:c>
      <x:c r="B2899" s="15" t="d">
        <x:v>2026-01-06T00:00:00.000Z</x:v>
      </x:c>
      <x:c r="C2899" s="14" t="d">
        <x:v>2026-01-01T00:00:00.000Z</x:v>
      </x:c>
      <x:c r="D2899" s="34" t="str">
        <x:v>0007</x:v>
      </x:c>
      <x:c r="E2899" s="7" t="str">
        <x:v>East</x:v>
      </x:c>
      <x:c r="F2899" s="7" t="n">
        <x:v>5</x:v>
      </x:c>
      <x:c r="G2899" s="7" t="n">
        <x:v>280</x:v>
      </x:c>
      <x:c r="H2899" s="9" t="n">
        <x:v>0.05</x:v>
      </x:c>
      <x:c r="I2899" s="7" t="n">
        <x:v>1330</x:v>
      </x:c>
    </x:row>
    <x:row r="2900" ht="23" customHeight="1">
      <x:c r="A2900" s="7" t="str">
        <x:v>INV02895</x:v>
      </x:c>
      <x:c r="B2900" s="15" t="d">
        <x:v>2026-01-07T00:00:00.000Z</x:v>
      </x:c>
      <x:c r="C2900" s="14" t="d">
        <x:v>2026-01-01T00:00:00.000Z</x:v>
      </x:c>
      <x:c r="D2900" s="34" t="str">
        <x:v>0008</x:v>
      </x:c>
      <x:c r="E2900" s="7" t="str">
        <x:v>East</x:v>
      </x:c>
      <x:c r="F2900" s="7" t="n">
        <x:v>6</x:v>
      </x:c>
      <x:c r="G2900" s="7" t="n">
        <x:v>300</x:v>
      </x:c>
      <x:c r="H2900" s="9" t="n">
        <x:v>0</x:v>
      </x:c>
      <x:c r="I2900" s="7" t="n">
        <x:v>1800</x:v>
      </x:c>
    </x:row>
    <x:row r="2901" ht="23" customHeight="1">
      <x:c r="A2901" s="7" t="str">
        <x:v>INV02896</x:v>
      </x:c>
      <x:c r="B2901" s="15" t="d">
        <x:v>2026-01-08T00:00:00.000Z</x:v>
      </x:c>
      <x:c r="C2901" s="14" t="d">
        <x:v>2026-01-01T00:00:00.000Z</x:v>
      </x:c>
      <x:c r="D2901" s="34" t="str">
        <x:v>0001</x:v>
      </x:c>
      <x:c r="E2901" s="7" t="str">
        <x:v>West</x:v>
      </x:c>
      <x:c r="F2901" s="7" t="n">
        <x:v>4</x:v>
      </x:c>
      <x:c r="G2901" s="7" t="n">
        <x:v>160</x:v>
      </x:c>
      <x:c r="H2901" s="9" t="n">
        <x:v>0.02</x:v>
      </x:c>
      <x:c r="I2901" s="7" t="n">
        <x:v>627.2</x:v>
      </x:c>
    </x:row>
    <x:row r="2902" ht="23" customHeight="1">
      <x:c r="A2902" s="7" t="str">
        <x:v>INV02897</x:v>
      </x:c>
      <x:c r="B2902" s="15" t="d">
        <x:v>2026-01-09T00:00:00.000Z</x:v>
      </x:c>
      <x:c r="C2902" s="14" t="d">
        <x:v>2026-01-01T00:00:00.000Z</x:v>
      </x:c>
      <x:c r="D2902" s="34" t="str">
        <x:v>0002</x:v>
      </x:c>
      <x:c r="E2902" s="7" t="str">
        <x:v>West</x:v>
      </x:c>
      <x:c r="F2902" s="7" t="n">
        <x:v>2</x:v>
      </x:c>
      <x:c r="G2902" s="7" t="n">
        <x:v>180</x:v>
      </x:c>
      <x:c r="H2902" s="9" t="n">
        <x:v>0.05</x:v>
      </x:c>
      <x:c r="I2902" s="7" t="n">
        <x:v>342</x:v>
      </x:c>
    </x:row>
    <x:row r="2903" ht="23" customHeight="1">
      <x:c r="A2903" s="7" t="str">
        <x:v>INV02898</x:v>
      </x:c>
      <x:c r="B2903" s="15" t="d">
        <x:v>2026-01-10T00:00:00.000Z</x:v>
      </x:c>
      <x:c r="C2903" s="14" t="d">
        <x:v>2026-01-01T00:00:00.000Z</x:v>
      </x:c>
      <x:c r="D2903" s="34" t="str">
        <x:v>0003</x:v>
      </x:c>
      <x:c r="E2903" s="7" t="str">
        <x:v>West</x:v>
      </x:c>
      <x:c r="F2903" s="7" t="n">
        <x:v>7</x:v>
      </x:c>
      <x:c r="G2903" s="7" t="n">
        <x:v>200</x:v>
      </x:c>
      <x:c r="H2903" s="9" t="n">
        <x:v>0</x:v>
      </x:c>
      <x:c r="I2903" s="7" t="n">
        <x:v>1400</x:v>
      </x:c>
    </x:row>
    <x:row r="2904" ht="23" customHeight="1">
      <x:c r="A2904" s="7" t="str">
        <x:v>INV02899</x:v>
      </x:c>
      <x:c r="B2904" s="15" t="d">
        <x:v>2026-01-11T00:00:00.000Z</x:v>
      </x:c>
      <x:c r="C2904" s="14" t="d">
        <x:v>2026-01-01T00:00:00.000Z</x:v>
      </x:c>
      <x:c r="D2904" s="34" t="str">
        <x:v>0004</x:v>
      </x:c>
      <x:c r="E2904" s="7" t="str">
        <x:v>West</x:v>
      </x:c>
      <x:c r="F2904" s="7" t="n">
        <x:v>1</x:v>
      </x:c>
      <x:c r="G2904" s="7" t="n">
        <x:v>220</x:v>
      </x:c>
      <x:c r="H2904" s="9" t="n">
        <x:v>0.02</x:v>
      </x:c>
      <x:c r="I2904" s="7" t="n">
        <x:v>215.6</x:v>
      </x:c>
    </x:row>
    <x:row r="2905" ht="23" customHeight="1">
      <x:c r="A2905" s="7" t="str">
        <x:v>INV02900</x:v>
      </x:c>
      <x:c r="B2905" s="15" t="d">
        <x:v>2026-01-12T00:00:00.000Z</x:v>
      </x:c>
      <x:c r="C2905" s="14" t="d">
        <x:v>2026-01-01T00:00:00.000Z</x:v>
      </x:c>
      <x:c r="D2905" s="34" t="str">
        <x:v>0005</x:v>
      </x:c>
      <x:c r="E2905" s="7" t="str">
        <x:v>West</x:v>
      </x:c>
      <x:c r="F2905" s="7" t="n">
        <x:v>4</x:v>
      </x:c>
      <x:c r="G2905" s="7" t="n">
        <x:v>240</x:v>
      </x:c>
      <x:c r="H2905" s="9" t="n">
        <x:v>0.05</x:v>
      </x:c>
      <x:c r="I2905" s="7" t="n">
        <x:v>912</x:v>
      </x:c>
    </x:row>
    <x:row r="2906" ht="23" customHeight="1">
      <x:c r="A2906" s="7" t="str">
        <x:v>INV02901</x:v>
      </x:c>
      <x:c r="B2906" s="15" t="d">
        <x:v>2026-01-13T00:00:00.000Z</x:v>
      </x:c>
      <x:c r="C2906" s="14" t="d">
        <x:v>2026-01-01T00:00:00.000Z</x:v>
      </x:c>
      <x:c r="D2906" s="34" t="str">
        <x:v>0006</x:v>
      </x:c>
      <x:c r="E2906" s="7" t="str">
        <x:v>West</x:v>
      </x:c>
      <x:c r="F2906" s="7" t="n">
        <x:v>2</x:v>
      </x:c>
      <x:c r="G2906" s="7" t="n">
        <x:v>260</x:v>
      </x:c>
      <x:c r="H2906" s="9" t="n">
        <x:v>0</x:v>
      </x:c>
      <x:c r="I2906" s="7" t="n">
        <x:v>520</x:v>
      </x:c>
    </x:row>
    <x:row r="2907" ht="23" customHeight="1">
      <x:c r="A2907" s="7" t="str">
        <x:v>INV02902</x:v>
      </x:c>
      <x:c r="B2907" s="15" t="d">
        <x:v>2026-01-14T00:00:00.000Z</x:v>
      </x:c>
      <x:c r="C2907" s="14" t="d">
        <x:v>2026-01-01T00:00:00.000Z</x:v>
      </x:c>
      <x:c r="D2907" s="34" t="str">
        <x:v>0007</x:v>
      </x:c>
      <x:c r="E2907" s="7" t="str">
        <x:v>West</x:v>
      </x:c>
      <x:c r="F2907" s="7" t="n">
        <x:v>1</x:v>
      </x:c>
      <x:c r="G2907" s="7" t="n">
        <x:v>280</x:v>
      </x:c>
      <x:c r="H2907" s="9" t="n">
        <x:v>0.02</x:v>
      </x:c>
      <x:c r="I2907" s="7" t="n">
        <x:v>274.4</x:v>
      </x:c>
    </x:row>
    <x:row r="2908" ht="23" customHeight="1">
      <x:c r="A2908" s="7" t="str">
        <x:v>INV02903</x:v>
      </x:c>
      <x:c r="B2908" s="15" t="d">
        <x:v>2026-01-15T00:00:00.000Z</x:v>
      </x:c>
      <x:c r="C2908" s="14" t="d">
        <x:v>2026-01-01T00:00:00.000Z</x:v>
      </x:c>
      <x:c r="D2908" s="34" t="str">
        <x:v>0008</x:v>
      </x:c>
      <x:c r="E2908" s="7" t="str">
        <x:v>West</x:v>
      </x:c>
      <x:c r="F2908" s="7" t="n">
        <x:v>5</x:v>
      </x:c>
      <x:c r="G2908" s="7" t="n">
        <x:v>300</x:v>
      </x:c>
      <x:c r="H2908" s="9" t="n">
        <x:v>0.05</x:v>
      </x:c>
      <x:c r="I2908" s="7" t="n">
        <x:v>1425</x:v>
      </x:c>
    </x:row>
    <x:row r="2909" ht="23" customHeight="1">
      <x:c r="A2909" s="7" t="str">
        <x:v>INV02904</x:v>
      </x:c>
      <x:c r="B2909" s="15" t="d">
        <x:v>2026-01-16T00:00:00.000Z</x:v>
      </x:c>
      <x:c r="C2909" s="14" t="d">
        <x:v>2026-01-01T00:00:00.000Z</x:v>
      </x:c>
      <x:c r="D2909" s="34" t="str">
        <x:v>0001</x:v>
      </x:c>
      <x:c r="E2909" s="7" t="str">
        <x:v>North</x:v>
      </x:c>
      <x:c r="F2909" s="7" t="n">
        <x:v>2</x:v>
      </x:c>
      <x:c r="G2909" s="7" t="n">
        <x:v>160</x:v>
      </x:c>
      <x:c r="H2909" s="9" t="n">
        <x:v>0</x:v>
      </x:c>
      <x:c r="I2909" s="7" t="n">
        <x:v>320</x:v>
      </x:c>
    </x:row>
    <x:row r="2910" ht="23" customHeight="1">
      <x:c r="A2910" s="7" t="str">
        <x:v>INV02905</x:v>
      </x:c>
      <x:c r="B2910" s="15" t="d">
        <x:v>2026-01-17T00:00:00.000Z</x:v>
      </x:c>
      <x:c r="C2910" s="14" t="d">
        <x:v>2026-01-01T00:00:00.000Z</x:v>
      </x:c>
      <x:c r="D2910" s="34" t="str">
        <x:v>0002</x:v>
      </x:c>
      <x:c r="E2910" s="7" t="str">
        <x:v>North</x:v>
      </x:c>
      <x:c r="F2910" s="7" t="n">
        <x:v>5</x:v>
      </x:c>
      <x:c r="G2910" s="7" t="n">
        <x:v>180</x:v>
      </x:c>
      <x:c r="H2910" s="9" t="n">
        <x:v>0.02</x:v>
      </x:c>
      <x:c r="I2910" s="7" t="n">
        <x:v>882</x:v>
      </x:c>
    </x:row>
    <x:row r="2911" ht="23" customHeight="1">
      <x:c r="A2911" s="7" t="str">
        <x:v>INV02906</x:v>
      </x:c>
      <x:c r="B2911" s="15" t="d">
        <x:v>2026-01-18T00:00:00.000Z</x:v>
      </x:c>
      <x:c r="C2911" s="14" t="d">
        <x:v>2026-01-01T00:00:00.000Z</x:v>
      </x:c>
      <x:c r="D2911" s="34" t="str">
        <x:v>0003</x:v>
      </x:c>
      <x:c r="E2911" s="7" t="str">
        <x:v>North</x:v>
      </x:c>
      <x:c r="F2911" s="7" t="n">
        <x:v>1</x:v>
      </x:c>
      <x:c r="G2911" s="7" t="n">
        <x:v>200</x:v>
      </x:c>
      <x:c r="H2911" s="9" t="n">
        <x:v>0.05</x:v>
      </x:c>
      <x:c r="I2911" s="7" t="n">
        <x:v>190</x:v>
      </x:c>
    </x:row>
    <x:row r="2912" ht="23" customHeight="1">
      <x:c r="A2912" s="7" t="str">
        <x:v>INV02907</x:v>
      </x:c>
      <x:c r="B2912" s="15" t="d">
        <x:v>2026-01-19T00:00:00.000Z</x:v>
      </x:c>
      <x:c r="C2912" s="14" t="d">
        <x:v>2026-01-01T00:00:00.000Z</x:v>
      </x:c>
      <x:c r="D2912" s="34" t="str">
        <x:v>0004</x:v>
      </x:c>
      <x:c r="E2912" s="7" t="str">
        <x:v>North</x:v>
      </x:c>
      <x:c r="F2912" s="7" t="n">
        <x:v>1</x:v>
      </x:c>
      <x:c r="G2912" s="7" t="n">
        <x:v>220</x:v>
      </x:c>
      <x:c r="H2912" s="9" t="n">
        <x:v>0</x:v>
      </x:c>
      <x:c r="I2912" s="7" t="n">
        <x:v>220</x:v>
      </x:c>
    </x:row>
    <x:row r="2913" ht="23" customHeight="1">
      <x:c r="A2913" s="7" t="str">
        <x:v>INV02908</x:v>
      </x:c>
      <x:c r="B2913" s="15" t="d">
        <x:v>2026-01-20T00:00:00.000Z</x:v>
      </x:c>
      <x:c r="C2913" s="14" t="d">
        <x:v>2026-01-01T00:00:00.000Z</x:v>
      </x:c>
      <x:c r="D2913" s="34" t="str">
        <x:v>0005</x:v>
      </x:c>
      <x:c r="E2913" s="7" t="str">
        <x:v>North</x:v>
      </x:c>
      <x:c r="F2913" s="7" t="n">
        <x:v>1</x:v>
      </x:c>
      <x:c r="G2913" s="7" t="n">
        <x:v>240</x:v>
      </x:c>
      <x:c r="H2913" s="9" t="n">
        <x:v>0.02</x:v>
      </x:c>
      <x:c r="I2913" s="7" t="n">
        <x:v>235.2</x:v>
      </x:c>
    </x:row>
    <x:row r="2914" ht="23" customHeight="1">
      <x:c r="A2914" s="7" t="str">
        <x:v>INV02909</x:v>
      </x:c>
      <x:c r="B2914" s="15" t="d">
        <x:v>2026-01-21T00:00:00.000Z</x:v>
      </x:c>
      <x:c r="C2914" s="14" t="d">
        <x:v>2026-01-01T00:00:00.000Z</x:v>
      </x:c>
      <x:c r="D2914" s="34" t="str">
        <x:v>0006</x:v>
      </x:c>
      <x:c r="E2914" s="7" t="str">
        <x:v>North</x:v>
      </x:c>
      <x:c r="F2914" s="7" t="n">
        <x:v>5</x:v>
      </x:c>
      <x:c r="G2914" s="7" t="n">
        <x:v>260</x:v>
      </x:c>
      <x:c r="H2914" s="9" t="n">
        <x:v>0.05</x:v>
      </x:c>
      <x:c r="I2914" s="7" t="n">
        <x:v>1235</x:v>
      </x:c>
    </x:row>
    <x:row r="2915" ht="23" customHeight="1">
      <x:c r="A2915" s="7" t="str">
        <x:v>INV02910</x:v>
      </x:c>
      <x:c r="B2915" s="15" t="d">
        <x:v>2026-01-22T00:00:00.000Z</x:v>
      </x:c>
      <x:c r="C2915" s="14" t="d">
        <x:v>2026-01-01T00:00:00.000Z</x:v>
      </x:c>
      <x:c r="D2915" s="34" t="str">
        <x:v>0007</x:v>
      </x:c>
      <x:c r="E2915" s="7" t="str">
        <x:v>North</x:v>
      </x:c>
      <x:c r="F2915" s="7" t="n">
        <x:v>4</x:v>
      </x:c>
      <x:c r="G2915" s="7" t="n">
        <x:v>280</x:v>
      </x:c>
      <x:c r="H2915" s="9" t="n">
        <x:v>0</x:v>
      </x:c>
      <x:c r="I2915" s="7" t="n">
        <x:v>1120</x:v>
      </x:c>
    </x:row>
    <x:row r="2916" ht="23" customHeight="1">
      <x:c r="A2916" s="7" t="str">
        <x:v>INV02911</x:v>
      </x:c>
      <x:c r="B2916" s="15" t="d">
        <x:v>2026-01-23T00:00:00.000Z</x:v>
      </x:c>
      <x:c r="C2916" s="14" t="d">
        <x:v>2026-01-01T00:00:00.000Z</x:v>
      </x:c>
      <x:c r="D2916" s="34" t="str">
        <x:v>0008</x:v>
      </x:c>
      <x:c r="E2916" s="7" t="str">
        <x:v>North</x:v>
      </x:c>
      <x:c r="F2916" s="7" t="n">
        <x:v>-3</x:v>
      </x:c>
      <x:c r="G2916" s="7" t="n">
        <x:v>300</x:v>
      </x:c>
      <x:c r="H2916" s="9" t="n">
        <x:v>0.02</x:v>
      </x:c>
      <x:c r="I2916" s="7" t="n">
        <x:v>-882</x:v>
      </x:c>
    </x:row>
    <x:row r="2917" ht="23" customHeight="1">
      <x:c r="A2917" s="7" t="str">
        <x:v>INV02912</x:v>
      </x:c>
      <x:c r="B2917" s="15" t="d">
        <x:v>2026-02-24T00:00:00.000Z</x:v>
      </x:c>
      <x:c r="C2917" s="14" t="d">
        <x:v>2026-02-01T00:00:00.000Z</x:v>
      </x:c>
      <x:c r="D2917" s="34" t="str">
        <x:v>0001</x:v>
      </x:c>
      <x:c r="E2917" s="7" t="str">
        <x:v>Central</x:v>
      </x:c>
      <x:c r="F2917" s="7" t="n">
        <x:v>3</x:v>
      </x:c>
      <x:c r="G2917" s="7" t="n">
        <x:v>160</x:v>
      </x:c>
      <x:c r="H2917" s="9" t="n">
        <x:v>0.05</x:v>
      </x:c>
      <x:c r="I2917" s="7" t="n">
        <x:v>456</x:v>
      </x:c>
    </x:row>
    <x:row r="2918" ht="23" customHeight="1">
      <x:c r="A2918" s="7" t="str">
        <x:v>INV02913</x:v>
      </x:c>
      <x:c r="B2918" s="15" t="d">
        <x:v>2026-02-25T00:00:00.000Z</x:v>
      </x:c>
      <x:c r="C2918" s="14" t="d">
        <x:v>2026-02-01T00:00:00.000Z</x:v>
      </x:c>
      <x:c r="D2918" s="34" t="str">
        <x:v>0002</x:v>
      </x:c>
      <x:c r="E2918" s="7" t="str">
        <x:v>Central</x:v>
      </x:c>
      <x:c r="F2918" s="7" t="n">
        <x:v>7</x:v>
      </x:c>
      <x:c r="G2918" s="7" t="n">
        <x:v>180</x:v>
      </x:c>
      <x:c r="H2918" s="9" t="n">
        <x:v>0</x:v>
      </x:c>
      <x:c r="I2918" s="7" t="n">
        <x:v>1260</x:v>
      </x:c>
    </x:row>
    <x:row r="2919" ht="23" customHeight="1">
      <x:c r="A2919" s="7" t="str">
        <x:v>INV02914</x:v>
      </x:c>
      <x:c r="B2919" s="15" t="d">
        <x:v>2026-02-26T00:00:00.000Z</x:v>
      </x:c>
      <x:c r="C2919" s="14" t="d">
        <x:v>2026-02-01T00:00:00.000Z</x:v>
      </x:c>
      <x:c r="D2919" s="34" t="str">
        <x:v>0003</x:v>
      </x:c>
      <x:c r="E2919" s="7" t="str">
        <x:v>Central</x:v>
      </x:c>
      <x:c r="F2919" s="7" t="n">
        <x:v>1</x:v>
      </x:c>
      <x:c r="G2919" s="7" t="n">
        <x:v>200</x:v>
      </x:c>
      <x:c r="H2919" s="9" t="n">
        <x:v>0.02</x:v>
      </x:c>
      <x:c r="I2919" s="7" t="n">
        <x:v>196</x:v>
      </x:c>
    </x:row>
    <x:row r="2920" ht="23" customHeight="1">
      <x:c r="A2920" s="7" t="str">
        <x:v>INV02915</x:v>
      </x:c>
      <x:c r="B2920" s="15" t="d">
        <x:v>2026-02-27T00:00:00.000Z</x:v>
      </x:c>
      <x:c r="C2920" s="14" t="d">
        <x:v>2026-02-01T00:00:00.000Z</x:v>
      </x:c>
      <x:c r="D2920" s="34" t="str">
        <x:v>0004</x:v>
      </x:c>
      <x:c r="E2920" s="7" t="str">
        <x:v>Central</x:v>
      </x:c>
      <x:c r="F2920" s="7" t="n">
        <x:v>6</x:v>
      </x:c>
      <x:c r="G2920" s="7" t="n">
        <x:v>220</x:v>
      </x:c>
      <x:c r="H2920" s="9" t="n">
        <x:v>0.05</x:v>
      </x:c>
      <x:c r="I2920" s="7" t="n">
        <x:v>1254</x:v>
      </x:c>
    </x:row>
    <x:row r="2921" ht="23" customHeight="1">
      <x:c r="A2921" s="7" t="str">
        <x:v>INV02916</x:v>
      </x:c>
      <x:c r="B2921" s="15" t="d">
        <x:v>2026-02-01T00:00:00.000Z</x:v>
      </x:c>
      <x:c r="C2921" s="14" t="d">
        <x:v>2026-02-01T00:00:00.000Z</x:v>
      </x:c>
      <x:c r="D2921" s="34" t="str">
        <x:v>0005</x:v>
      </x:c>
      <x:c r="E2921" s="7" t="str">
        <x:v>Central</x:v>
      </x:c>
      <x:c r="F2921" s="7" t="n">
        <x:v>5</x:v>
      </x:c>
      <x:c r="G2921" s="7" t="n">
        <x:v>240</x:v>
      </x:c>
      <x:c r="H2921" s="9" t="n">
        <x:v>0</x:v>
      </x:c>
      <x:c r="I2921" s="7" t="n">
        <x:v>1200</x:v>
      </x:c>
    </x:row>
    <x:row r="2922" ht="23" customHeight="1">
      <x:c r="A2922" s="7" t="str">
        <x:v>INV02917</x:v>
      </x:c>
      <x:c r="B2922" s="15" t="d">
        <x:v>2026-02-02T00:00:00.000Z</x:v>
      </x:c>
      <x:c r="C2922" s="14" t="d">
        <x:v>2026-02-01T00:00:00.000Z</x:v>
      </x:c>
      <x:c r="D2922" s="34" t="str">
        <x:v>0006</x:v>
      </x:c>
      <x:c r="E2922" s="7" t="str">
        <x:v>Central</x:v>
      </x:c>
      <x:c r="F2922" s="7" t="n">
        <x:v>2</x:v>
      </x:c>
      <x:c r="G2922" s="7" t="n">
        <x:v>260</x:v>
      </x:c>
      <x:c r="H2922" s="9" t="n">
        <x:v>0.02</x:v>
      </x:c>
      <x:c r="I2922" s="7" t="n">
        <x:v>509.6</x:v>
      </x:c>
    </x:row>
    <x:row r="2923" ht="23" customHeight="1">
      <x:c r="A2923" s="7" t="str">
        <x:v>INV02918</x:v>
      </x:c>
      <x:c r="B2923" s="15" t="d">
        <x:v>2026-02-03T00:00:00.000Z</x:v>
      </x:c>
      <x:c r="C2923" s="14" t="d">
        <x:v>2026-02-01T00:00:00.000Z</x:v>
      </x:c>
      <x:c r="D2923" s="34" t="str">
        <x:v>0007</x:v>
      </x:c>
      <x:c r="E2923" s="7" t="str">
        <x:v>Central</x:v>
      </x:c>
      <x:c r="F2923" s="7" t="n">
        <x:v>7</x:v>
      </x:c>
      <x:c r="G2923" s="7" t="n">
        <x:v>280</x:v>
      </x:c>
      <x:c r="H2923" s="9" t="n">
        <x:v>0.05</x:v>
      </x:c>
      <x:c r="I2923" s="7" t="n">
        <x:v>1862</x:v>
      </x:c>
    </x:row>
    <x:row r="2924" ht="23" customHeight="1">
      <x:c r="A2924" s="7" t="str">
        <x:v>INV02919</x:v>
      </x:c>
      <x:c r="B2924" s="15" t="d">
        <x:v>2026-02-04T00:00:00.000Z</x:v>
      </x:c>
      <x:c r="C2924" s="14" t="d">
        <x:v>2026-02-01T00:00:00.000Z</x:v>
      </x:c>
      <x:c r="D2924" s="34" t="str">
        <x:v>0008</x:v>
      </x:c>
      <x:c r="E2924" s="7" t="str">
        <x:v>Central</x:v>
      </x:c>
      <x:c r="F2924" s="7" t="n">
        <x:v>5</x:v>
      </x:c>
      <x:c r="G2924" s="7" t="n">
        <x:v>300</x:v>
      </x:c>
      <x:c r="H2924" s="9" t="n">
        <x:v>0</x:v>
      </x:c>
      <x:c r="I2924" s="7" t="n">
        <x:v>1500</x:v>
      </x:c>
    </x:row>
    <x:row r="2925" ht="23" customHeight="1">
      <x:c r="A2925" s="7" t="str">
        <x:v>INV02920</x:v>
      </x:c>
      <x:c r="B2925" s="15" t="d">
        <x:v>2026-02-05T00:00:00.000Z</x:v>
      </x:c>
      <x:c r="C2925" s="14" t="d">
        <x:v>2026-02-01T00:00:00.000Z</x:v>
      </x:c>
      <x:c r="D2925" s="34" t="str">
        <x:v>0001</x:v>
      </x:c>
      <x:c r="E2925" s="7" t="str">
        <x:v>East</x:v>
      </x:c>
      <x:c r="F2925" s="7" t="n">
        <x:v>5</x:v>
      </x:c>
      <x:c r="G2925" s="7" t="n">
        <x:v>160</x:v>
      </x:c>
      <x:c r="H2925" s="9" t="n">
        <x:v>0.02</x:v>
      </x:c>
      <x:c r="I2925" s="7" t="n">
        <x:v>784</x:v>
      </x:c>
    </x:row>
    <x:row r="2926" ht="23" customHeight="1">
      <x:c r="A2926" s="7" t="str">
        <x:v>INV02921</x:v>
      </x:c>
      <x:c r="B2926" s="15" t="d">
        <x:v>2026-02-06T00:00:00.000Z</x:v>
      </x:c>
      <x:c r="C2926" s="14" t="d">
        <x:v>2026-02-01T00:00:00.000Z</x:v>
      </x:c>
      <x:c r="D2926" s="34" t="str">
        <x:v>0002</x:v>
      </x:c>
      <x:c r="E2926" s="7" t="str">
        <x:v>East</x:v>
      </x:c>
      <x:c r="F2926" s="7" t="n">
        <x:v>6</x:v>
      </x:c>
      <x:c r="G2926" s="7" t="n">
        <x:v>180</x:v>
      </x:c>
      <x:c r="H2926" s="9" t="n">
        <x:v>0.05</x:v>
      </x:c>
      <x:c r="I2926" s="7" t="n">
        <x:v>1026</x:v>
      </x:c>
    </x:row>
    <x:row r="2927" ht="23" customHeight="1">
      <x:c r="A2927" s="7" t="str">
        <x:v>INV02922</x:v>
      </x:c>
      <x:c r="B2927" s="15" t="d">
        <x:v>2026-02-07T00:00:00.000Z</x:v>
      </x:c>
      <x:c r="C2927" s="14" t="d">
        <x:v>2026-02-01T00:00:00.000Z</x:v>
      </x:c>
      <x:c r="D2927" s="34" t="str">
        <x:v>0003</x:v>
      </x:c>
      <x:c r="E2927" s="7" t="str">
        <x:v>East</x:v>
      </x:c>
      <x:c r="F2927" s="7" t="n">
        <x:v>3</x:v>
      </x:c>
      <x:c r="G2927" s="7" t="n">
        <x:v>200</x:v>
      </x:c>
      <x:c r="H2927" s="9" t="n">
        <x:v>0</x:v>
      </x:c>
      <x:c r="I2927" s="7" t="n">
        <x:v>600</x:v>
      </x:c>
    </x:row>
    <x:row r="2928" ht="23" customHeight="1">
      <x:c r="A2928" s="7" t="str">
        <x:v>INV02923</x:v>
      </x:c>
      <x:c r="B2928" s="15" t="d">
        <x:v>2026-02-08T00:00:00.000Z</x:v>
      </x:c>
      <x:c r="C2928" s="14" t="d">
        <x:v>2026-02-01T00:00:00.000Z</x:v>
      </x:c>
      <x:c r="D2928" s="34" t="str">
        <x:v>0004</x:v>
      </x:c>
      <x:c r="E2928" s="7" t="str">
        <x:v>East</x:v>
      </x:c>
      <x:c r="F2928" s="7" t="n">
        <x:v>7</x:v>
      </x:c>
      <x:c r="G2928" s="7" t="n">
        <x:v>220</x:v>
      </x:c>
      <x:c r="H2928" s="9" t="n">
        <x:v>0.02</x:v>
      </x:c>
      <x:c r="I2928" s="7" t="n">
        <x:v>1509.2</x:v>
      </x:c>
    </x:row>
    <x:row r="2929" ht="23" customHeight="1">
      <x:c r="A2929" s="7" t="str">
        <x:v>INV02924</x:v>
      </x:c>
      <x:c r="B2929" s="15" t="d">
        <x:v>2026-02-09T00:00:00.000Z</x:v>
      </x:c>
      <x:c r="C2929" s="14" t="d">
        <x:v>2026-02-01T00:00:00.000Z</x:v>
      </x:c>
      <x:c r="D2929" s="34" t="str">
        <x:v>0005</x:v>
      </x:c>
      <x:c r="E2929" s="7" t="str">
        <x:v>East</x:v>
      </x:c>
      <x:c r="F2929" s="7" t="n">
        <x:v>7</x:v>
      </x:c>
      <x:c r="G2929" s="7" t="n">
        <x:v>240</x:v>
      </x:c>
      <x:c r="H2929" s="9" t="n">
        <x:v>0.05</x:v>
      </x:c>
      <x:c r="I2929" s="7" t="n">
        <x:v>1596</x:v>
      </x:c>
    </x:row>
    <x:row r="2930" ht="23" customHeight="1">
      <x:c r="A2930" s="7" t="str">
        <x:v>INV02925</x:v>
      </x:c>
      <x:c r="B2930" s="15" t="d">
        <x:v>2026-02-10T00:00:00.000Z</x:v>
      </x:c>
      <x:c r="C2930" s="14" t="d">
        <x:v>2026-02-01T00:00:00.000Z</x:v>
      </x:c>
      <x:c r="D2930" s="34" t="str">
        <x:v>0006</x:v>
      </x:c>
      <x:c r="E2930" s="7" t="str">
        <x:v>East</x:v>
      </x:c>
      <x:c r="F2930" s="7" t="n">
        <x:v>2</x:v>
      </x:c>
      <x:c r="G2930" s="7" t="n">
        <x:v>260</x:v>
      </x:c>
      <x:c r="H2930" s="9" t="n">
        <x:v>0</x:v>
      </x:c>
      <x:c r="I2930" s="7" t="n">
        <x:v>520</x:v>
      </x:c>
    </x:row>
    <x:row r="2931" ht="23" customHeight="1">
      <x:c r="A2931" s="7" t="str">
        <x:v>INV02926</x:v>
      </x:c>
      <x:c r="B2931" s="15" t="d">
        <x:v>2026-02-11T00:00:00.000Z</x:v>
      </x:c>
      <x:c r="C2931" s="14" t="d">
        <x:v>2026-02-01T00:00:00.000Z</x:v>
      </x:c>
      <x:c r="D2931" s="34" t="str">
        <x:v>0007</x:v>
      </x:c>
      <x:c r="E2931" s="7" t="str">
        <x:v>East</x:v>
      </x:c>
      <x:c r="F2931" s="7" t="n">
        <x:v>1</x:v>
      </x:c>
      <x:c r="G2931" s="7" t="n">
        <x:v>280</x:v>
      </x:c>
      <x:c r="H2931" s="9" t="n">
        <x:v>0.02</x:v>
      </x:c>
      <x:c r="I2931" s="7" t="n">
        <x:v>274.4</x:v>
      </x:c>
    </x:row>
    <x:row r="2932" ht="23" customHeight="1">
      <x:c r="A2932" s="7" t="str">
        <x:v>INV02927</x:v>
      </x:c>
      <x:c r="B2932" s="15" t="d">
        <x:v>2026-02-12T00:00:00.000Z</x:v>
      </x:c>
      <x:c r="C2932" s="14" t="d">
        <x:v>2026-02-01T00:00:00.000Z</x:v>
      </x:c>
      <x:c r="D2932" s="34" t="str">
        <x:v>0008</x:v>
      </x:c>
      <x:c r="E2932" s="7" t="str">
        <x:v>East</x:v>
      </x:c>
      <x:c r="F2932" s="7" t="n">
        <x:v>2</x:v>
      </x:c>
      <x:c r="G2932" s="7" t="n">
        <x:v>300</x:v>
      </x:c>
      <x:c r="H2932" s="9" t="n">
        <x:v>0.05</x:v>
      </x:c>
      <x:c r="I2932" s="7" t="n">
        <x:v>570</x:v>
      </x:c>
    </x:row>
    <x:row r="2933" ht="23" customHeight="1">
      <x:c r="A2933" s="7" t="str">
        <x:v>INV02928</x:v>
      </x:c>
      <x:c r="B2933" s="15" t="d">
        <x:v>2026-02-13T00:00:00.000Z</x:v>
      </x:c>
      <x:c r="C2933" s="14" t="d">
        <x:v>2026-02-01T00:00:00.000Z</x:v>
      </x:c>
      <x:c r="D2933" s="34" t="str">
        <x:v>0001</x:v>
      </x:c>
      <x:c r="E2933" s="7" t="str">
        <x:v>West</x:v>
      </x:c>
      <x:c r="F2933" s="7" t="n">
        <x:v>3</x:v>
      </x:c>
      <x:c r="G2933" s="7" t="n">
        <x:v>160</x:v>
      </x:c>
      <x:c r="H2933" s="9" t="n">
        <x:v>0</x:v>
      </x:c>
      <x:c r="I2933" s="7" t="n">
        <x:v>480</x:v>
      </x:c>
    </x:row>
    <x:row r="2934" ht="23" customHeight="1">
      <x:c r="A2934" s="7" t="str">
        <x:v>INV02929</x:v>
      </x:c>
      <x:c r="B2934" s="15" t="d">
        <x:v>2026-02-14T00:00:00.000Z</x:v>
      </x:c>
      <x:c r="C2934" s="14" t="d">
        <x:v>2026-02-01T00:00:00.000Z</x:v>
      </x:c>
      <x:c r="D2934" s="34" t="str">
        <x:v>0002</x:v>
      </x:c>
      <x:c r="E2934" s="7" t="str">
        <x:v>West</x:v>
      </x:c>
      <x:c r="F2934" s="7" t="n">
        <x:v>4</x:v>
      </x:c>
      <x:c r="G2934" s="7" t="n">
        <x:v>180</x:v>
      </x:c>
      <x:c r="H2934" s="9" t="n">
        <x:v>0.02</x:v>
      </x:c>
      <x:c r="I2934" s="7" t="n">
        <x:v>705.6</x:v>
      </x:c>
    </x:row>
    <x:row r="2935" ht="23" customHeight="1">
      <x:c r="A2935" s="7" t="str">
        <x:v>INV02930</x:v>
      </x:c>
      <x:c r="B2935" s="15" t="d">
        <x:v>2026-02-15T00:00:00.000Z</x:v>
      </x:c>
      <x:c r="C2935" s="14" t="d">
        <x:v>2026-02-01T00:00:00.000Z</x:v>
      </x:c>
      <x:c r="D2935" s="34" t="str">
        <x:v>0003</x:v>
      </x:c>
      <x:c r="E2935" s="7" t="str">
        <x:v>West</x:v>
      </x:c>
      <x:c r="F2935" s="7" t="n">
        <x:v>3</x:v>
      </x:c>
      <x:c r="G2935" s="7" t="n">
        <x:v>200</x:v>
      </x:c>
      <x:c r="H2935" s="9" t="n">
        <x:v>0.05</x:v>
      </x:c>
      <x:c r="I2935" s="7" t="n">
        <x:v>570</x:v>
      </x:c>
    </x:row>
    <x:row r="2936" ht="23" customHeight="1">
      <x:c r="A2936" s="7" t="str">
        <x:v>INV02931</x:v>
      </x:c>
      <x:c r="B2936" s="15" t="d">
        <x:v>2026-02-16T00:00:00.000Z</x:v>
      </x:c>
      <x:c r="C2936" s="14" t="d">
        <x:v>2026-02-01T00:00:00.000Z</x:v>
      </x:c>
      <x:c r="D2936" s="34" t="str">
        <x:v>0004</x:v>
      </x:c>
      <x:c r="E2936" s="7" t="str">
        <x:v>West</x:v>
      </x:c>
      <x:c r="F2936" s="7" t="n">
        <x:v>1</x:v>
      </x:c>
      <x:c r="G2936" s="7" t="n">
        <x:v>220</x:v>
      </x:c>
      <x:c r="H2936" s="9" t="n">
        <x:v>0</x:v>
      </x:c>
      <x:c r="I2936" s="7" t="n">
        <x:v>220</x:v>
      </x:c>
    </x:row>
    <x:row r="2937" ht="23" customHeight="1">
      <x:c r="A2937" s="7" t="str">
        <x:v>INV02932</x:v>
      </x:c>
      <x:c r="B2937" s="15" t="d">
        <x:v>2026-02-17T00:00:00.000Z</x:v>
      </x:c>
      <x:c r="C2937" s="14" t="d">
        <x:v>2026-02-01T00:00:00.000Z</x:v>
      </x:c>
      <x:c r="D2937" s="34" t="str">
        <x:v>0005</x:v>
      </x:c>
      <x:c r="E2937" s="7" t="str">
        <x:v>West</x:v>
      </x:c>
      <x:c r="F2937" s="7" t="n">
        <x:v>2</x:v>
      </x:c>
      <x:c r="G2937" s="7" t="n">
        <x:v>240</x:v>
      </x:c>
      <x:c r="H2937" s="9" t="n">
        <x:v>0.02</x:v>
      </x:c>
      <x:c r="I2937" s="7" t="n">
        <x:v>470.4</x:v>
      </x:c>
    </x:row>
    <x:row r="2938" ht="23" customHeight="1">
      <x:c r="A2938" s="7" t="str">
        <x:v>INV02933</x:v>
      </x:c>
      <x:c r="B2938" s="15" t="d">
        <x:v>2026-02-18T00:00:00.000Z</x:v>
      </x:c>
      <x:c r="C2938" s="14" t="d">
        <x:v>2026-02-01T00:00:00.000Z</x:v>
      </x:c>
      <x:c r="D2938" s="34" t="str">
        <x:v>0006</x:v>
      </x:c>
      <x:c r="E2938" s="7" t="str">
        <x:v>West</x:v>
      </x:c>
      <x:c r="F2938" s="7" t="n">
        <x:v>5</x:v>
      </x:c>
      <x:c r="G2938" s="7" t="n">
        <x:v>260</x:v>
      </x:c>
      <x:c r="H2938" s="9" t="n">
        <x:v>0.05</x:v>
      </x:c>
      <x:c r="I2938" s="7" t="n">
        <x:v>1235</x:v>
      </x:c>
    </x:row>
    <x:row r="2939" ht="23" customHeight="1">
      <x:c r="A2939" s="7" t="str">
        <x:v>INV02934</x:v>
      </x:c>
      <x:c r="B2939" s="15" t="d">
        <x:v>2026-02-19T00:00:00.000Z</x:v>
      </x:c>
      <x:c r="C2939" s="14" t="d">
        <x:v>2026-02-01T00:00:00.000Z</x:v>
      </x:c>
      <x:c r="D2939" s="34" t="str">
        <x:v>0007</x:v>
      </x:c>
      <x:c r="E2939" s="7" t="str">
        <x:v>West</x:v>
      </x:c>
      <x:c r="F2939" s="7" t="n">
        <x:v>6</x:v>
      </x:c>
      <x:c r="G2939" s="7" t="n">
        <x:v>280</x:v>
      </x:c>
      <x:c r="H2939" s="9" t="n">
        <x:v>0</x:v>
      </x:c>
      <x:c r="I2939" s="7" t="n">
        <x:v>1680</x:v>
      </x:c>
    </x:row>
    <x:row r="2940" ht="23" customHeight="1">
      <x:c r="A2940" s="7" t="str">
        <x:v>INV02935</x:v>
      </x:c>
      <x:c r="B2940" s="15" t="d">
        <x:v>2026-02-20T00:00:00.000Z</x:v>
      </x:c>
      <x:c r="C2940" s="14" t="d">
        <x:v>2026-02-01T00:00:00.000Z</x:v>
      </x:c>
      <x:c r="D2940" s="34" t="str">
        <x:v>0008</x:v>
      </x:c>
      <x:c r="E2940" s="7" t="str">
        <x:v>West</x:v>
      </x:c>
      <x:c r="F2940" s="7" t="n">
        <x:v>2</x:v>
      </x:c>
      <x:c r="G2940" s="7" t="n">
        <x:v>300</x:v>
      </x:c>
      <x:c r="H2940" s="9" t="n">
        <x:v>0.02</x:v>
      </x:c>
      <x:c r="I2940" s="7" t="n">
        <x:v>588</x:v>
      </x:c>
    </x:row>
    <x:row r="2941" ht="23" customHeight="1">
      <x:c r="A2941" s="7" t="str">
        <x:v>INV02936</x:v>
      </x:c>
      <x:c r="B2941" s="15" t="d">
        <x:v>2026-02-21T00:00:00.000Z</x:v>
      </x:c>
      <x:c r="C2941" s="14" t="d">
        <x:v>2026-02-01T00:00:00.000Z</x:v>
      </x:c>
      <x:c r="D2941" s="34" t="str">
        <x:v>0001</x:v>
      </x:c>
      <x:c r="E2941" s="7" t="str">
        <x:v>North</x:v>
      </x:c>
      <x:c r="F2941" s="7" t="n">
        <x:v>2</x:v>
      </x:c>
      <x:c r="G2941" s="7" t="n">
        <x:v>160</x:v>
      </x:c>
      <x:c r="H2941" s="9" t="n">
        <x:v>0.05</x:v>
      </x:c>
      <x:c r="I2941" s="7" t="n">
        <x:v>304</x:v>
      </x:c>
    </x:row>
    <x:row r="2942" ht="23" customHeight="1">
      <x:c r="A2942" s="7" t="str">
        <x:v>INV02937</x:v>
      </x:c>
      <x:c r="B2942" s="15" t="d">
        <x:v>2026-02-22T00:00:00.000Z</x:v>
      </x:c>
      <x:c r="C2942" s="14" t="d">
        <x:v>2026-02-01T00:00:00.000Z</x:v>
      </x:c>
      <x:c r="D2942" s="34" t="str">
        <x:v>0002</x:v>
      </x:c>
      <x:c r="E2942" s="7" t="str">
        <x:v>North</x:v>
      </x:c>
      <x:c r="F2942" s="7" t="n">
        <x:v>6</x:v>
      </x:c>
      <x:c r="G2942" s="7" t="n">
        <x:v>180</x:v>
      </x:c>
      <x:c r="H2942" s="9" t="n">
        <x:v>0</x:v>
      </x:c>
      <x:c r="I2942" s="7" t="n">
        <x:v>1080</x:v>
      </x:c>
    </x:row>
    <x:row r="2943" ht="23" customHeight="1">
      <x:c r="A2943" s="7" t="str">
        <x:v>INV02938</x:v>
      </x:c>
      <x:c r="B2943" s="15" t="d">
        <x:v>2026-02-23T00:00:00.000Z</x:v>
      </x:c>
      <x:c r="C2943" s="14" t="d">
        <x:v>2026-02-01T00:00:00.000Z</x:v>
      </x:c>
      <x:c r="D2943" s="34" t="str">
        <x:v>0003</x:v>
      </x:c>
      <x:c r="E2943" s="7" t="str">
        <x:v>North</x:v>
      </x:c>
      <x:c r="F2943" s="7" t="n">
        <x:v>7</x:v>
      </x:c>
      <x:c r="G2943" s="7" t="n">
        <x:v>200</x:v>
      </x:c>
      <x:c r="H2943" s="9" t="n">
        <x:v>0.02</x:v>
      </x:c>
      <x:c r="I2943" s="7" t="n">
        <x:v>1372</x:v>
      </x:c>
    </x:row>
    <x:row r="2944" ht="23" customHeight="1">
      <x:c r="A2944" s="7" t="str">
        <x:v>INV02939</x:v>
      </x:c>
      <x:c r="B2944" s="15" t="d">
        <x:v>2026-02-24T00:00:00.000Z</x:v>
      </x:c>
      <x:c r="C2944" s="14" t="d">
        <x:v>2026-02-01T00:00:00.000Z</x:v>
      </x:c>
      <x:c r="D2944" s="34" t="str">
        <x:v>0004</x:v>
      </x:c>
      <x:c r="E2944" s="7" t="str">
        <x:v>North</x:v>
      </x:c>
      <x:c r="F2944" s="7" t="n">
        <x:v>5</x:v>
      </x:c>
      <x:c r="G2944" s="7" t="n">
        <x:v>220</x:v>
      </x:c>
      <x:c r="H2944" s="9" t="n">
        <x:v>0.05</x:v>
      </x:c>
      <x:c r="I2944" s="7" t="n">
        <x:v>1045</x:v>
      </x:c>
    </x:row>
    <x:row r="2945" ht="23" customHeight="1">
      <x:c r="A2945" s="7" t="str">
        <x:v>INV02940</x:v>
      </x:c>
      <x:c r="B2945" s="15" t="d">
        <x:v>2026-02-25T00:00:00.000Z</x:v>
      </x:c>
      <x:c r="C2945" s="14" t="d">
        <x:v>2026-02-01T00:00:00.000Z</x:v>
      </x:c>
      <x:c r="D2945" s="34" t="str">
        <x:v>0005</x:v>
      </x:c>
      <x:c r="E2945" s="7" t="str">
        <x:v>North</x:v>
      </x:c>
      <x:c r="F2945" s="7" t="n">
        <x:v>2</x:v>
      </x:c>
      <x:c r="G2945" s="7" t="n">
        <x:v>240</x:v>
      </x:c>
      <x:c r="H2945" s="9" t="n">
        <x:v>0</x:v>
      </x:c>
      <x:c r="I2945" s="7" t="n">
        <x:v>480</x:v>
      </x:c>
    </x:row>
    <x:row r="2946" ht="23" customHeight="1">
      <x:c r="A2946" s="7" t="str">
        <x:v>INV02941</x:v>
      </x:c>
      <x:c r="B2946" s="15" t="d">
        <x:v>2026-02-26T00:00:00.000Z</x:v>
      </x:c>
      <x:c r="C2946" s="14" t="d">
        <x:v>2026-02-01T00:00:00.000Z</x:v>
      </x:c>
      <x:c r="D2946" s="34" t="str">
        <x:v>0006</x:v>
      </x:c>
      <x:c r="E2946" s="7" t="str">
        <x:v>North</x:v>
      </x:c>
      <x:c r="F2946" s="7" t="n">
        <x:v>1</x:v>
      </x:c>
      <x:c r="G2946" s="7" t="n">
        <x:v>260</x:v>
      </x:c>
      <x:c r="H2946" s="9" t="n">
        <x:v>0.02</x:v>
      </x:c>
      <x:c r="I2946" s="7" t="n">
        <x:v>254.8</x:v>
      </x:c>
    </x:row>
    <x:row r="2947" ht="23" customHeight="1">
      <x:c r="A2947" s="7" t="str">
        <x:v>INV02942</x:v>
      </x:c>
      <x:c r="B2947" s="15" t="d">
        <x:v>2026-02-27T00:00:00.000Z</x:v>
      </x:c>
      <x:c r="C2947" s="14" t="d">
        <x:v>2026-02-01T00:00:00.000Z</x:v>
      </x:c>
      <x:c r="D2947" s="34" t="str">
        <x:v>0007</x:v>
      </x:c>
      <x:c r="E2947" s="7" t="str">
        <x:v>North</x:v>
      </x:c>
      <x:c r="F2947" s="7" t="n">
        <x:v>7</x:v>
      </x:c>
      <x:c r="G2947" s="7" t="n">
        <x:v>280</x:v>
      </x:c>
      <x:c r="H2947" s="9" t="n">
        <x:v>0.05</x:v>
      </x:c>
      <x:c r="I2947" s="7" t="n">
        <x:v>1862</x:v>
      </x:c>
    </x:row>
    <x:row r="2948" ht="23" customHeight="1">
      <x:c r="A2948" s="7" t="str">
        <x:v>INV02943</x:v>
      </x:c>
      <x:c r="B2948" s="15" t="d">
        <x:v>2026-02-01T00:00:00.000Z</x:v>
      </x:c>
      <x:c r="C2948" s="14" t="d">
        <x:v>2026-02-01T00:00:00.000Z</x:v>
      </x:c>
      <x:c r="D2948" s="34" t="str">
        <x:v>0008</x:v>
      </x:c>
      <x:c r="E2948" s="7" t="str">
        <x:v>North</x:v>
      </x:c>
      <x:c r="F2948" s="7" t="n">
        <x:v>7</x:v>
      </x:c>
      <x:c r="G2948" s="7" t="n">
        <x:v>300</x:v>
      </x:c>
      <x:c r="H2948" s="9" t="n">
        <x:v>0</x:v>
      </x:c>
      <x:c r="I2948" s="7" t="n">
        <x:v>2100</x:v>
      </x:c>
    </x:row>
    <x:row r="2949" ht="23" customHeight="1">
      <x:c r="A2949" s="7" t="str">
        <x:v>INV02944</x:v>
      </x:c>
      <x:c r="B2949" s="15" t="d">
        <x:v>2026-03-02T00:00:00.000Z</x:v>
      </x:c>
      <x:c r="C2949" s="14" t="d">
        <x:v>2026-03-01T00:00:00.000Z</x:v>
      </x:c>
      <x:c r="D2949" s="34" t="str">
        <x:v>0001</x:v>
      </x:c>
      <x:c r="E2949" s="7" t="str">
        <x:v>Central</x:v>
      </x:c>
      <x:c r="F2949" s="7" t="n">
        <x:v>6</x:v>
      </x:c>
      <x:c r="G2949" s="7" t="n">
        <x:v>160</x:v>
      </x:c>
      <x:c r="H2949" s="9" t="n">
        <x:v>0.02</x:v>
      </x:c>
      <x:c r="I2949" s="7" t="n">
        <x:v>940.8</x:v>
      </x:c>
    </x:row>
    <x:row r="2950" ht="23" customHeight="1">
      <x:c r="A2950" s="7" t="str">
        <x:v>INV02945</x:v>
      </x:c>
      <x:c r="B2950" s="15" t="d">
        <x:v>2026-03-03T00:00:00.000Z</x:v>
      </x:c>
      <x:c r="C2950" s="14" t="d">
        <x:v>2026-03-01T00:00:00.000Z</x:v>
      </x:c>
      <x:c r="D2950" s="34" t="str">
        <x:v>0002</x:v>
      </x:c>
      <x:c r="E2950" s="7" t="str">
        <x:v>Central</x:v>
      </x:c>
      <x:c r="F2950" s="7" t="n">
        <x:v>6</x:v>
      </x:c>
      <x:c r="G2950" s="7" t="n">
        <x:v>180</x:v>
      </x:c>
      <x:c r="H2950" s="9" t="n">
        <x:v>0.05</x:v>
      </x:c>
      <x:c r="I2950" s="7" t="n">
        <x:v>1026</x:v>
      </x:c>
    </x:row>
    <x:row r="2951" ht="23" customHeight="1">
      <x:c r="A2951" s="7" t="str">
        <x:v>INV02946</x:v>
      </x:c>
      <x:c r="B2951" s="15" t="d">
        <x:v>2026-03-04T00:00:00.000Z</x:v>
      </x:c>
      <x:c r="C2951" s="14" t="d">
        <x:v>2026-03-01T00:00:00.000Z</x:v>
      </x:c>
      <x:c r="D2951" s="34" t="str">
        <x:v>0003</x:v>
      </x:c>
      <x:c r="E2951" s="7" t="str">
        <x:v>Central</x:v>
      </x:c>
      <x:c r="F2951" s="7" t="n">
        <x:v>2</x:v>
      </x:c>
      <x:c r="G2951" s="7" t="n">
        <x:v>200</x:v>
      </x:c>
      <x:c r="H2951" s="9" t="n">
        <x:v>0</x:v>
      </x:c>
      <x:c r="I2951" s="7" t="n">
        <x:v>400</x:v>
      </x:c>
    </x:row>
    <x:row r="2952" ht="23" customHeight="1">
      <x:c r="A2952" s="7" t="str">
        <x:v>INV02947</x:v>
      </x:c>
      <x:c r="B2952" s="15" t="d">
        <x:v>2026-03-05T00:00:00.000Z</x:v>
      </x:c>
      <x:c r="C2952" s="14" t="d">
        <x:v>2026-03-01T00:00:00.000Z</x:v>
      </x:c>
      <x:c r="D2952" s="34" t="str">
        <x:v>0004</x:v>
      </x:c>
      <x:c r="E2952" s="7" t="str">
        <x:v>Central</x:v>
      </x:c>
      <x:c r="F2952" s="7" t="n">
        <x:v>5</x:v>
      </x:c>
      <x:c r="G2952" s="7" t="n">
        <x:v>220</x:v>
      </x:c>
      <x:c r="H2952" s="9" t="n">
        <x:v>0.02</x:v>
      </x:c>
      <x:c r="I2952" s="7" t="n">
        <x:v>1078</x:v>
      </x:c>
    </x:row>
    <x:row r="2953" ht="23" customHeight="1">
      <x:c r="A2953" s="7" t="str">
        <x:v>INV02948</x:v>
      </x:c>
      <x:c r="B2953" s="15" t="d">
        <x:v>2026-03-06T00:00:00.000Z</x:v>
      </x:c>
      <x:c r="C2953" s="14" t="d">
        <x:v>2026-03-01T00:00:00.000Z</x:v>
      </x:c>
      <x:c r="D2953" s="34" t="str">
        <x:v>0005</x:v>
      </x:c>
      <x:c r="E2953" s="7" t="str">
        <x:v>Central</x:v>
      </x:c>
      <x:c r="F2953" s="7" t="n">
        <x:v>7</x:v>
      </x:c>
      <x:c r="G2953" s="7" t="n">
        <x:v>240</x:v>
      </x:c>
      <x:c r="H2953" s="9" t="n">
        <x:v>0.05</x:v>
      </x:c>
      <x:c r="I2953" s="7" t="n">
        <x:v>1596</x:v>
      </x:c>
    </x:row>
    <x:row r="2954" ht="23" customHeight="1">
      <x:c r="A2954" s="7" t="str">
        <x:v>INV02949</x:v>
      </x:c>
      <x:c r="B2954" s="15" t="d">
        <x:v>2026-03-07T00:00:00.000Z</x:v>
      </x:c>
      <x:c r="C2954" s="14" t="d">
        <x:v>2026-03-01T00:00:00.000Z</x:v>
      </x:c>
      <x:c r="D2954" s="34" t="str">
        <x:v>0006</x:v>
      </x:c>
      <x:c r="E2954" s="7" t="str">
        <x:v>Central</x:v>
      </x:c>
      <x:c r="F2954" s="7" t="n">
        <x:v>1</x:v>
      </x:c>
      <x:c r="G2954" s="7" t="n">
        <x:v>260</x:v>
      </x:c>
      <x:c r="H2954" s="9" t="n">
        <x:v>0</x:v>
      </x:c>
      <x:c r="I2954" s="7" t="n">
        <x:v>260</x:v>
      </x:c>
    </x:row>
    <x:row r="2955" ht="23" customHeight="1">
      <x:c r="A2955" s="7" t="str">
        <x:v>INV02950</x:v>
      </x:c>
      <x:c r="B2955" s="15" t="d">
        <x:v>2026-03-08T00:00:00.000Z</x:v>
      </x:c>
      <x:c r="C2955" s="14" t="d">
        <x:v>2026-03-01T00:00:00.000Z</x:v>
      </x:c>
      <x:c r="D2955" s="34" t="str">
        <x:v>0007</x:v>
      </x:c>
      <x:c r="E2955" s="7" t="str">
        <x:v>Central</x:v>
      </x:c>
      <x:c r="F2955" s="7" t="n">
        <x:v>7</x:v>
      </x:c>
      <x:c r="G2955" s="7" t="n">
        <x:v>280</x:v>
      </x:c>
      <x:c r="H2955" s="9" t="n">
        <x:v>0.02</x:v>
      </x:c>
      <x:c r="I2955" s="7" t="n">
        <x:v>1920.8</x:v>
      </x:c>
    </x:row>
    <x:row r="2956" ht="23" customHeight="1">
      <x:c r="A2956" s="7" t="str">
        <x:v>INV02951</x:v>
      </x:c>
      <x:c r="B2956" s="15" t="d">
        <x:v>2026-03-09T00:00:00.000Z</x:v>
      </x:c>
      <x:c r="C2956" s="14" t="d">
        <x:v>2026-03-01T00:00:00.000Z</x:v>
      </x:c>
      <x:c r="D2956" s="34" t="str">
        <x:v>0008</x:v>
      </x:c>
      <x:c r="E2956" s="7" t="str">
        <x:v>Central</x:v>
      </x:c>
      <x:c r="F2956" s="7" t="n">
        <x:v>1</x:v>
      </x:c>
      <x:c r="G2956" s="7" t="n">
        <x:v>300</x:v>
      </x:c>
      <x:c r="H2956" s="9" t="n">
        <x:v>0.05</x:v>
      </x:c>
      <x:c r="I2956" s="7" t="n">
        <x:v>285</x:v>
      </x:c>
    </x:row>
    <x:row r="2957" ht="23" customHeight="1">
      <x:c r="A2957" s="7" t="str">
        <x:v>INV02952</x:v>
      </x:c>
      <x:c r="B2957" s="15" t="d">
        <x:v>2026-03-10T00:00:00.000Z</x:v>
      </x:c>
      <x:c r="C2957" s="14" t="d">
        <x:v>2026-03-01T00:00:00.000Z</x:v>
      </x:c>
      <x:c r="D2957" s="34" t="str">
        <x:v>0001</x:v>
      </x:c>
      <x:c r="E2957" s="7" t="str">
        <x:v>East</x:v>
      </x:c>
      <x:c r="F2957" s="7" t="n">
        <x:v>-6</x:v>
      </x:c>
      <x:c r="G2957" s="7" t="n">
        <x:v>160</x:v>
      </x:c>
      <x:c r="H2957" s="9" t="n">
        <x:v>0</x:v>
      </x:c>
      <x:c r="I2957" s="7" t="n">
        <x:v>-960</x:v>
      </x:c>
    </x:row>
    <x:row r="2958" ht="23" customHeight="1">
      <x:c r="A2958" s="7" t="str">
        <x:v>INV02953</x:v>
      </x:c>
      <x:c r="B2958" s="15" t="d">
        <x:v>2026-03-11T00:00:00.000Z</x:v>
      </x:c>
      <x:c r="C2958" s="14" t="d">
        <x:v>2026-03-01T00:00:00.000Z</x:v>
      </x:c>
      <x:c r="D2958" s="34" t="str">
        <x:v>0002</x:v>
      </x:c>
      <x:c r="E2958" s="7" t="str">
        <x:v>East</x:v>
      </x:c>
      <x:c r="F2958" s="7" t="n">
        <x:v>6</x:v>
      </x:c>
      <x:c r="G2958" s="7" t="n">
        <x:v>180</x:v>
      </x:c>
      <x:c r="H2958" s="9" t="n">
        <x:v>0.02</x:v>
      </x:c>
      <x:c r="I2958" s="7" t="n">
        <x:v>1058.4</x:v>
      </x:c>
    </x:row>
    <x:row r="2959" ht="23" customHeight="1">
      <x:c r="A2959" s="7" t="str">
        <x:v>INV02954</x:v>
      </x:c>
      <x:c r="B2959" s="15" t="d">
        <x:v>2026-03-12T00:00:00.000Z</x:v>
      </x:c>
      <x:c r="C2959" s="14" t="d">
        <x:v>2026-03-01T00:00:00.000Z</x:v>
      </x:c>
      <x:c r="D2959" s="34" t="str">
        <x:v>0003</x:v>
      </x:c>
      <x:c r="E2959" s="7" t="str">
        <x:v>East</x:v>
      </x:c>
      <x:c r="F2959" s="7" t="n">
        <x:v>5</x:v>
      </x:c>
      <x:c r="G2959" s="7" t="n">
        <x:v>200</x:v>
      </x:c>
      <x:c r="H2959" s="9" t="n">
        <x:v>0.05</x:v>
      </x:c>
      <x:c r="I2959" s="7" t="n">
        <x:v>950</x:v>
      </x:c>
    </x:row>
    <x:row r="2960" ht="23" customHeight="1">
      <x:c r="A2960" s="7" t="str">
        <x:v>INV02955</x:v>
      </x:c>
      <x:c r="B2960" s="15" t="d">
        <x:v>2026-03-13T00:00:00.000Z</x:v>
      </x:c>
      <x:c r="C2960" s="14" t="d">
        <x:v>2026-03-01T00:00:00.000Z</x:v>
      </x:c>
      <x:c r="D2960" s="34" t="str">
        <x:v>0004</x:v>
      </x:c>
      <x:c r="E2960" s="7" t="str">
        <x:v>East</x:v>
      </x:c>
      <x:c r="F2960" s="7" t="n">
        <x:v>1</x:v>
      </x:c>
      <x:c r="G2960" s="7" t="n">
        <x:v>220</x:v>
      </x:c>
      <x:c r="H2960" s="9" t="n">
        <x:v>0</x:v>
      </x:c>
      <x:c r="I2960" s="7" t="n">
        <x:v>220</x:v>
      </x:c>
    </x:row>
    <x:row r="2961" ht="23" customHeight="1">
      <x:c r="A2961" s="7" t="str">
        <x:v>INV02956</x:v>
      </x:c>
      <x:c r="B2961" s="15" t="d">
        <x:v>2026-03-14T00:00:00.000Z</x:v>
      </x:c>
      <x:c r="C2961" s="14" t="d">
        <x:v>2026-03-01T00:00:00.000Z</x:v>
      </x:c>
      <x:c r="D2961" s="34" t="str">
        <x:v>0005</x:v>
      </x:c>
      <x:c r="E2961" s="7" t="str">
        <x:v>East</x:v>
      </x:c>
      <x:c r="F2961" s="7" t="n">
        <x:v>7</x:v>
      </x:c>
      <x:c r="G2961" s="7" t="n">
        <x:v>240</x:v>
      </x:c>
      <x:c r="H2961" s="9" t="n">
        <x:v>0.02</x:v>
      </x:c>
      <x:c r="I2961" s="7" t="n">
        <x:v>1646.4</x:v>
      </x:c>
    </x:row>
    <x:row r="2962" ht="23" customHeight="1">
      <x:c r="A2962" s="7" t="str">
        <x:v>INV02957</x:v>
      </x:c>
      <x:c r="B2962" s="15" t="d">
        <x:v>2026-03-15T00:00:00.000Z</x:v>
      </x:c>
      <x:c r="C2962" s="14" t="d">
        <x:v>2026-03-01T00:00:00.000Z</x:v>
      </x:c>
      <x:c r="D2962" s="34" t="str">
        <x:v>0006</x:v>
      </x:c>
      <x:c r="E2962" s="7" t="str">
        <x:v>East</x:v>
      </x:c>
      <x:c r="F2962" s="7" t="n">
        <x:v>3</x:v>
      </x:c>
      <x:c r="G2962" s="7" t="n">
        <x:v>260</x:v>
      </x:c>
      <x:c r="H2962" s="9" t="n">
        <x:v>0.05</x:v>
      </x:c>
      <x:c r="I2962" s="7" t="n">
        <x:v>741</x:v>
      </x:c>
    </x:row>
    <x:row r="2963" ht="23" customHeight="1">
      <x:c r="A2963" s="7" t="str">
        <x:v>INV02958</x:v>
      </x:c>
      <x:c r="B2963" s="15" t="d">
        <x:v>2026-03-16T00:00:00.000Z</x:v>
      </x:c>
      <x:c r="C2963" s="14" t="d">
        <x:v>2026-03-01T00:00:00.000Z</x:v>
      </x:c>
      <x:c r="D2963" s="34" t="str">
        <x:v>0007</x:v>
      </x:c>
      <x:c r="E2963" s="7" t="str">
        <x:v>East</x:v>
      </x:c>
      <x:c r="F2963" s="7" t="n">
        <x:v>6</x:v>
      </x:c>
      <x:c r="G2963" s="7" t="n">
        <x:v>280</x:v>
      </x:c>
      <x:c r="H2963" s="9" t="n">
        <x:v>0</x:v>
      </x:c>
      <x:c r="I2963" s="7" t="n">
        <x:v>1680</x:v>
      </x:c>
    </x:row>
    <x:row r="2964" ht="23" customHeight="1">
      <x:c r="A2964" s="7" t="str">
        <x:v>INV02959</x:v>
      </x:c>
      <x:c r="B2964" s="15" t="d">
        <x:v>2026-03-17T00:00:00.000Z</x:v>
      </x:c>
      <x:c r="C2964" s="14" t="d">
        <x:v>2026-03-01T00:00:00.000Z</x:v>
      </x:c>
      <x:c r="D2964" s="34" t="str">
        <x:v>0008</x:v>
      </x:c>
      <x:c r="E2964" s="7" t="str">
        <x:v>East</x:v>
      </x:c>
      <x:c r="F2964" s="7" t="n">
        <x:v>6</x:v>
      </x:c>
      <x:c r="G2964" s="7" t="n">
        <x:v>300</x:v>
      </x:c>
      <x:c r="H2964" s="9" t="n">
        <x:v>0.02</x:v>
      </x:c>
      <x:c r="I2964" s="7" t="n">
        <x:v>1764</x:v>
      </x:c>
    </x:row>
    <x:row r="2965" ht="23" customHeight="1">
      <x:c r="A2965" s="7" t="str">
        <x:v>INV02960</x:v>
      </x:c>
      <x:c r="B2965" s="15" t="d">
        <x:v>2026-03-18T00:00:00.000Z</x:v>
      </x:c>
      <x:c r="C2965" s="14" t="d">
        <x:v>2026-03-01T00:00:00.000Z</x:v>
      </x:c>
      <x:c r="D2965" s="34" t="str">
        <x:v>0001</x:v>
      </x:c>
      <x:c r="E2965" s="7" t="str">
        <x:v>West</x:v>
      </x:c>
      <x:c r="F2965" s="7" t="n">
        <x:v>7</x:v>
      </x:c>
      <x:c r="G2965" s="7" t="n">
        <x:v>160</x:v>
      </x:c>
      <x:c r="H2965" s="9" t="n">
        <x:v>0.05</x:v>
      </x:c>
      <x:c r="I2965" s="7" t="n">
        <x:v>1064</x:v>
      </x:c>
    </x:row>
    <x:row r="2966" ht="23" customHeight="1">
      <x:c r="A2966" s="7" t="str">
        <x:v>INV02961</x:v>
      </x:c>
      <x:c r="B2966" s="15" t="d">
        <x:v>2026-03-19T00:00:00.000Z</x:v>
      </x:c>
      <x:c r="C2966" s="14" t="d">
        <x:v>2026-03-01T00:00:00.000Z</x:v>
      </x:c>
      <x:c r="D2966" s="34" t="str">
        <x:v>0002</x:v>
      </x:c>
      <x:c r="E2966" s="7" t="str">
        <x:v>West</x:v>
      </x:c>
      <x:c r="F2966" s="7" t="n">
        <x:v>4</x:v>
      </x:c>
      <x:c r="G2966" s="7" t="n">
        <x:v>180</x:v>
      </x:c>
      <x:c r="H2966" s="9" t="n">
        <x:v>0</x:v>
      </x:c>
      <x:c r="I2966" s="7" t="n">
        <x:v>720</x:v>
      </x:c>
    </x:row>
    <x:row r="2967" ht="23" customHeight="1">
      <x:c r="A2967" s="7" t="str">
        <x:v>INV02962</x:v>
      </x:c>
      <x:c r="B2967" s="15" t="d">
        <x:v>2026-03-20T00:00:00.000Z</x:v>
      </x:c>
      <x:c r="C2967" s="14" t="d">
        <x:v>2026-03-01T00:00:00.000Z</x:v>
      </x:c>
      <x:c r="D2967" s="34" t="str">
        <x:v>0003</x:v>
      </x:c>
      <x:c r="E2967" s="7" t="str">
        <x:v>West</x:v>
      </x:c>
      <x:c r="F2967" s="7" t="n">
        <x:v>2</x:v>
      </x:c>
      <x:c r="G2967" s="7" t="n">
        <x:v>200</x:v>
      </x:c>
      <x:c r="H2967" s="9" t="n">
        <x:v>0.02</x:v>
      </x:c>
      <x:c r="I2967" s="7" t="n">
        <x:v>392</x:v>
      </x:c>
    </x:row>
    <x:row r="2968" ht="23" customHeight="1">
      <x:c r="A2968" s="7" t="str">
        <x:v>INV02963</x:v>
      </x:c>
      <x:c r="B2968" s="15" t="d">
        <x:v>2026-03-21T00:00:00.000Z</x:v>
      </x:c>
      <x:c r="C2968" s="14" t="d">
        <x:v>2026-03-01T00:00:00.000Z</x:v>
      </x:c>
      <x:c r="D2968" s="34" t="str">
        <x:v>0004</x:v>
      </x:c>
      <x:c r="E2968" s="7" t="str">
        <x:v>West</x:v>
      </x:c>
      <x:c r="F2968" s="7" t="n">
        <x:v>6</x:v>
      </x:c>
      <x:c r="G2968" s="7" t="n">
        <x:v>220</x:v>
      </x:c>
      <x:c r="H2968" s="9" t="n">
        <x:v>0.05</x:v>
      </x:c>
      <x:c r="I2968" s="7" t="n">
        <x:v>1254</x:v>
      </x:c>
    </x:row>
    <x:row r="2969" ht="23" customHeight="1">
      <x:c r="A2969" s="7" t="str">
        <x:v>INV02964</x:v>
      </x:c>
      <x:c r="B2969" s="15" t="d">
        <x:v>2026-03-22T00:00:00.000Z</x:v>
      </x:c>
      <x:c r="C2969" s="14" t="d">
        <x:v>2026-03-01T00:00:00.000Z</x:v>
      </x:c>
      <x:c r="D2969" s="34" t="str">
        <x:v>0005</x:v>
      </x:c>
      <x:c r="E2969" s="7" t="str">
        <x:v>West</x:v>
      </x:c>
      <x:c r="F2969" s="7" t="n">
        <x:v>3</x:v>
      </x:c>
      <x:c r="G2969" s="7" t="n">
        <x:v>240</x:v>
      </x:c>
      <x:c r="H2969" s="9" t="n">
        <x:v>0</x:v>
      </x:c>
      <x:c r="I2969" s="7" t="n">
        <x:v>720</x:v>
      </x:c>
    </x:row>
    <x:row r="2970" ht="23" customHeight="1">
      <x:c r="A2970" s="7" t="str">
        <x:v>INV02965</x:v>
      </x:c>
      <x:c r="B2970" s="15" t="d">
        <x:v>2026-03-23T00:00:00.000Z</x:v>
      </x:c>
      <x:c r="C2970" s="14" t="d">
        <x:v>2026-03-01T00:00:00.000Z</x:v>
      </x:c>
      <x:c r="D2970" s="34" t="str">
        <x:v>0006</x:v>
      </x:c>
      <x:c r="E2970" s="7" t="str">
        <x:v>West</x:v>
      </x:c>
      <x:c r="F2970" s="7" t="n">
        <x:v>5</x:v>
      </x:c>
      <x:c r="G2970" s="7" t="n">
        <x:v>260</x:v>
      </x:c>
      <x:c r="H2970" s="9" t="n">
        <x:v>0.02</x:v>
      </x:c>
      <x:c r="I2970" s="7" t="n">
        <x:v>1274</x:v>
      </x:c>
    </x:row>
    <x:row r="2971" ht="23" customHeight="1">
      <x:c r="A2971" s="7" t="str">
        <x:v>INV02966</x:v>
      </x:c>
      <x:c r="B2971" s="15" t="d">
        <x:v>2026-03-24T00:00:00.000Z</x:v>
      </x:c>
      <x:c r="C2971" s="14" t="d">
        <x:v>2026-03-01T00:00:00.000Z</x:v>
      </x:c>
      <x:c r="D2971" s="34" t="str">
        <x:v>0007</x:v>
      </x:c>
      <x:c r="E2971" s="7" t="str">
        <x:v>West</x:v>
      </x:c>
      <x:c r="F2971" s="7" t="n">
        <x:v>4</x:v>
      </x:c>
      <x:c r="G2971" s="7" t="n">
        <x:v>280</x:v>
      </x:c>
      <x:c r="H2971" s="9" t="n">
        <x:v>0.05</x:v>
      </x:c>
      <x:c r="I2971" s="7" t="n">
        <x:v>1064</x:v>
      </x:c>
    </x:row>
    <x:row r="2972" ht="23" customHeight="1">
      <x:c r="A2972" s="7" t="str">
        <x:v>INV02967</x:v>
      </x:c>
      <x:c r="B2972" s="15" t="d">
        <x:v>2026-03-25T00:00:00.000Z</x:v>
      </x:c>
      <x:c r="C2972" s="14" t="d">
        <x:v>2026-03-01T00:00:00.000Z</x:v>
      </x:c>
      <x:c r="D2972" s="34" t="str">
        <x:v>0008</x:v>
      </x:c>
      <x:c r="E2972" s="7" t="str">
        <x:v>West</x:v>
      </x:c>
      <x:c r="F2972" s="7" t="n">
        <x:v>5</x:v>
      </x:c>
      <x:c r="G2972" s="7" t="n">
        <x:v>300</x:v>
      </x:c>
      <x:c r="H2972" s="9" t="n">
        <x:v>0</x:v>
      </x:c>
      <x:c r="I2972" s="7" t="n">
        <x:v>1500</x:v>
      </x:c>
    </x:row>
    <x:row r="2973" ht="23" customHeight="1">
      <x:c r="A2973" s="7" t="str">
        <x:v>INV02968</x:v>
      </x:c>
      <x:c r="B2973" s="15" t="d">
        <x:v>2026-03-26T00:00:00.000Z</x:v>
      </x:c>
      <x:c r="C2973" s="14" t="d">
        <x:v>2026-03-01T00:00:00.000Z</x:v>
      </x:c>
      <x:c r="D2973" s="34" t="str">
        <x:v>0001</x:v>
      </x:c>
      <x:c r="E2973" s="7" t="str">
        <x:v>North</x:v>
      </x:c>
      <x:c r="F2973" s="7" t="n">
        <x:v>4</x:v>
      </x:c>
      <x:c r="G2973" s="7" t="n">
        <x:v>160</x:v>
      </x:c>
      <x:c r="H2973" s="9" t="n">
        <x:v>0.02</x:v>
      </x:c>
      <x:c r="I2973" s="7" t="n">
        <x:v>627.2</x:v>
      </x:c>
    </x:row>
    <x:row r="2974" ht="23" customHeight="1">
      <x:c r="A2974" s="7" t="str">
        <x:v>INV02969</x:v>
      </x:c>
      <x:c r="B2974" s="15" t="d">
        <x:v>2026-03-27T00:00:00.000Z</x:v>
      </x:c>
      <x:c r="C2974" s="14" t="d">
        <x:v>2026-03-01T00:00:00.000Z</x:v>
      </x:c>
      <x:c r="D2974" s="34" t="str">
        <x:v>0002</x:v>
      </x:c>
      <x:c r="E2974" s="7" t="str">
        <x:v>North</x:v>
      </x:c>
      <x:c r="F2974" s="7" t="n">
        <x:v>6</x:v>
      </x:c>
      <x:c r="G2974" s="7" t="n">
        <x:v>180</x:v>
      </x:c>
      <x:c r="H2974" s="9" t="n">
        <x:v>0.05</x:v>
      </x:c>
      <x:c r="I2974" s="7" t="n">
        <x:v>1026</x:v>
      </x:c>
    </x:row>
    <x:row r="2975" ht="23" customHeight="1">
      <x:c r="A2975" s="7" t="str">
        <x:v>INV02970</x:v>
      </x:c>
      <x:c r="B2975" s="15" t="d">
        <x:v>2026-03-01T00:00:00.000Z</x:v>
      </x:c>
      <x:c r="C2975" s="14" t="d">
        <x:v>2026-03-01T00:00:00.000Z</x:v>
      </x:c>
      <x:c r="D2975" s="34" t="str">
        <x:v>0003</x:v>
      </x:c>
      <x:c r="E2975" s="7" t="str">
        <x:v>North</x:v>
      </x:c>
      <x:c r="F2975" s="7" t="n">
        <x:v>4</x:v>
      </x:c>
      <x:c r="G2975" s="7" t="n">
        <x:v>200</x:v>
      </x:c>
      <x:c r="H2975" s="9" t="n">
        <x:v>0</x:v>
      </x:c>
      <x:c r="I2975" s="7" t="n">
        <x:v>800</x:v>
      </x:c>
    </x:row>
    <x:row r="2976" ht="23" customHeight="1">
      <x:c r="A2976" s="7" t="str">
        <x:v>INV02971</x:v>
      </x:c>
      <x:c r="B2976" s="15" t="d">
        <x:v>2026-03-02T00:00:00.000Z</x:v>
      </x:c>
      <x:c r="C2976" s="14" t="d">
        <x:v>2026-03-01T00:00:00.000Z</x:v>
      </x:c>
      <x:c r="D2976" s="34" t="str">
        <x:v>0004</x:v>
      </x:c>
      <x:c r="E2976" s="7" t="str">
        <x:v>North</x:v>
      </x:c>
      <x:c r="F2976" s="7" t="n">
        <x:v>6</x:v>
      </x:c>
      <x:c r="G2976" s="7" t="n">
        <x:v>220</x:v>
      </x:c>
      <x:c r="H2976" s="9" t="n">
        <x:v>0.02</x:v>
      </x:c>
      <x:c r="I2976" s="7" t="n">
        <x:v>1293.6</x:v>
      </x:c>
    </x:row>
    <x:row r="2977" ht="23" customHeight="1">
      <x:c r="A2977" s="7" t="str">
        <x:v>INV02972</x:v>
      </x:c>
      <x:c r="B2977" s="15" t="d">
        <x:v>2026-03-03T00:00:00.000Z</x:v>
      </x:c>
      <x:c r="C2977" s="14" t="d">
        <x:v>2026-03-01T00:00:00.000Z</x:v>
      </x:c>
      <x:c r="D2977" s="34" t="str">
        <x:v>0005</x:v>
      </x:c>
      <x:c r="E2977" s="7" t="str">
        <x:v>North</x:v>
      </x:c>
      <x:c r="F2977" s="7" t="n">
        <x:v>5</x:v>
      </x:c>
      <x:c r="G2977" s="7" t="n">
        <x:v>240</x:v>
      </x:c>
      <x:c r="H2977" s="9" t="n">
        <x:v>0.05</x:v>
      </x:c>
      <x:c r="I2977" s="7" t="n">
        <x:v>1140</x:v>
      </x:c>
    </x:row>
    <x:row r="2978" ht="23" customHeight="1">
      <x:c r="A2978" s="7" t="str">
        <x:v>INV02973</x:v>
      </x:c>
      <x:c r="B2978" s="15" t="d">
        <x:v>2026-03-04T00:00:00.000Z</x:v>
      </x:c>
      <x:c r="C2978" s="14" t="d">
        <x:v>2026-03-01T00:00:00.000Z</x:v>
      </x:c>
      <x:c r="D2978" s="34" t="str">
        <x:v>0006</x:v>
      </x:c>
      <x:c r="E2978" s="7" t="str">
        <x:v>North</x:v>
      </x:c>
      <x:c r="F2978" s="7" t="n">
        <x:v>3</x:v>
      </x:c>
      <x:c r="G2978" s="7" t="n">
        <x:v>260</x:v>
      </x:c>
      <x:c r="H2978" s="9" t="n">
        <x:v>0</x:v>
      </x:c>
      <x:c r="I2978" s="7" t="n">
        <x:v>780</x:v>
      </x:c>
    </x:row>
    <x:row r="2979" ht="23" customHeight="1">
      <x:c r="A2979" s="7" t="str">
        <x:v>INV02974</x:v>
      </x:c>
      <x:c r="B2979" s="15" t="d">
        <x:v>2026-03-05T00:00:00.000Z</x:v>
      </x:c>
      <x:c r="C2979" s="14" t="d">
        <x:v>2026-03-01T00:00:00.000Z</x:v>
      </x:c>
      <x:c r="D2979" s="34" t="str">
        <x:v>0007</x:v>
      </x:c>
      <x:c r="E2979" s="7" t="str">
        <x:v>North</x:v>
      </x:c>
      <x:c r="F2979" s="7" t="n">
        <x:v>3</x:v>
      </x:c>
      <x:c r="G2979" s="7" t="n">
        <x:v>280</x:v>
      </x:c>
      <x:c r="H2979" s="9" t="n">
        <x:v>0.02</x:v>
      </x:c>
      <x:c r="I2979" s="7" t="n">
        <x:v>823.2</x:v>
      </x:c>
    </x:row>
    <x:row r="2980" ht="23" customHeight="1">
      <x:c r="A2980" s="7" t="str">
        <x:v>INV02975</x:v>
      </x:c>
      <x:c r="B2980" s="15" t="d">
        <x:v>2026-03-06T00:00:00.000Z</x:v>
      </x:c>
      <x:c r="C2980" s="14" t="d">
        <x:v>2026-03-01T00:00:00.000Z</x:v>
      </x:c>
      <x:c r="D2980" s="34" t="str">
        <x:v>0008</x:v>
      </x:c>
      <x:c r="E2980" s="7" t="str">
        <x:v>North</x:v>
      </x:c>
      <x:c r="F2980" s="7" t="n">
        <x:v>4</x:v>
      </x:c>
      <x:c r="G2980" s="7" t="n">
        <x:v>300</x:v>
      </x:c>
      <x:c r="H2980" s="9" t="n">
        <x:v>0.05</x:v>
      </x:c>
      <x:c r="I2980" s="7" t="n">
        <x:v>1140</x:v>
      </x:c>
    </x:row>
    <x:row r="2981" ht="23" customHeight="1">
      <x:c r="A2981" s="7" t="str">
        <x:v>INV02976</x:v>
      </x:c>
      <x:c r="B2981" s="15" t="d">
        <x:v>2026-04-07T00:00:00.000Z</x:v>
      </x:c>
      <x:c r="C2981" s="14" t="d">
        <x:v>2026-04-01T00:00:00.000Z</x:v>
      </x:c>
      <x:c r="D2981" s="34" t="str">
        <x:v>0001</x:v>
      </x:c>
      <x:c r="E2981" s="7" t="str">
        <x:v>Central</x:v>
      </x:c>
      <x:c r="F2981" s="7" t="n">
        <x:v>3</x:v>
      </x:c>
      <x:c r="G2981" s="7" t="n">
        <x:v>160</x:v>
      </x:c>
      <x:c r="H2981" s="9" t="n">
        <x:v>0</x:v>
      </x:c>
      <x:c r="I2981" s="7" t="n">
        <x:v>480</x:v>
      </x:c>
    </x:row>
    <x:row r="2982" ht="23" customHeight="1">
      <x:c r="A2982" s="7" t="str">
        <x:v>INV02977</x:v>
      </x:c>
      <x:c r="B2982" s="15" t="d">
        <x:v>2026-04-08T00:00:00.000Z</x:v>
      </x:c>
      <x:c r="C2982" s="14" t="d">
        <x:v>2026-04-01T00:00:00.000Z</x:v>
      </x:c>
      <x:c r="D2982" s="34" t="str">
        <x:v>0002</x:v>
      </x:c>
      <x:c r="E2982" s="7" t="str">
        <x:v>Central</x:v>
      </x:c>
      <x:c r="F2982" s="7" t="n">
        <x:v>1</x:v>
      </x:c>
      <x:c r="G2982" s="7" t="n">
        <x:v>180</x:v>
      </x:c>
      <x:c r="H2982" s="9" t="n">
        <x:v>0.02</x:v>
      </x:c>
      <x:c r="I2982" s="7" t="n">
        <x:v>176.4</x:v>
      </x:c>
    </x:row>
    <x:row r="2983" ht="23" customHeight="1">
      <x:c r="A2983" s="7" t="str">
        <x:v>INV02978</x:v>
      </x:c>
      <x:c r="B2983" s="15" t="d">
        <x:v>2026-04-09T00:00:00.000Z</x:v>
      </x:c>
      <x:c r="C2983" s="14" t="d">
        <x:v>2026-04-01T00:00:00.000Z</x:v>
      </x:c>
      <x:c r="D2983" s="34" t="str">
        <x:v>0003</x:v>
      </x:c>
      <x:c r="E2983" s="7" t="str">
        <x:v>Central</x:v>
      </x:c>
      <x:c r="F2983" s="7" t="n">
        <x:v>7</x:v>
      </x:c>
      <x:c r="G2983" s="7" t="n">
        <x:v>200</x:v>
      </x:c>
      <x:c r="H2983" s="9" t="n">
        <x:v>0.05</x:v>
      </x:c>
      <x:c r="I2983" s="7" t="n">
        <x:v>1330</x:v>
      </x:c>
    </x:row>
    <x:row r="2984" ht="23" customHeight="1">
      <x:c r="A2984" s="7" t="str">
        <x:v>INV02979</x:v>
      </x:c>
      <x:c r="B2984" s="15" t="d">
        <x:v>2026-04-10T00:00:00.000Z</x:v>
      </x:c>
      <x:c r="C2984" s="14" t="d">
        <x:v>2026-04-01T00:00:00.000Z</x:v>
      </x:c>
      <x:c r="D2984" s="34" t="str">
        <x:v>0004</x:v>
      </x:c>
      <x:c r="E2984" s="7" t="str">
        <x:v>Central</x:v>
      </x:c>
      <x:c r="F2984" s="7" t="n">
        <x:v>4</x:v>
      </x:c>
      <x:c r="G2984" s="7" t="n">
        <x:v>220</x:v>
      </x:c>
      <x:c r="H2984" s="9" t="n">
        <x:v>0</x:v>
      </x:c>
      <x:c r="I2984" s="7" t="n">
        <x:v>880</x:v>
      </x:c>
    </x:row>
    <x:row r="2985" ht="23" customHeight="1">
      <x:c r="A2985" s="7" t="str">
        <x:v>INV02980</x:v>
      </x:c>
      <x:c r="B2985" s="15" t="d">
        <x:v>2026-04-11T00:00:00.000Z</x:v>
      </x:c>
      <x:c r="C2985" s="14" t="d">
        <x:v>2026-04-01T00:00:00.000Z</x:v>
      </x:c>
      <x:c r="D2985" s="34" t="str">
        <x:v>0005</x:v>
      </x:c>
      <x:c r="E2985" s="7" t="str">
        <x:v>Central</x:v>
      </x:c>
      <x:c r="F2985" s="7" t="n">
        <x:v>4</x:v>
      </x:c>
      <x:c r="G2985" s="7" t="n">
        <x:v>240</x:v>
      </x:c>
      <x:c r="H2985" s="9" t="n">
        <x:v>0.02</x:v>
      </x:c>
      <x:c r="I2985" s="7" t="n">
        <x:v>940.8</x:v>
      </x:c>
    </x:row>
    <x:row r="2986" ht="23" customHeight="1">
      <x:c r="A2986" s="7" t="str">
        <x:v>INV02981</x:v>
      </x:c>
      <x:c r="B2986" s="15" t="d">
        <x:v>2026-04-12T00:00:00.000Z</x:v>
      </x:c>
      <x:c r="C2986" s="14" t="d">
        <x:v>2026-04-01T00:00:00.000Z</x:v>
      </x:c>
      <x:c r="D2986" s="34" t="str">
        <x:v>0006</x:v>
      </x:c>
      <x:c r="E2986" s="7" t="str">
        <x:v>Central</x:v>
      </x:c>
      <x:c r="F2986" s="7" t="n">
        <x:v>3</x:v>
      </x:c>
      <x:c r="G2986" s="7" t="n">
        <x:v>260</x:v>
      </x:c>
      <x:c r="H2986" s="9" t="n">
        <x:v>0.05</x:v>
      </x:c>
      <x:c r="I2986" s="7" t="n">
        <x:v>741</x:v>
      </x:c>
    </x:row>
    <x:row r="2987" ht="23" customHeight="1">
      <x:c r="A2987" s="7" t="str">
        <x:v>INV02982</x:v>
      </x:c>
      <x:c r="B2987" s="15" t="d">
        <x:v>2026-04-13T00:00:00.000Z</x:v>
      </x:c>
      <x:c r="C2987" s="14" t="d">
        <x:v>2026-04-01T00:00:00.000Z</x:v>
      </x:c>
      <x:c r="D2987" s="34" t="str">
        <x:v>0007</x:v>
      </x:c>
      <x:c r="E2987" s="7" t="str">
        <x:v>Central</x:v>
      </x:c>
      <x:c r="F2987" s="7" t="n">
        <x:v>4</x:v>
      </x:c>
      <x:c r="G2987" s="7" t="n">
        <x:v>280</x:v>
      </x:c>
      <x:c r="H2987" s="9" t="n">
        <x:v>0</x:v>
      </x:c>
      <x:c r="I2987" s="7" t="n">
        <x:v>1120</x:v>
      </x:c>
    </x:row>
    <x:row r="2988" ht="23" customHeight="1">
      <x:c r="A2988" s="7" t="str">
        <x:v>INV02983</x:v>
      </x:c>
      <x:c r="B2988" s="15" t="d">
        <x:v>2026-04-14T00:00:00.000Z</x:v>
      </x:c>
      <x:c r="C2988" s="14" t="d">
        <x:v>2026-04-01T00:00:00.000Z</x:v>
      </x:c>
      <x:c r="D2988" s="34" t="str">
        <x:v>0008</x:v>
      </x:c>
      <x:c r="E2988" s="7" t="str">
        <x:v>Central</x:v>
      </x:c>
      <x:c r="F2988" s="7" t="n">
        <x:v>7</x:v>
      </x:c>
      <x:c r="G2988" s="7" t="n">
        <x:v>300</x:v>
      </x:c>
      <x:c r="H2988" s="9" t="n">
        <x:v>0.02</x:v>
      </x:c>
      <x:c r="I2988" s="7" t="n">
        <x:v>2058</x:v>
      </x:c>
    </x:row>
    <x:row r="2989" ht="23" customHeight="1">
      <x:c r="A2989" s="7" t="str">
        <x:v>INV02984</x:v>
      </x:c>
      <x:c r="B2989" s="15" t="d">
        <x:v>2026-04-15T00:00:00.000Z</x:v>
      </x:c>
      <x:c r="C2989" s="14" t="d">
        <x:v>2026-04-01T00:00:00.000Z</x:v>
      </x:c>
      <x:c r="D2989" s="34" t="str">
        <x:v>0001</x:v>
      </x:c>
      <x:c r="E2989" s="7" t="str">
        <x:v>East</x:v>
      </x:c>
      <x:c r="F2989" s="7" t="n">
        <x:v>4</x:v>
      </x:c>
      <x:c r="G2989" s="7" t="n">
        <x:v>160</x:v>
      </x:c>
      <x:c r="H2989" s="9" t="n">
        <x:v>0.05</x:v>
      </x:c>
      <x:c r="I2989" s="7" t="n">
        <x:v>608</x:v>
      </x:c>
    </x:row>
    <x:row r="2990" ht="23" customHeight="1">
      <x:c r="A2990" s="7" t="str">
        <x:v>INV02985</x:v>
      </x:c>
      <x:c r="B2990" s="15" t="d">
        <x:v>2026-04-16T00:00:00.000Z</x:v>
      </x:c>
      <x:c r="C2990" s="14" t="d">
        <x:v>2026-04-01T00:00:00.000Z</x:v>
      </x:c>
      <x:c r="D2990" s="34" t="str">
        <x:v>0002</x:v>
      </x:c>
      <x:c r="E2990" s="7" t="str">
        <x:v>East</x:v>
      </x:c>
      <x:c r="F2990" s="7" t="n">
        <x:v>1</x:v>
      </x:c>
      <x:c r="G2990" s="7" t="n">
        <x:v>180</x:v>
      </x:c>
      <x:c r="H2990" s="9" t="n">
        <x:v>0</x:v>
      </x:c>
      <x:c r="I2990" s="7" t="n">
        <x:v>180</x:v>
      </x:c>
    </x:row>
    <x:row r="2991" ht="23" customHeight="1">
      <x:c r="A2991" s="7" t="str">
        <x:v>INV02986</x:v>
      </x:c>
      <x:c r="B2991" s="15" t="d">
        <x:v>2026-04-17T00:00:00.000Z</x:v>
      </x:c>
      <x:c r="C2991" s="14" t="d">
        <x:v>2026-04-01T00:00:00.000Z</x:v>
      </x:c>
      <x:c r="D2991" s="34" t="str">
        <x:v>0003</x:v>
      </x:c>
      <x:c r="E2991" s="7" t="str">
        <x:v>East</x:v>
      </x:c>
      <x:c r="F2991" s="7" t="n">
        <x:v>4</x:v>
      </x:c>
      <x:c r="G2991" s="7" t="n">
        <x:v>200</x:v>
      </x:c>
      <x:c r="H2991" s="9" t="n">
        <x:v>0.02</x:v>
      </x:c>
      <x:c r="I2991" s="7" t="n">
        <x:v>784</x:v>
      </x:c>
    </x:row>
    <x:row r="2992" ht="23" customHeight="1">
      <x:c r="A2992" s="7" t="str">
        <x:v>INV02987</x:v>
      </x:c>
      <x:c r="B2992" s="15" t="d">
        <x:v>2026-04-18T00:00:00.000Z</x:v>
      </x:c>
      <x:c r="C2992" s="14" t="d">
        <x:v>2026-04-01T00:00:00.000Z</x:v>
      </x:c>
      <x:c r="D2992" s="34" t="str">
        <x:v>0004</x:v>
      </x:c>
      <x:c r="E2992" s="7" t="str">
        <x:v>East</x:v>
      </x:c>
      <x:c r="F2992" s="7" t="n">
        <x:v>1</x:v>
      </x:c>
      <x:c r="G2992" s="7" t="n">
        <x:v>220</x:v>
      </x:c>
      <x:c r="H2992" s="9" t="n">
        <x:v>0.05</x:v>
      </x:c>
      <x:c r="I2992" s="7" t="n">
        <x:v>209</x:v>
      </x:c>
    </x:row>
    <x:row r="2993" ht="23" customHeight="1">
      <x:c r="A2993" s="7" t="str">
        <x:v>INV02988</x:v>
      </x:c>
      <x:c r="B2993" s="15" t="d">
        <x:v>2026-04-19T00:00:00.000Z</x:v>
      </x:c>
      <x:c r="C2993" s="14" t="d">
        <x:v>2026-04-01T00:00:00.000Z</x:v>
      </x:c>
      <x:c r="D2993" s="34" t="str">
        <x:v>0005</x:v>
      </x:c>
      <x:c r="E2993" s="7" t="str">
        <x:v>East</x:v>
      </x:c>
      <x:c r="F2993" s="7" t="n">
        <x:v>4</x:v>
      </x:c>
      <x:c r="G2993" s="7" t="n">
        <x:v>240</x:v>
      </x:c>
      <x:c r="H2993" s="9" t="n">
        <x:v>0</x:v>
      </x:c>
      <x:c r="I2993" s="7" t="n">
        <x:v>960</x:v>
      </x:c>
    </x:row>
    <x:row r="2994" ht="23" customHeight="1">
      <x:c r="A2994" s="7" t="str">
        <x:v>INV02989</x:v>
      </x:c>
      <x:c r="B2994" s="15" t="d">
        <x:v>2026-04-20T00:00:00.000Z</x:v>
      </x:c>
      <x:c r="C2994" s="14" t="d">
        <x:v>2026-04-01T00:00:00.000Z</x:v>
      </x:c>
      <x:c r="D2994" s="34" t="str">
        <x:v>0006</x:v>
      </x:c>
      <x:c r="E2994" s="7" t="str">
        <x:v>East</x:v>
      </x:c>
      <x:c r="F2994" s="7" t="n">
        <x:v>3</x:v>
      </x:c>
      <x:c r="G2994" s="7" t="n">
        <x:v>260</x:v>
      </x:c>
      <x:c r="H2994" s="9" t="n">
        <x:v>0.02</x:v>
      </x:c>
      <x:c r="I2994" s="7" t="n">
        <x:v>764.4</x:v>
      </x:c>
    </x:row>
    <x:row r="2995" ht="23" customHeight="1">
      <x:c r="A2995" s="7" t="str">
        <x:v>INV02990</x:v>
      </x:c>
      <x:c r="B2995" s="15" t="d">
        <x:v>2026-04-21T00:00:00.000Z</x:v>
      </x:c>
      <x:c r="C2995" s="14" t="d">
        <x:v>2026-04-01T00:00:00.000Z</x:v>
      </x:c>
      <x:c r="D2995" s="34" t="str">
        <x:v>0007</x:v>
      </x:c>
      <x:c r="E2995" s="7" t="str">
        <x:v>East</x:v>
      </x:c>
      <x:c r="F2995" s="7" t="n">
        <x:v>4</x:v>
      </x:c>
      <x:c r="G2995" s="7" t="n">
        <x:v>280</x:v>
      </x:c>
      <x:c r="H2995" s="9" t="n">
        <x:v>0.05</x:v>
      </x:c>
      <x:c r="I2995" s="7" t="n">
        <x:v>1064</x:v>
      </x:c>
    </x:row>
    <x:row r="2996" ht="23" customHeight="1">
      <x:c r="A2996" s="7" t="str">
        <x:v>INV02991</x:v>
      </x:c>
      <x:c r="B2996" s="15" t="d">
        <x:v>2026-04-22T00:00:00.000Z</x:v>
      </x:c>
      <x:c r="C2996" s="14" t="d">
        <x:v>2026-04-01T00:00:00.000Z</x:v>
      </x:c>
      <x:c r="D2996" s="34" t="str">
        <x:v>0008</x:v>
      </x:c>
      <x:c r="E2996" s="7" t="str">
        <x:v>East</x:v>
      </x:c>
      <x:c r="F2996" s="7" t="n">
        <x:v>3</x:v>
      </x:c>
      <x:c r="G2996" s="7" t="n">
        <x:v>300</x:v>
      </x:c>
      <x:c r="H2996" s="9" t="n">
        <x:v>0</x:v>
      </x:c>
      <x:c r="I2996" s="7" t="n">
        <x:v>900</x:v>
      </x:c>
    </x:row>
    <x:row r="2997" ht="23" customHeight="1">
      <x:c r="A2997" s="7" t="str">
        <x:v>INV02992</x:v>
      </x:c>
      <x:c r="B2997" s="15" t="d">
        <x:v>2026-04-23T00:00:00.000Z</x:v>
      </x:c>
      <x:c r="C2997" s="14" t="d">
        <x:v>2026-04-01T00:00:00.000Z</x:v>
      </x:c>
      <x:c r="D2997" s="34" t="str">
        <x:v>0001</x:v>
      </x:c>
      <x:c r="E2997" s="7" t="str">
        <x:v>West</x:v>
      </x:c>
      <x:c r="F2997" s="7" t="n">
        <x:v>1</x:v>
      </x:c>
      <x:c r="G2997" s="7" t="n">
        <x:v>160</x:v>
      </x:c>
      <x:c r="H2997" s="9" t="n">
        <x:v>0.02</x:v>
      </x:c>
      <x:c r="I2997" s="7" t="n">
        <x:v>156.8</x:v>
      </x:c>
    </x:row>
    <x:row r="2998" ht="23" customHeight="1">
      <x:c r="A2998" s="7" t="str">
        <x:v>INV02993</x:v>
      </x:c>
      <x:c r="B2998" s="15" t="d">
        <x:v>2026-04-24T00:00:00.000Z</x:v>
      </x:c>
      <x:c r="C2998" s="14" t="d">
        <x:v>2026-04-01T00:00:00.000Z</x:v>
      </x:c>
      <x:c r="D2998" s="34" t="str">
        <x:v>0002</x:v>
      </x:c>
      <x:c r="E2998" s="7" t="str">
        <x:v>West</x:v>
      </x:c>
      <x:c r="F2998" s="7" t="n">
        <x:v>-5</x:v>
      </x:c>
      <x:c r="G2998" s="7" t="n">
        <x:v>180</x:v>
      </x:c>
      <x:c r="H2998" s="9" t="n">
        <x:v>0.05</x:v>
      </x:c>
      <x:c r="I2998" s="7" t="n">
        <x:v>-855</x:v>
      </x:c>
    </x:row>
    <x:row r="2999" ht="23" customHeight="1">
      <x:c r="A2999" s="7" t="str">
        <x:v>INV02994</x:v>
      </x:c>
      <x:c r="B2999" s="15" t="d">
        <x:v>2026-04-25T00:00:00.000Z</x:v>
      </x:c>
      <x:c r="C2999" s="14" t="d">
        <x:v>2026-04-01T00:00:00.000Z</x:v>
      </x:c>
      <x:c r="D2999" s="34" t="str">
        <x:v>0003</x:v>
      </x:c>
      <x:c r="E2999" s="7" t="str">
        <x:v>West</x:v>
      </x:c>
      <x:c r="F2999" s="7" t="n">
        <x:v>5</x:v>
      </x:c>
      <x:c r="G2999" s="7" t="n">
        <x:v>200</x:v>
      </x:c>
      <x:c r="H2999" s="9" t="n">
        <x:v>0</x:v>
      </x:c>
      <x:c r="I2999" s="7" t="n">
        <x:v>1000</x:v>
      </x:c>
    </x:row>
    <x:row r="3000" ht="23" customHeight="1">
      <x:c r="A3000" s="7" t="str">
        <x:v>INV02995</x:v>
      </x:c>
      <x:c r="B3000" s="15" t="d">
        <x:v>2026-04-26T00:00:00.000Z</x:v>
      </x:c>
      <x:c r="C3000" s="14" t="d">
        <x:v>2026-04-01T00:00:00.000Z</x:v>
      </x:c>
      <x:c r="D3000" s="34" t="str">
        <x:v>0004</x:v>
      </x:c>
      <x:c r="E3000" s="7" t="str">
        <x:v>West</x:v>
      </x:c>
      <x:c r="F3000" s="7" t="n">
        <x:v>7</x:v>
      </x:c>
      <x:c r="G3000" s="7" t="n">
        <x:v>220</x:v>
      </x:c>
      <x:c r="H3000" s="9" t="n">
        <x:v>0.02</x:v>
      </x:c>
      <x:c r="I3000" s="7" t="n">
        <x:v>1509.2</x:v>
      </x:c>
    </x:row>
    <x:row r="3001" ht="23" customHeight="1">
      <x:c r="A3001" s="7" t="str">
        <x:v>INV02996</x:v>
      </x:c>
      <x:c r="B3001" s="15" t="d">
        <x:v>2026-04-27T00:00:00.000Z</x:v>
      </x:c>
      <x:c r="C3001" s="14" t="d">
        <x:v>2026-04-01T00:00:00.000Z</x:v>
      </x:c>
      <x:c r="D3001" s="34" t="str">
        <x:v>0005</x:v>
      </x:c>
      <x:c r="E3001" s="7" t="str">
        <x:v>West</x:v>
      </x:c>
      <x:c r="F3001" s="7" t="n">
        <x:v>1</x:v>
      </x:c>
      <x:c r="G3001" s="7" t="n">
        <x:v>240</x:v>
      </x:c>
      <x:c r="H3001" s="9" t="n">
        <x:v>0.05</x:v>
      </x:c>
      <x:c r="I3001" s="7" t="n">
        <x:v>228</x:v>
      </x:c>
    </x:row>
    <x:row r="3002" ht="23" customHeight="1">
      <x:c r="A3002" s="7" t="str">
        <x:v>INV02997</x:v>
      </x:c>
      <x:c r="B3002" s="15" t="d">
        <x:v>2026-04-01T00:00:00.000Z</x:v>
      </x:c>
      <x:c r="C3002" s="14" t="d">
        <x:v>2026-04-01T00:00:00.000Z</x:v>
      </x:c>
      <x:c r="D3002" s="34" t="str">
        <x:v>0006</x:v>
      </x:c>
      <x:c r="E3002" s="7" t="str">
        <x:v>West</x:v>
      </x:c>
      <x:c r="F3002" s="7" t="n">
        <x:v>2</x:v>
      </x:c>
      <x:c r="G3002" s="7" t="n">
        <x:v>260</x:v>
      </x:c>
      <x:c r="H3002" s="9" t="n">
        <x:v>0</x:v>
      </x:c>
      <x:c r="I3002" s="7" t="n">
        <x:v>520</x:v>
      </x:c>
    </x:row>
    <x:row r="3003" ht="23" customHeight="1">
      <x:c r="A3003" s="7" t="str">
        <x:v>INV02998</x:v>
      </x:c>
      <x:c r="B3003" s="15" t="d">
        <x:v>2026-04-02T00:00:00.000Z</x:v>
      </x:c>
      <x:c r="C3003" s="14" t="d">
        <x:v>2026-04-01T00:00:00.000Z</x:v>
      </x:c>
      <x:c r="D3003" s="34" t="str">
        <x:v>0007</x:v>
      </x:c>
      <x:c r="E3003" s="7" t="str">
        <x:v>West</x:v>
      </x:c>
      <x:c r="F3003" s="7" t="n">
        <x:v>7</x:v>
      </x:c>
      <x:c r="G3003" s="7" t="n">
        <x:v>280</x:v>
      </x:c>
      <x:c r="H3003" s="9" t="n">
        <x:v>0.02</x:v>
      </x:c>
      <x:c r="I3003" s="7" t="n">
        <x:v>1920.8</x:v>
      </x:c>
    </x:row>
    <x:row r="3004" ht="23" customHeight="1">
      <x:c r="A3004" s="7" t="str">
        <x:v>INV02999</x:v>
      </x:c>
      <x:c r="B3004" s="15" t="d">
        <x:v>2026-04-03T00:00:00.000Z</x:v>
      </x:c>
      <x:c r="C3004" s="14" t="d">
        <x:v>2026-04-01T00:00:00.000Z</x:v>
      </x:c>
      <x:c r="D3004" s="34" t="str">
        <x:v>0008</x:v>
      </x:c>
      <x:c r="E3004" s="7" t="str">
        <x:v>West</x:v>
      </x:c>
      <x:c r="F3004" s="7" t="n">
        <x:v>2</x:v>
      </x:c>
      <x:c r="G3004" s="7" t="n">
        <x:v>300</x:v>
      </x:c>
      <x:c r="H3004" s="9" t="n">
        <x:v>0.05</x:v>
      </x:c>
      <x:c r="I3004" s="7" t="n">
        <x:v>570</x:v>
      </x:c>
    </x:row>
    <x:row r="3005" ht="23" customHeight="1">
      <x:c r="A3005" s="2"/>
      <x:c r="B3005" s="2"/>
      <x:c r="C3005" s="2"/>
      <x:c r="D3005" s="2"/>
      <x:c r="E3005" s="2"/>
      <x:c r="F3005" s="2"/>
      <x:c r="G3005" s="2"/>
      <x:c r="H3005" s="2"/>
      <x:c r="I3005" s="2"/>
    </x:row>
  </x:sheetData>
  <x:pageMargins left="0.7" right="0.7" top="0.75" bottom="0.75" header="0.3" footer="0.3"/>
  <x:tableParts count="1">
    <x:tablePart xmlns:r="http://schemas.openxmlformats.org/officeDocument/2006/relationships" r:id="R40f4e10b14604fb7"/>
  </x:tableParts>
</x:worksheet>
</file>

<file path=xl/worksheets/sheet11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Products | distributor 2026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40" customHeight="1">
      <x:c r="A4" s="6" t="str">
        <x:v>SKU</x:v>
      </x:c>
      <x:c r="B4" s="6" t="str">
        <x:v>Product</x:v>
      </x:c>
      <x:c r="C4" s="6" t="str">
        <x:v>BasePriceSAR</x:v>
      </x:c>
      <x:c r="D4" s="6" t="str">
        <x:v>BaseCostSAR</x:v>
      </x:c>
      <x:c r="E4" s="6" t="str">
        <x:v>Elasticity</x:v>
      </x:c>
      <x:c r="F4" s="6" t="str">
        <x:v>SafetyStock</x:v>
      </x:c>
    </x:row>
    <x:row r="5" ht="23" customHeight="1">
      <x:c r="A5" s="34" t="str">
        <x:v>0001</x:v>
      </x:c>
      <x:c r="B5" s="7" t="str">
        <x:v>Industrial component 1</x:v>
      </x:c>
      <x:c r="C5" s="16" t="n">
        <x:v>160</x:v>
      </x:c>
      <x:c r="D5" s="16" t="n">
        <x:v>95</x:v>
      </x:c>
      <x:c r="E5" s="25" t="n">
        <x:v>0.6</x:v>
      </x:c>
      <x:c r="F5" s="16" t="n">
        <x:v>200</x:v>
      </x:c>
    </x:row>
    <x:row r="6" ht="23" customHeight="1">
      <x:c r="A6" s="34" t="str">
        <x:v>0002</x:v>
      </x:c>
      <x:c r="B6" s="7" t="str">
        <x:v>Industrial component 2</x:v>
      </x:c>
      <x:c r="C6" s="16" t="n">
        <x:v>180</x:v>
      </x:c>
      <x:c r="D6" s="16" t="n">
        <x:v>108</x:v>
      </x:c>
      <x:c r="E6" s="25" t="n">
        <x:v>0.6699999999999999</x:v>
      </x:c>
      <x:c r="F6" s="16" t="n">
        <x:v>215</x:v>
      </x:c>
    </x:row>
    <x:row r="7" ht="23" customHeight="1">
      <x:c r="A7" s="34" t="str">
        <x:v>0003</x:v>
      </x:c>
      <x:c r="B7" s="7" t="str">
        <x:v>Industrial component 3</x:v>
      </x:c>
      <x:c r="C7" s="16" t="n">
        <x:v>200</x:v>
      </x:c>
      <x:c r="D7" s="16" t="n">
        <x:v>121</x:v>
      </x:c>
      <x:c r="E7" s="25" t="n">
        <x:v>0.74</x:v>
      </x:c>
      <x:c r="F7" s="16" t="n">
        <x:v>230</x:v>
      </x:c>
    </x:row>
    <x:row r="8" ht="23" customHeight="1">
      <x:c r="A8" s="34" t="str">
        <x:v>0004</x:v>
      </x:c>
      <x:c r="B8" s="7" t="str">
        <x:v>Industrial component 4</x:v>
      </x:c>
      <x:c r="C8" s="16" t="n">
        <x:v>220</x:v>
      </x:c>
      <x:c r="D8" s="16" t="n">
        <x:v>134</x:v>
      </x:c>
      <x:c r="E8" s="25" t="n">
        <x:v>0.81</x:v>
      </x:c>
      <x:c r="F8" s="16" t="n">
        <x:v>245</x:v>
      </x:c>
    </x:row>
    <x:row r="9" ht="23" customHeight="1">
      <x:c r="A9" s="34" t="str">
        <x:v>0005</x:v>
      </x:c>
      <x:c r="B9" s="7" t="str">
        <x:v>Industrial component 5</x:v>
      </x:c>
      <x:c r="C9" s="16" t="n">
        <x:v>240</x:v>
      </x:c>
      <x:c r="D9" s="16" t="n">
        <x:v>147</x:v>
      </x:c>
      <x:c r="E9" s="25" t="n">
        <x:v>0.88</x:v>
      </x:c>
      <x:c r="F9" s="16" t="n">
        <x:v>260</x:v>
      </x:c>
    </x:row>
    <x:row r="10" ht="23" customHeight="1">
      <x:c r="A10" s="34" t="str">
        <x:v>0006</x:v>
      </x:c>
      <x:c r="B10" s="7" t="str">
        <x:v>Industrial component 6</x:v>
      </x:c>
      <x:c r="C10" s="16" t="n">
        <x:v>260</x:v>
      </x:c>
      <x:c r="D10" s="16" t="n">
        <x:v>160</x:v>
      </x:c>
      <x:c r="E10" s="25" t="n">
        <x:v>0.95</x:v>
      </x:c>
      <x:c r="F10" s="16" t="n">
        <x:v>275</x:v>
      </x:c>
    </x:row>
    <x:row r="11" ht="23" customHeight="1">
      <x:c r="A11" s="34" t="str">
        <x:v>0007</x:v>
      </x:c>
      <x:c r="B11" s="7" t="str">
        <x:v>Industrial component 7</x:v>
      </x:c>
      <x:c r="C11" s="16" t="n">
        <x:v>280</x:v>
      </x:c>
      <x:c r="D11" s="16" t="n">
        <x:v>173</x:v>
      </x:c>
      <x:c r="E11" s="25" t="n">
        <x:v>1.02</x:v>
      </x:c>
      <x:c r="F11" s="16" t="n">
        <x:v>290</x:v>
      </x:c>
    </x:row>
    <x:row r="12" ht="23" customHeight="1">
      <x:c r="A12" s="34" t="str">
        <x:v>0008</x:v>
      </x:c>
      <x:c r="B12" s="7" t="str">
        <x:v>Industrial component 8</x:v>
      </x:c>
      <x:c r="C12" s="16" t="n">
        <x:v>300</x:v>
      </x:c>
      <x:c r="D12" s="16" t="n">
        <x:v>186</x:v>
      </x:c>
      <x:c r="E12" s="25" t="n">
        <x:v>1.09</x:v>
      </x:c>
      <x:c r="F12" s="16" t="n">
        <x:v>305</x:v>
      </x:c>
    </x:row>
    <x:row r="13" ht="23" customHeight="1">
      <x:c r="A13" s="2"/>
      <x:c r="B13" s="2"/>
      <x:c r="C13" s="2"/>
      <x:c r="D13" s="2"/>
      <x:c r="E13" s="2"/>
      <x:c r="F13" s="2"/>
    </x:row>
  </x:sheetData>
  <x:pageMargins left="0.7" right="0.7" top="0.75" bottom="0.75" header="0.3" footer="0.3"/>
  <x:tableParts count="1">
    <x:tablePart xmlns:r="http://schemas.openxmlformats.org/officeDocument/2006/relationships" r:id="R4d192a78982e4085"/>
  </x:tableParts>
</x:worksheet>
</file>

<file path=xl/worksheets/sheet12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20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Supply | distributor 2026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40" customHeight="1">
      <x:c r="A4" s="6" t="str">
        <x:v>SKU</x:v>
      </x:c>
      <x:c r="B4" s="6" t="str">
        <x:v>Month</x:v>
      </x:c>
      <x:c r="C4" s="6" t="str">
        <x:v>PlannedReceipts</x:v>
      </x:c>
      <x:c r="D4" s="6" t="str">
        <x:v>Override</x:v>
      </x:c>
    </x:row>
    <x:row r="5" ht="23" customHeight="1">
      <x:c r="A5" s="34" t="str">
        <x:v>0001</x:v>
      </x:c>
      <x:c r="B5" s="14" t="d">
        <x:v>2026-01-01T00:00:00.000Z</x:v>
      </x:c>
      <x:c r="C5" s="16" t="n">
        <x:v>220</x:v>
      </x:c>
      <x:c r="D5" s="16"/>
      <x:c r="F5" t="str">
        <x:v>Blank override uses the plan; zero receives no stock.</x:v>
      </x:c>
    </x:row>
    <x:row r="6" ht="23" customHeight="1">
      <x:c r="A6" s="34" t="str">
        <x:v>0001</x:v>
      </x:c>
      <x:c r="B6" s="14" t="d">
        <x:v>2026-02-01T00:00:00.000Z</x:v>
      </x:c>
      <x:c r="C6" s="16" t="n">
        <x:v>220</x:v>
      </x:c>
      <x:c r="D6" s="16"/>
    </x:row>
    <x:row r="7" ht="23" customHeight="1">
      <x:c r="A7" s="34" t="str">
        <x:v>0001</x:v>
      </x:c>
      <x:c r="B7" s="14" t="d">
        <x:v>2026-03-01T00:00:00.000Z</x:v>
      </x:c>
      <x:c r="C7" s="16" t="n">
        <x:v>220</x:v>
      </x:c>
      <x:c r="D7" s="16"/>
    </x:row>
    <x:row r="8" ht="23" customHeight="1">
      <x:c r="A8" s="34" t="str">
        <x:v>0001</x:v>
      </x:c>
      <x:c r="B8" s="14" t="d">
        <x:v>2026-04-01T00:00:00.000Z</x:v>
      </x:c>
      <x:c r="C8" s="16" t="n">
        <x:v>220</x:v>
      </x:c>
      <x:c r="D8" s="16"/>
    </x:row>
    <x:row r="9" ht="23" customHeight="1">
      <x:c r="A9" s="34" t="str">
        <x:v>0001</x:v>
      </x:c>
      <x:c r="B9" s="14" t="d">
        <x:v>2026-05-01T00:00:00.000Z</x:v>
      </x:c>
      <x:c r="C9" s="16" t="n">
        <x:v>220</x:v>
      </x:c>
      <x:c r="D9" s="16"/>
    </x:row>
    <x:row r="10" ht="23" customHeight="1">
      <x:c r="A10" s="34" t="str">
        <x:v>0001</x:v>
      </x:c>
      <x:c r="B10" s="14" t="d">
        <x:v>2026-06-01T00:00:00.000Z</x:v>
      </x:c>
      <x:c r="C10" s="16" t="n">
        <x:v>220</x:v>
      </x:c>
      <x:c r="D10" s="16"/>
    </x:row>
    <x:row r="11" ht="23" customHeight="1">
      <x:c r="A11" s="34" t="str">
        <x:v>0001</x:v>
      </x:c>
      <x:c r="B11" s="14" t="d">
        <x:v>2026-07-01T00:00:00.000Z</x:v>
      </x:c>
      <x:c r="C11" s="16" t="n">
        <x:v>390</x:v>
      </x:c>
      <x:c r="D11" s="16"/>
    </x:row>
    <x:row r="12" ht="23" customHeight="1">
      <x:c r="A12" s="34" t="str">
        <x:v>0001</x:v>
      </x:c>
      <x:c r="B12" s="14" t="d">
        <x:v>2026-08-01T00:00:00.000Z</x:v>
      </x:c>
      <x:c r="C12" s="16" t="n">
        <x:v>390</x:v>
      </x:c>
      <x:c r="D12" s="16"/>
    </x:row>
    <x:row r="13" ht="23" customHeight="1">
      <x:c r="A13" s="34" t="str">
        <x:v>0001</x:v>
      </x:c>
      <x:c r="B13" s="14" t="d">
        <x:v>2026-09-01T00:00:00.000Z</x:v>
      </x:c>
      <x:c r="C13" s="16" t="n">
        <x:v>390</x:v>
      </x:c>
      <x:c r="D13" s="16"/>
    </x:row>
    <x:row r="14" ht="23" customHeight="1">
      <x:c r="A14" s="34" t="str">
        <x:v>0001</x:v>
      </x:c>
      <x:c r="B14" s="14" t="d">
        <x:v>2026-10-01T00:00:00.000Z</x:v>
      </x:c>
      <x:c r="C14" s="16" t="n">
        <x:v>390</x:v>
      </x:c>
      <x:c r="D14" s="16"/>
    </x:row>
    <x:row r="15" ht="23" customHeight="1">
      <x:c r="A15" s="34" t="str">
        <x:v>0001</x:v>
      </x:c>
      <x:c r="B15" s="14" t="d">
        <x:v>2026-11-01T00:00:00.000Z</x:v>
      </x:c>
      <x:c r="C15" s="16" t="n">
        <x:v>390</x:v>
      </x:c>
      <x:c r="D15" s="16"/>
    </x:row>
    <x:row r="16" ht="23" customHeight="1">
      <x:c r="A16" s="34" t="str">
        <x:v>0001</x:v>
      </x:c>
      <x:c r="B16" s="14" t="d">
        <x:v>2026-12-01T00:00:00.000Z</x:v>
      </x:c>
      <x:c r="C16" s="16" t="n">
        <x:v>390</x:v>
      </x:c>
      <x:c r="D16" s="16"/>
    </x:row>
    <x:row r="17" ht="23" customHeight="1">
      <x:c r="A17" s="34" t="str">
        <x:v>0002</x:v>
      </x:c>
      <x:c r="B17" s="14" t="d">
        <x:v>2026-01-01T00:00:00.000Z</x:v>
      </x:c>
      <x:c r="C17" s="16" t="n">
        <x:v>230</x:v>
      </x:c>
      <x:c r="D17" s="16"/>
    </x:row>
    <x:row r="18" ht="23" customHeight="1">
      <x:c r="A18" s="34" t="str">
        <x:v>0002</x:v>
      </x:c>
      <x:c r="B18" s="14" t="d">
        <x:v>2026-02-01T00:00:00.000Z</x:v>
      </x:c>
      <x:c r="C18" s="16" t="n">
        <x:v>230</x:v>
      </x:c>
      <x:c r="D18" s="16"/>
    </x:row>
    <x:row r="19" ht="23" customHeight="1">
      <x:c r="A19" s="34" t="str">
        <x:v>0002</x:v>
      </x:c>
      <x:c r="B19" s="14" t="d">
        <x:v>2026-03-01T00:00:00.000Z</x:v>
      </x:c>
      <x:c r="C19" s="16" t="n">
        <x:v>230</x:v>
      </x:c>
      <x:c r="D19" s="16"/>
    </x:row>
    <x:row r="20" ht="23" customHeight="1">
      <x:c r="A20" s="34" t="str">
        <x:v>0002</x:v>
      </x:c>
      <x:c r="B20" s="14" t="d">
        <x:v>2026-04-01T00:00:00.000Z</x:v>
      </x:c>
      <x:c r="C20" s="16" t="n">
        <x:v>230</x:v>
      </x:c>
      <x:c r="D20" s="16"/>
    </x:row>
    <x:row r="21" ht="23" customHeight="1">
      <x:c r="A21" s="34" t="str">
        <x:v>0002</x:v>
      </x:c>
      <x:c r="B21" s="14" t="d">
        <x:v>2026-05-01T00:00:00.000Z</x:v>
      </x:c>
      <x:c r="C21" s="16" t="n">
        <x:v>230</x:v>
      </x:c>
      <x:c r="D21" s="16"/>
    </x:row>
    <x:row r="22" ht="23" customHeight="1">
      <x:c r="A22" s="34" t="str">
        <x:v>0002</x:v>
      </x:c>
      <x:c r="B22" s="14" t="d">
        <x:v>2026-06-01T00:00:00.000Z</x:v>
      </x:c>
      <x:c r="C22" s="16" t="n">
        <x:v>230</x:v>
      </x:c>
      <x:c r="D22" s="16"/>
    </x:row>
    <x:row r="23" ht="23" customHeight="1">
      <x:c r="A23" s="34" t="str">
        <x:v>0002</x:v>
      </x:c>
      <x:c r="B23" s="14" t="d">
        <x:v>2026-07-01T00:00:00.000Z</x:v>
      </x:c>
      <x:c r="C23" s="16" t="n">
        <x:v>408</x:v>
      </x:c>
      <x:c r="D23" s="16"/>
    </x:row>
    <x:row r="24" ht="23" customHeight="1">
      <x:c r="A24" s="34" t="str">
        <x:v>0002</x:v>
      </x:c>
      <x:c r="B24" s="14" t="d">
        <x:v>2026-08-01T00:00:00.000Z</x:v>
      </x:c>
      <x:c r="C24" s="16" t="n">
        <x:v>408</x:v>
      </x:c>
      <x:c r="D24" s="16"/>
    </x:row>
    <x:row r="25" ht="23" customHeight="1">
      <x:c r="A25" s="34" t="str">
        <x:v>0002</x:v>
      </x:c>
      <x:c r="B25" s="14" t="d">
        <x:v>2026-09-01T00:00:00.000Z</x:v>
      </x:c>
      <x:c r="C25" s="16" t="n">
        <x:v>408</x:v>
      </x:c>
      <x:c r="D25" s="16"/>
    </x:row>
    <x:row r="26" ht="23" customHeight="1">
      <x:c r="A26" s="34" t="str">
        <x:v>0002</x:v>
      </x:c>
      <x:c r="B26" s="14" t="d">
        <x:v>2026-10-01T00:00:00.000Z</x:v>
      </x:c>
      <x:c r="C26" s="16" t="n">
        <x:v>408</x:v>
      </x:c>
      <x:c r="D26" s="16"/>
    </x:row>
    <x:row r="27" ht="23" customHeight="1">
      <x:c r="A27" s="34" t="str">
        <x:v>0002</x:v>
      </x:c>
      <x:c r="B27" s="14" t="d">
        <x:v>2026-11-01T00:00:00.000Z</x:v>
      </x:c>
      <x:c r="C27" s="16" t="n">
        <x:v>408</x:v>
      </x:c>
      <x:c r="D27" s="16"/>
    </x:row>
    <x:row r="28" ht="23" customHeight="1">
      <x:c r="A28" s="34" t="str">
        <x:v>0002</x:v>
      </x:c>
      <x:c r="B28" s="14" t="d">
        <x:v>2026-12-01T00:00:00.000Z</x:v>
      </x:c>
      <x:c r="C28" s="16" t="n">
        <x:v>408</x:v>
      </x:c>
      <x:c r="D28" s="16"/>
    </x:row>
    <x:row r="29" ht="23" customHeight="1">
      <x:c r="A29" s="34" t="str">
        <x:v>0003</x:v>
      </x:c>
      <x:c r="B29" s="14" t="d">
        <x:v>2026-01-01T00:00:00.000Z</x:v>
      </x:c>
      <x:c r="C29" s="16" t="n">
        <x:v>240</x:v>
      </x:c>
      <x:c r="D29" s="16"/>
    </x:row>
    <x:row r="30" ht="23" customHeight="1">
      <x:c r="A30" s="34" t="str">
        <x:v>0003</x:v>
      </x:c>
      <x:c r="B30" s="14" t="d">
        <x:v>2026-02-01T00:00:00.000Z</x:v>
      </x:c>
      <x:c r="C30" s="16" t="n">
        <x:v>240</x:v>
      </x:c>
      <x:c r="D30" s="16"/>
    </x:row>
    <x:row r="31" ht="23" customHeight="1">
      <x:c r="A31" s="34" t="str">
        <x:v>0003</x:v>
      </x:c>
      <x:c r="B31" s="14" t="d">
        <x:v>2026-03-01T00:00:00.000Z</x:v>
      </x:c>
      <x:c r="C31" s="16" t="n">
        <x:v>240</x:v>
      </x:c>
      <x:c r="D31" s="16"/>
    </x:row>
    <x:row r="32" ht="23" customHeight="1">
      <x:c r="A32" s="34" t="str">
        <x:v>0003</x:v>
      </x:c>
      <x:c r="B32" s="14" t="d">
        <x:v>2026-04-01T00:00:00.000Z</x:v>
      </x:c>
      <x:c r="C32" s="16" t="n">
        <x:v>240</x:v>
      </x:c>
      <x:c r="D32" s="16"/>
    </x:row>
    <x:row r="33" ht="23" customHeight="1">
      <x:c r="A33" s="34" t="str">
        <x:v>0003</x:v>
      </x:c>
      <x:c r="B33" s="14" t="d">
        <x:v>2026-05-01T00:00:00.000Z</x:v>
      </x:c>
      <x:c r="C33" s="16" t="n">
        <x:v>240</x:v>
      </x:c>
      <x:c r="D33" s="16"/>
    </x:row>
    <x:row r="34" ht="23" customHeight="1">
      <x:c r="A34" s="34" t="str">
        <x:v>0003</x:v>
      </x:c>
      <x:c r="B34" s="14" t="d">
        <x:v>2026-06-01T00:00:00.000Z</x:v>
      </x:c>
      <x:c r="C34" s="16" t="n">
        <x:v>240</x:v>
      </x:c>
      <x:c r="D34" s="16"/>
    </x:row>
    <x:row r="35" ht="23" customHeight="1">
      <x:c r="A35" s="34" t="str">
        <x:v>0003</x:v>
      </x:c>
      <x:c r="B35" s="14" t="d">
        <x:v>2026-07-01T00:00:00.000Z</x:v>
      </x:c>
      <x:c r="C35" s="16" t="n">
        <x:v>426</x:v>
      </x:c>
      <x:c r="D35" s="16"/>
    </x:row>
    <x:row r="36" ht="23" customHeight="1">
      <x:c r="A36" s="34" t="str">
        <x:v>0003</x:v>
      </x:c>
      <x:c r="B36" s="14" t="d">
        <x:v>2026-08-01T00:00:00.000Z</x:v>
      </x:c>
      <x:c r="C36" s="16" t="n">
        <x:v>426</x:v>
      </x:c>
      <x:c r="D36" s="16"/>
    </x:row>
    <x:row r="37" ht="23" customHeight="1">
      <x:c r="A37" s="34" t="str">
        <x:v>0003</x:v>
      </x:c>
      <x:c r="B37" s="14" t="d">
        <x:v>2026-09-01T00:00:00.000Z</x:v>
      </x:c>
      <x:c r="C37" s="16" t="n">
        <x:v>426</x:v>
      </x:c>
      <x:c r="D37" s="16"/>
    </x:row>
    <x:row r="38" ht="23" customHeight="1">
      <x:c r="A38" s="34" t="str">
        <x:v>0003</x:v>
      </x:c>
      <x:c r="B38" s="14" t="d">
        <x:v>2026-10-01T00:00:00.000Z</x:v>
      </x:c>
      <x:c r="C38" s="16" t="n">
        <x:v>426</x:v>
      </x:c>
      <x:c r="D38" s="16"/>
    </x:row>
    <x:row r="39" ht="23" customHeight="1">
      <x:c r="A39" s="34" t="str">
        <x:v>0003</x:v>
      </x:c>
      <x:c r="B39" s="14" t="d">
        <x:v>2026-11-01T00:00:00.000Z</x:v>
      </x:c>
      <x:c r="C39" s="16" t="n">
        <x:v>426</x:v>
      </x:c>
      <x:c r="D39" s="16"/>
    </x:row>
    <x:row r="40" ht="23" customHeight="1">
      <x:c r="A40" s="34" t="str">
        <x:v>0003</x:v>
      </x:c>
      <x:c r="B40" s="14" t="d">
        <x:v>2026-12-01T00:00:00.000Z</x:v>
      </x:c>
      <x:c r="C40" s="16" t="n">
        <x:v>426</x:v>
      </x:c>
      <x:c r="D40" s="16"/>
    </x:row>
    <x:row r="41" ht="23" customHeight="1">
      <x:c r="A41" s="34" t="str">
        <x:v>0004</x:v>
      </x:c>
      <x:c r="B41" s="14" t="d">
        <x:v>2026-01-01T00:00:00.000Z</x:v>
      </x:c>
      <x:c r="C41" s="16" t="n">
        <x:v>250</x:v>
      </x:c>
      <x:c r="D41" s="16"/>
    </x:row>
    <x:row r="42" ht="23" customHeight="1">
      <x:c r="A42" s="34" t="str">
        <x:v>0004</x:v>
      </x:c>
      <x:c r="B42" s="14" t="d">
        <x:v>2026-02-01T00:00:00.000Z</x:v>
      </x:c>
      <x:c r="C42" s="16" t="n">
        <x:v>250</x:v>
      </x:c>
      <x:c r="D42" s="16"/>
    </x:row>
    <x:row r="43" ht="23" customHeight="1">
      <x:c r="A43" s="34" t="str">
        <x:v>0004</x:v>
      </x:c>
      <x:c r="B43" s="14" t="d">
        <x:v>2026-03-01T00:00:00.000Z</x:v>
      </x:c>
      <x:c r="C43" s="16" t="n">
        <x:v>250</x:v>
      </x:c>
      <x:c r="D43" s="16"/>
    </x:row>
    <x:row r="44" ht="23" customHeight="1">
      <x:c r="A44" s="34" t="str">
        <x:v>0004</x:v>
      </x:c>
      <x:c r="B44" s="14" t="d">
        <x:v>2026-04-01T00:00:00.000Z</x:v>
      </x:c>
      <x:c r="C44" s="16" t="n">
        <x:v>250</x:v>
      </x:c>
      <x:c r="D44" s="16"/>
    </x:row>
    <x:row r="45" ht="23" customHeight="1">
      <x:c r="A45" s="34" t="str">
        <x:v>0004</x:v>
      </x:c>
      <x:c r="B45" s="14" t="d">
        <x:v>2026-05-01T00:00:00.000Z</x:v>
      </x:c>
      <x:c r="C45" s="16" t="n">
        <x:v>250</x:v>
      </x:c>
      <x:c r="D45" s="16"/>
    </x:row>
    <x:row r="46" ht="23" customHeight="1">
      <x:c r="A46" s="34" t="str">
        <x:v>0004</x:v>
      </x:c>
      <x:c r="B46" s="14" t="d">
        <x:v>2026-06-01T00:00:00.000Z</x:v>
      </x:c>
      <x:c r="C46" s="16" t="n">
        <x:v>250</x:v>
      </x:c>
      <x:c r="D46" s="16"/>
    </x:row>
    <x:row r="47" ht="23" customHeight="1">
      <x:c r="A47" s="34" t="str">
        <x:v>0004</x:v>
      </x:c>
      <x:c r="B47" s="14" t="d">
        <x:v>2026-07-01T00:00:00.000Z</x:v>
      </x:c>
      <x:c r="C47" s="16" t="n">
        <x:v>444</x:v>
      </x:c>
      <x:c r="D47" s="16"/>
    </x:row>
    <x:row r="48" ht="23" customHeight="1">
      <x:c r="A48" s="34" t="str">
        <x:v>0004</x:v>
      </x:c>
      <x:c r="B48" s="14" t="d">
        <x:v>2026-08-01T00:00:00.000Z</x:v>
      </x:c>
      <x:c r="C48" s="16" t="n">
        <x:v>444</x:v>
      </x:c>
      <x:c r="D48" s="16"/>
    </x:row>
    <x:row r="49" ht="23" customHeight="1">
      <x:c r="A49" s="34" t="str">
        <x:v>0004</x:v>
      </x:c>
      <x:c r="B49" s="14" t="d">
        <x:v>2026-09-01T00:00:00.000Z</x:v>
      </x:c>
      <x:c r="C49" s="16" t="n">
        <x:v>444</x:v>
      </x:c>
      <x:c r="D49" s="16"/>
    </x:row>
    <x:row r="50" ht="23" customHeight="1">
      <x:c r="A50" s="34" t="str">
        <x:v>0004</x:v>
      </x:c>
      <x:c r="B50" s="14" t="d">
        <x:v>2026-10-01T00:00:00.000Z</x:v>
      </x:c>
      <x:c r="C50" s="16" t="n">
        <x:v>444</x:v>
      </x:c>
      <x:c r="D50" s="16"/>
    </x:row>
    <x:row r="51" ht="23" customHeight="1">
      <x:c r="A51" s="34" t="str">
        <x:v>0004</x:v>
      </x:c>
      <x:c r="B51" s="14" t="d">
        <x:v>2026-11-01T00:00:00.000Z</x:v>
      </x:c>
      <x:c r="C51" s="16" t="n">
        <x:v>444</x:v>
      </x:c>
      <x:c r="D51" s="16"/>
    </x:row>
    <x:row r="52" ht="23" customHeight="1">
      <x:c r="A52" s="34" t="str">
        <x:v>0004</x:v>
      </x:c>
      <x:c r="B52" s="14" t="d">
        <x:v>2026-12-01T00:00:00.000Z</x:v>
      </x:c>
      <x:c r="C52" s="16" t="n">
        <x:v>444</x:v>
      </x:c>
      <x:c r="D52" s="16"/>
    </x:row>
    <x:row r="53" ht="23" customHeight="1">
      <x:c r="A53" s="34" t="str">
        <x:v>0005</x:v>
      </x:c>
      <x:c r="B53" s="14" t="d">
        <x:v>2026-01-01T00:00:00.000Z</x:v>
      </x:c>
      <x:c r="C53" s="16" t="n">
        <x:v>260</x:v>
      </x:c>
      <x:c r="D53" s="16"/>
    </x:row>
    <x:row r="54" ht="23" customHeight="1">
      <x:c r="A54" s="34" t="str">
        <x:v>0005</x:v>
      </x:c>
      <x:c r="B54" s="14" t="d">
        <x:v>2026-02-01T00:00:00.000Z</x:v>
      </x:c>
      <x:c r="C54" s="16" t="n">
        <x:v>260</x:v>
      </x:c>
      <x:c r="D54" s="16"/>
    </x:row>
    <x:row r="55" ht="23" customHeight="1">
      <x:c r="A55" s="34" t="str">
        <x:v>0005</x:v>
      </x:c>
      <x:c r="B55" s="14" t="d">
        <x:v>2026-03-01T00:00:00.000Z</x:v>
      </x:c>
      <x:c r="C55" s="16" t="n">
        <x:v>260</x:v>
      </x:c>
      <x:c r="D55" s="16"/>
    </x:row>
    <x:row r="56" ht="23" customHeight="1">
      <x:c r="A56" s="34" t="str">
        <x:v>0005</x:v>
      </x:c>
      <x:c r="B56" s="14" t="d">
        <x:v>2026-04-01T00:00:00.000Z</x:v>
      </x:c>
      <x:c r="C56" s="16" t="n">
        <x:v>260</x:v>
      </x:c>
      <x:c r="D56" s="16"/>
    </x:row>
    <x:row r="57" ht="23" customHeight="1">
      <x:c r="A57" s="34" t="str">
        <x:v>0005</x:v>
      </x:c>
      <x:c r="B57" s="14" t="d">
        <x:v>2026-05-01T00:00:00.000Z</x:v>
      </x:c>
      <x:c r="C57" s="16" t="n">
        <x:v>260</x:v>
      </x:c>
      <x:c r="D57" s="16"/>
    </x:row>
    <x:row r="58" ht="23" customHeight="1">
      <x:c r="A58" s="34" t="str">
        <x:v>0005</x:v>
      </x:c>
      <x:c r="B58" s="14" t="d">
        <x:v>2026-06-01T00:00:00.000Z</x:v>
      </x:c>
      <x:c r="C58" s="16" t="n">
        <x:v>260</x:v>
      </x:c>
      <x:c r="D58" s="16"/>
    </x:row>
    <x:row r="59" ht="23" customHeight="1">
      <x:c r="A59" s="34" t="str">
        <x:v>0005</x:v>
      </x:c>
      <x:c r="B59" s="14" t="d">
        <x:v>2026-07-01T00:00:00.000Z</x:v>
      </x:c>
      <x:c r="C59" s="16" t="n">
        <x:v>462</x:v>
      </x:c>
      <x:c r="D59" s="16"/>
    </x:row>
    <x:row r="60" ht="23" customHeight="1">
      <x:c r="A60" s="34" t="str">
        <x:v>0005</x:v>
      </x:c>
      <x:c r="B60" s="14" t="d">
        <x:v>2026-08-01T00:00:00.000Z</x:v>
      </x:c>
      <x:c r="C60" s="16" t="n">
        <x:v>462</x:v>
      </x:c>
      <x:c r="D60" s="16"/>
    </x:row>
    <x:row r="61" ht="23" customHeight="1">
      <x:c r="A61" s="34" t="str">
        <x:v>0005</x:v>
      </x:c>
      <x:c r="B61" s="14" t="d">
        <x:v>2026-09-01T00:00:00.000Z</x:v>
      </x:c>
      <x:c r="C61" s="16" t="n">
        <x:v>462</x:v>
      </x:c>
      <x:c r="D61" s="16"/>
    </x:row>
    <x:row r="62" ht="23" customHeight="1">
      <x:c r="A62" s="34" t="str">
        <x:v>0005</x:v>
      </x:c>
      <x:c r="B62" s="14" t="d">
        <x:v>2026-10-01T00:00:00.000Z</x:v>
      </x:c>
      <x:c r="C62" s="16" t="n">
        <x:v>462</x:v>
      </x:c>
      <x:c r="D62" s="16"/>
    </x:row>
    <x:row r="63" ht="23" customHeight="1">
      <x:c r="A63" s="34" t="str">
        <x:v>0005</x:v>
      </x:c>
      <x:c r="B63" s="14" t="d">
        <x:v>2026-11-01T00:00:00.000Z</x:v>
      </x:c>
      <x:c r="C63" s="16" t="n">
        <x:v>462</x:v>
      </x:c>
      <x:c r="D63" s="16"/>
    </x:row>
    <x:row r="64" ht="23" customHeight="1">
      <x:c r="A64" s="34" t="str">
        <x:v>0005</x:v>
      </x:c>
      <x:c r="B64" s="14" t="d">
        <x:v>2026-12-01T00:00:00.000Z</x:v>
      </x:c>
      <x:c r="C64" s="16" t="n">
        <x:v>462</x:v>
      </x:c>
      <x:c r="D64" s="16"/>
    </x:row>
    <x:row r="65" ht="23" customHeight="1">
      <x:c r="A65" s="34" t="str">
        <x:v>0006</x:v>
      </x:c>
      <x:c r="B65" s="14" t="d">
        <x:v>2026-01-01T00:00:00.000Z</x:v>
      </x:c>
      <x:c r="C65" s="16" t="n">
        <x:v>270</x:v>
      </x:c>
      <x:c r="D65" s="16"/>
    </x:row>
    <x:row r="66" ht="23" customHeight="1">
      <x:c r="A66" s="34" t="str">
        <x:v>0006</x:v>
      </x:c>
      <x:c r="B66" s="14" t="d">
        <x:v>2026-02-01T00:00:00.000Z</x:v>
      </x:c>
      <x:c r="C66" s="16" t="n">
        <x:v>270</x:v>
      </x:c>
      <x:c r="D66" s="16"/>
    </x:row>
    <x:row r="67" ht="23" customHeight="1">
      <x:c r="A67" s="34" t="str">
        <x:v>0006</x:v>
      </x:c>
      <x:c r="B67" s="14" t="d">
        <x:v>2026-03-01T00:00:00.000Z</x:v>
      </x:c>
      <x:c r="C67" s="16" t="n">
        <x:v>270</x:v>
      </x:c>
      <x:c r="D67" s="16"/>
    </x:row>
    <x:row r="68" ht="23" customHeight="1">
      <x:c r="A68" s="34" t="str">
        <x:v>0006</x:v>
      </x:c>
      <x:c r="B68" s="14" t="d">
        <x:v>2026-04-01T00:00:00.000Z</x:v>
      </x:c>
      <x:c r="C68" s="16" t="n">
        <x:v>270</x:v>
      </x:c>
      <x:c r="D68" s="16"/>
    </x:row>
    <x:row r="69" ht="23" customHeight="1">
      <x:c r="A69" s="34" t="str">
        <x:v>0006</x:v>
      </x:c>
      <x:c r="B69" s="14" t="d">
        <x:v>2026-05-01T00:00:00.000Z</x:v>
      </x:c>
      <x:c r="C69" s="16" t="n">
        <x:v>270</x:v>
      </x:c>
      <x:c r="D69" s="16"/>
    </x:row>
    <x:row r="70" ht="23" customHeight="1">
      <x:c r="A70" s="34" t="str">
        <x:v>0006</x:v>
      </x:c>
      <x:c r="B70" s="14" t="d">
        <x:v>2026-06-01T00:00:00.000Z</x:v>
      </x:c>
      <x:c r="C70" s="16" t="n">
        <x:v>270</x:v>
      </x:c>
      <x:c r="D70" s="16"/>
    </x:row>
    <x:row r="71" ht="23" customHeight="1">
      <x:c r="A71" s="34" t="str">
        <x:v>0006</x:v>
      </x:c>
      <x:c r="B71" s="14" t="d">
        <x:v>2026-07-01T00:00:00.000Z</x:v>
      </x:c>
      <x:c r="C71" s="16" t="n">
        <x:v>480</x:v>
      </x:c>
      <x:c r="D71" s="16"/>
    </x:row>
    <x:row r="72" ht="23" customHeight="1">
      <x:c r="A72" s="34" t="str">
        <x:v>0006</x:v>
      </x:c>
      <x:c r="B72" s="14" t="d">
        <x:v>2026-08-01T00:00:00.000Z</x:v>
      </x:c>
      <x:c r="C72" s="16" t="n">
        <x:v>480</x:v>
      </x:c>
      <x:c r="D72" s="16"/>
    </x:row>
    <x:row r="73" ht="23" customHeight="1">
      <x:c r="A73" s="34" t="str">
        <x:v>0006</x:v>
      </x:c>
      <x:c r="B73" s="14" t="d">
        <x:v>2026-09-01T00:00:00.000Z</x:v>
      </x:c>
      <x:c r="C73" s="16" t="n">
        <x:v>480</x:v>
      </x:c>
      <x:c r="D73" s="16"/>
    </x:row>
    <x:row r="74" ht="23" customHeight="1">
      <x:c r="A74" s="34" t="str">
        <x:v>0006</x:v>
      </x:c>
      <x:c r="B74" s="14" t="d">
        <x:v>2026-10-01T00:00:00.000Z</x:v>
      </x:c>
      <x:c r="C74" s="16" t="n">
        <x:v>480</x:v>
      </x:c>
      <x:c r="D74" s="16"/>
    </x:row>
    <x:row r="75" ht="23" customHeight="1">
      <x:c r="A75" s="34" t="str">
        <x:v>0006</x:v>
      </x:c>
      <x:c r="B75" s="14" t="d">
        <x:v>2026-11-01T00:00:00.000Z</x:v>
      </x:c>
      <x:c r="C75" s="16" t="n">
        <x:v>480</x:v>
      </x:c>
      <x:c r="D75" s="16"/>
    </x:row>
    <x:row r="76" ht="23" customHeight="1">
      <x:c r="A76" s="34" t="str">
        <x:v>0006</x:v>
      </x:c>
      <x:c r="B76" s="14" t="d">
        <x:v>2026-12-01T00:00:00.000Z</x:v>
      </x:c>
      <x:c r="C76" s="16" t="n">
        <x:v>480</x:v>
      </x:c>
      <x:c r="D76" s="16"/>
    </x:row>
    <x:row r="77" ht="23" customHeight="1">
      <x:c r="A77" s="34" t="str">
        <x:v>0007</x:v>
      </x:c>
      <x:c r="B77" s="14" t="d">
        <x:v>2026-01-01T00:00:00.000Z</x:v>
      </x:c>
      <x:c r="C77" s="16" t="n">
        <x:v>280</x:v>
      </x:c>
      <x:c r="D77" s="16"/>
    </x:row>
    <x:row r="78" ht="23" customHeight="1">
      <x:c r="A78" s="34" t="str">
        <x:v>0007</x:v>
      </x:c>
      <x:c r="B78" s="14" t="d">
        <x:v>2026-02-01T00:00:00.000Z</x:v>
      </x:c>
      <x:c r="C78" s="16" t="n">
        <x:v>280</x:v>
      </x:c>
      <x:c r="D78" s="16"/>
    </x:row>
    <x:row r="79" ht="23" customHeight="1">
      <x:c r="A79" s="34" t="str">
        <x:v>0007</x:v>
      </x:c>
      <x:c r="B79" s="14" t="d">
        <x:v>2026-03-01T00:00:00.000Z</x:v>
      </x:c>
      <x:c r="C79" s="16" t="n">
        <x:v>280</x:v>
      </x:c>
      <x:c r="D79" s="16"/>
    </x:row>
    <x:row r="80" ht="23" customHeight="1">
      <x:c r="A80" s="34" t="str">
        <x:v>0007</x:v>
      </x:c>
      <x:c r="B80" s="14" t="d">
        <x:v>2026-04-01T00:00:00.000Z</x:v>
      </x:c>
      <x:c r="C80" s="16" t="n">
        <x:v>280</x:v>
      </x:c>
      <x:c r="D80" s="16"/>
    </x:row>
    <x:row r="81" ht="23" customHeight="1">
      <x:c r="A81" s="34" t="str">
        <x:v>0007</x:v>
      </x:c>
      <x:c r="B81" s="14" t="d">
        <x:v>2026-05-01T00:00:00.000Z</x:v>
      </x:c>
      <x:c r="C81" s="16" t="n">
        <x:v>280</x:v>
      </x:c>
      <x:c r="D81" s="16"/>
    </x:row>
    <x:row r="82" ht="23" customHeight="1">
      <x:c r="A82" s="34" t="str">
        <x:v>0007</x:v>
      </x:c>
      <x:c r="B82" s="14" t="d">
        <x:v>2026-06-01T00:00:00.000Z</x:v>
      </x:c>
      <x:c r="C82" s="16" t="n">
        <x:v>280</x:v>
      </x:c>
      <x:c r="D82" s="16"/>
    </x:row>
    <x:row r="83" ht="23" customHeight="1">
      <x:c r="A83" s="34" t="str">
        <x:v>0007</x:v>
      </x:c>
      <x:c r="B83" s="14" t="d">
        <x:v>2026-07-01T00:00:00.000Z</x:v>
      </x:c>
      <x:c r="C83" s="16" t="n">
        <x:v>498</x:v>
      </x:c>
      <x:c r="D83" s="16"/>
    </x:row>
    <x:row r="84" ht="23" customHeight="1">
      <x:c r="A84" s="34" t="str">
        <x:v>0007</x:v>
      </x:c>
      <x:c r="B84" s="14" t="d">
        <x:v>2026-08-01T00:00:00.000Z</x:v>
      </x:c>
      <x:c r="C84" s="16" t="n">
        <x:v>498</x:v>
      </x:c>
      <x:c r="D84" s="16"/>
    </x:row>
    <x:row r="85" ht="23" customHeight="1">
      <x:c r="A85" s="34" t="str">
        <x:v>0007</x:v>
      </x:c>
      <x:c r="B85" s="14" t="d">
        <x:v>2026-09-01T00:00:00.000Z</x:v>
      </x:c>
      <x:c r="C85" s="16" t="n">
        <x:v>498</x:v>
      </x:c>
      <x:c r="D85" s="16" t="n">
        <x:v>0</x:v>
      </x:c>
    </x:row>
    <x:row r="86" ht="23" customHeight="1">
      <x:c r="A86" s="34" t="str">
        <x:v>0007</x:v>
      </x:c>
      <x:c r="B86" s="14" t="d">
        <x:v>2026-10-01T00:00:00.000Z</x:v>
      </x:c>
      <x:c r="C86" s="16" t="n">
        <x:v>498</x:v>
      </x:c>
      <x:c r="D86" s="16"/>
    </x:row>
    <x:row r="87" ht="23" customHeight="1">
      <x:c r="A87" s="34" t="str">
        <x:v>0007</x:v>
      </x:c>
      <x:c r="B87" s="14" t="d">
        <x:v>2026-11-01T00:00:00.000Z</x:v>
      </x:c>
      <x:c r="C87" s="16" t="n">
        <x:v>498</x:v>
      </x:c>
      <x:c r="D87" s="16"/>
    </x:row>
    <x:row r="88" ht="23" customHeight="1">
      <x:c r="A88" s="34" t="str">
        <x:v>0007</x:v>
      </x:c>
      <x:c r="B88" s="14" t="d">
        <x:v>2026-12-01T00:00:00.000Z</x:v>
      </x:c>
      <x:c r="C88" s="16" t="n">
        <x:v>498</x:v>
      </x:c>
      <x:c r="D88" s="16"/>
    </x:row>
    <x:row r="89" ht="23" customHeight="1">
      <x:c r="A89" s="34" t="str">
        <x:v>0008</x:v>
      </x:c>
      <x:c r="B89" s="14" t="d">
        <x:v>2026-01-01T00:00:00.000Z</x:v>
      </x:c>
      <x:c r="C89" s="16" t="n">
        <x:v>290</x:v>
      </x:c>
      <x:c r="D89" s="16"/>
    </x:row>
    <x:row r="90" ht="23" customHeight="1">
      <x:c r="A90" s="34" t="str">
        <x:v>0008</x:v>
      </x:c>
      <x:c r="B90" s="14" t="d">
        <x:v>2026-02-01T00:00:00.000Z</x:v>
      </x:c>
      <x:c r="C90" s="16" t="n">
        <x:v>290</x:v>
      </x:c>
      <x:c r="D90" s="16"/>
    </x:row>
    <x:row r="91" ht="23" customHeight="1">
      <x:c r="A91" s="34" t="str">
        <x:v>0008</x:v>
      </x:c>
      <x:c r="B91" s="14" t="d">
        <x:v>2026-03-01T00:00:00.000Z</x:v>
      </x:c>
      <x:c r="C91" s="16" t="n">
        <x:v>290</x:v>
      </x:c>
      <x:c r="D91" s="16"/>
    </x:row>
    <x:row r="92" ht="23" customHeight="1">
      <x:c r="A92" s="34" t="str">
        <x:v>0008</x:v>
      </x:c>
      <x:c r="B92" s="14" t="d">
        <x:v>2026-04-01T00:00:00.000Z</x:v>
      </x:c>
      <x:c r="C92" s="16" t="n">
        <x:v>290</x:v>
      </x:c>
      <x:c r="D92" s="16"/>
    </x:row>
    <x:row r="93" ht="23" customHeight="1">
      <x:c r="A93" s="34" t="str">
        <x:v>0008</x:v>
      </x:c>
      <x:c r="B93" s="14" t="d">
        <x:v>2026-05-01T00:00:00.000Z</x:v>
      </x:c>
      <x:c r="C93" s="16" t="n">
        <x:v>290</x:v>
      </x:c>
      <x:c r="D93" s="16"/>
    </x:row>
    <x:row r="94" ht="23" customHeight="1">
      <x:c r="A94" s="34" t="str">
        <x:v>0008</x:v>
      </x:c>
      <x:c r="B94" s="14" t="d">
        <x:v>2026-06-01T00:00:00.000Z</x:v>
      </x:c>
      <x:c r="C94" s="16" t="n">
        <x:v>290</x:v>
      </x:c>
      <x:c r="D94" s="16"/>
    </x:row>
    <x:row r="95" ht="23" customHeight="1">
      <x:c r="A95" s="34" t="str">
        <x:v>0008</x:v>
      </x:c>
      <x:c r="B95" s="14" t="d">
        <x:v>2026-07-01T00:00:00.000Z</x:v>
      </x:c>
      <x:c r="C95" s="16" t="n">
        <x:v>516</x:v>
      </x:c>
      <x:c r="D95" s="16"/>
    </x:row>
    <x:row r="96" ht="23" customHeight="1">
      <x:c r="A96" s="34" t="str">
        <x:v>0008</x:v>
      </x:c>
      <x:c r="B96" s="14" t="d">
        <x:v>2026-08-01T00:00:00.000Z</x:v>
      </x:c>
      <x:c r="C96" s="16" t="n">
        <x:v>516</x:v>
      </x:c>
      <x:c r="D96" s="16"/>
    </x:row>
    <x:row r="97" ht="23" customHeight="1">
      <x:c r="A97" s="34" t="str">
        <x:v>0008</x:v>
      </x:c>
      <x:c r="B97" s="14" t="d">
        <x:v>2026-09-01T00:00:00.000Z</x:v>
      </x:c>
      <x:c r="C97" s="16" t="n">
        <x:v>516</x:v>
      </x:c>
      <x:c r="D97" s="16"/>
    </x:row>
    <x:row r="98" ht="23" customHeight="1">
      <x:c r="A98" s="34" t="str">
        <x:v>0008</x:v>
      </x:c>
      <x:c r="B98" s="14" t="d">
        <x:v>2026-10-01T00:00:00.000Z</x:v>
      </x:c>
      <x:c r="C98" s="16" t="n">
        <x:v>516</x:v>
      </x:c>
      <x:c r="D98" s="16"/>
    </x:row>
    <x:row r="99" ht="23" customHeight="1">
      <x:c r="A99" s="34" t="str">
        <x:v>0008</x:v>
      </x:c>
      <x:c r="B99" s="14" t="d">
        <x:v>2026-11-01T00:00:00.000Z</x:v>
      </x:c>
      <x:c r="C99" s="16" t="n">
        <x:v>516</x:v>
      </x:c>
      <x:c r="D99" s="16"/>
    </x:row>
    <x:row r="100" ht="23" customHeight="1">
      <x:c r="A100" s="34" t="str">
        <x:v>0008</x:v>
      </x:c>
      <x:c r="B100" s="14" t="d">
        <x:v>2026-12-01T00:00:00.000Z</x:v>
      </x:c>
      <x:c r="C100" s="16" t="n">
        <x:v>516</x:v>
      </x:c>
      <x:c r="D100" s="16"/>
    </x:row>
    <x:row r="101" ht="23" customHeight="1">
      <x:c r="A101" s="2"/>
      <x:c r="B101" s="2"/>
      <x:c r="C101" s="2"/>
      <x:c r="D101" s="2"/>
    </x:row>
  </x:sheetData>
  <x:dataValidations count="1">
    <x:dataValidation type="whole" operator="between" sqref="C5:D100">
      <x:formula1>0</x:formula1>
      <x:formula2>100000</x:formula2>
    </x:dataValidation>
  </x:dataValidations>
  <x:pageMargins left="0.7" right="0.7" top="0.75" bottom="0.75" header="0.3" footer="0.3"/>
  <x:legacyDrawing xmlns:r="http://schemas.openxmlformats.org/officeDocument/2006/relationships" r:id="R20d46ed844814c57"/>
  <x:tableParts count="1">
    <x:tablePart xmlns:r="http://schemas.openxmlformats.org/officeDocument/2006/relationships" r:id="R5130d4f8127e4035"/>
  </x:tableParts>
</x:worksheet>
</file>

<file path=xl/worksheets/sheet13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6" max="6" width="23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Opening | distributor 2026</x:v>
      </x:c>
      <x:c r="B2" s="2"/>
      <x:c r="C2" s="2"/>
    </x:row>
    <x:row r="3" ht="23" customHeight="1">
      <x:c r="A3" s="2"/>
      <x:c r="B3" s="2"/>
      <x:c r="C3" s="2"/>
    </x:row>
    <x:row r="4" ht="40" customHeight="1">
      <x:c r="A4" s="6" t="str">
        <x:v>SKU</x:v>
      </x:c>
      <x:c r="B4" s="6" t="str">
        <x:v>OpeningUnits</x:v>
      </x:c>
      <x:c r="C4" s="6" t="str">
        <x:v>SafetyStock</x:v>
      </x:c>
      <x:c r="F4" s="6" t="str">
        <x:v>Opening balances</x:v>
      </x:c>
      <x:c r="G4" s="6" t="str">
        <x:v>SAR</x:v>
      </x:c>
    </x:row>
    <x:row r="5" ht="23" customHeight="1">
      <x:c r="A5" s="34" t="str">
        <x:v>0001</x:v>
      </x:c>
      <x:c r="B5" s="16" t="n">
        <x:v>1000</x:v>
      </x:c>
      <x:c r="C5" s="16" t="n">
        <x:v>200</x:v>
      </x:c>
      <x:c r="F5" t="str">
        <x:v>Cash</x:v>
      </x:c>
      <x:c r="G5" s="35" t="n">
        <x:v>200000</x:v>
      </x:c>
    </x:row>
    <x:row r="6" ht="23" customHeight="1">
      <x:c r="A6" s="34" t="str">
        <x:v>0002</x:v>
      </x:c>
      <x:c r="B6" s="16" t="n">
        <x:v>1045</x:v>
      </x:c>
      <x:c r="C6" s="16" t="n">
        <x:v>215</x:v>
      </x:c>
      <x:c r="F6" t="str">
        <x:v>Receivables</x:v>
      </x:c>
      <x:c r="G6" s="35" t="n">
        <x:v>12000</x:v>
      </x:c>
    </x:row>
    <x:row r="7" ht="23" customHeight="1">
      <x:c r="A7" s="34" t="str">
        <x:v>0003</x:v>
      </x:c>
      <x:c r="B7" s="16" t="n">
        <x:v>1090</x:v>
      </x:c>
      <x:c r="C7" s="16" t="n">
        <x:v>230</x:v>
      </x:c>
      <x:c r="F7" t="str">
        <x:v>Payables</x:v>
      </x:c>
      <x:c r="G7" s="35" t="n">
        <x:v>9000</x:v>
      </x:c>
    </x:row>
    <x:row r="8" ht="23" customHeight="1">
      <x:c r="A8" s="34" t="str">
        <x:v>0004</x:v>
      </x:c>
      <x:c r="B8" s="16" t="n">
        <x:v>1135</x:v>
      </x:c>
      <x:c r="C8" s="16" t="n">
        <x:v>245</x:v>
      </x:c>
    </x:row>
    <x:row r="9" ht="23" customHeight="1">
      <x:c r="A9" s="34" t="str">
        <x:v>0005</x:v>
      </x:c>
      <x:c r="B9" s="16" t="n">
        <x:v>1180</x:v>
      </x:c>
      <x:c r="C9" s="16" t="n">
        <x:v>260</x:v>
      </x:c>
    </x:row>
    <x:row r="10" ht="23" customHeight="1">
      <x:c r="A10" s="34" t="str">
        <x:v>0006</x:v>
      </x:c>
      <x:c r="B10" s="16" t="n">
        <x:v>1225</x:v>
      </x:c>
      <x:c r="C10" s="16" t="n">
        <x:v>275</x:v>
      </x:c>
    </x:row>
    <x:row r="11" ht="23" customHeight="1">
      <x:c r="A11" s="34" t="str">
        <x:v>0007</x:v>
      </x:c>
      <x:c r="B11" s="16" t="n">
        <x:v>1270</x:v>
      </x:c>
      <x:c r="C11" s="16" t="n">
        <x:v>290</x:v>
      </x:c>
    </x:row>
    <x:row r="12" ht="23" customHeight="1">
      <x:c r="A12" s="34" t="str">
        <x:v>0008</x:v>
      </x:c>
      <x:c r="B12" s="16" t="n">
        <x:v>1315</x:v>
      </x:c>
      <x:c r="C12" s="16" t="n">
        <x:v>305</x:v>
      </x:c>
    </x:row>
    <x:row r="13" ht="23" customHeight="1">
      <x:c r="A13" s="2"/>
      <x:c r="B13" s="2"/>
      <x:c r="C13" s="2"/>
    </x:row>
  </x:sheetData>
  <x:pageMargins left="0.7" right="0.7" top="0.75" bottom="0.75" header="0.3" footer="0.3"/>
  <x:legacyDrawing xmlns:r="http://schemas.openxmlformats.org/officeDocument/2006/relationships" r:id="R63e4582075bd4ec1"/>
  <x:tableParts count="1">
    <x:tablePart xmlns:r="http://schemas.openxmlformats.org/officeDocument/2006/relationships" r:id="R9be8ebea342b4c9d"/>
  </x:tableParts>
</x:worksheet>
</file>

<file path=xl/worksheets/sheet14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Audit | distributor 2026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40" customHeight="1">
      <x:c r="A4" s="6" t="str">
        <x:v>Month</x:v>
      </x:c>
      <x:c r="B4" s="6" t="str">
        <x:v>ActualRevenueReconciliation</x:v>
      </x:c>
      <x:c r="C4" s="6" t="str">
        <x:v>FulfillmentReconciliation</x:v>
      </x:c>
      <x:c r="D4" s="6" t="str">
        <x:v>RebateRollup</x:v>
      </x:c>
      <x:c r="E4" s="6" t="str">
        <x:v>COGSReconciliation</x:v>
      </x:c>
      <x:c r="F4" s="6" t="str">
        <x:v>StockBalance</x:v>
      </x:c>
      <x:c r="G4" s="6" t="str">
        <x:v>CashRollforward</x:v>
      </x:c>
    </x:row>
    <x:row r="5" ht="23" customHeight="1">
      <x:c r="A5" s="14" t="d">
        <x:v>2026-01-01T00:00:00.000Z</x:v>
      </x:c>
      <x:c r="B5" s="33" t="n">
        <x:f>SUMIFS('Orders'!$I$5:$I$3004,'Orders'!$C$5:$C$3004,A5)-SUMIFS('Sales'!$I$5:$I$388,'Sales'!$C$5:$C$388,A5)</x:f>
        <x:v>1.7462298274040222e-10</x:v>
      </x:c>
      <x:c r="C5" s="33" t="n">
        <x:f>SUMIFS('Sales'!$G$5:$G$388,'Sales'!$C$5:$C$388,A5)-SUMIFS('Inventory'!$G$5:$G$100,'Inventory'!$B$5:$B$100,A5)</x:f>
        <x:v>0</x:v>
      </x:c>
      <x:c r="D5" s="33" t="n">
        <x:f>SUMIFS('RegionView'!$D$5:$D$52,'RegionView'!$B$5:$B$52,A5)-SUMIFS('Rebates'!$D$5:$D$52,'Rebates'!$B$5:$B$52,A5)</x:f>
        <x:v>0</x:v>
      </x:c>
      <x:c r="E5" s="33" t="n">
        <x:f>SUMIFS('Sales'!$K$5:$K$388,'Sales'!$C$5:$C$388,A5)-SUMIFS('Inventory'!$M$5:$M$100,'Inventory'!$B$5:$B$100,A5)</x:f>
        <x:v>0</x:v>
      </x:c>
      <x:c r="F5" s="33" t="n">
        <x:f>SUMIFS('Inventory'!$C$5:$C$100,'Inventory'!$B$5:$B$100,A5)+SUMIFS('Inventory'!$D$5:$D$100,'Inventory'!$B$5:$B$100,A5)-SUMIFS('Inventory'!$G$5:$G$100,'Inventory'!$B$5:$B$100,A5)-SUMIFS('Inventory'!$I$5:$I$100,'Inventory'!$B$5:$B$100,A5)</x:f>
        <x:v>0</x:v>
      </x:c>
      <x:c r="G5" s="33" t="n">
        <x:f>'Cashflow'!G5-'Cashflow'!B5-'Cashflow'!F5</x:f>
        <x:v>0</x:v>
      </x:c>
    </x:row>
    <x:row r="6" ht="23" customHeight="1">
      <x:c r="A6" s="14" t="d">
        <x:v>2026-02-01T00:00:00.000Z</x:v>
      </x:c>
      <x:c r="B6" s="33" t="n">
        <x:f>SUMIFS('Orders'!$I$5:$I$3004,'Orders'!$C$5:$C$3004,A6)-SUMIFS('Sales'!$I$5:$I$388,'Sales'!$C$5:$C$388,A6)</x:f>
        <x:v>-2.3283064365386963e-10</x:v>
      </x:c>
      <x:c r="C6" s="33" t="n">
        <x:f>SUMIFS('Sales'!$G$5:$G$388,'Sales'!$C$5:$C$388,A6)-SUMIFS('Inventory'!$G$5:$G$100,'Inventory'!$B$5:$B$100,A6)</x:f>
        <x:v>0</x:v>
      </x:c>
      <x:c r="D6" s="33" t="n">
        <x:f>SUMIFS('RegionView'!$D$5:$D$52,'RegionView'!$B$5:$B$52,A6)-SUMIFS('Rebates'!$D$5:$D$52,'Rebates'!$B$5:$B$52,A6)</x:f>
        <x:v>0</x:v>
      </x:c>
      <x:c r="E6" s="33" t="n">
        <x:f>SUMIFS('Sales'!$K$5:$K$388,'Sales'!$C$5:$C$388,A6)-SUMIFS('Inventory'!$M$5:$M$100,'Inventory'!$B$5:$B$100,A6)</x:f>
        <x:v>0</x:v>
      </x:c>
      <x:c r="F6" s="33" t="n">
        <x:f>SUMIFS('Inventory'!$C$5:$C$100,'Inventory'!$B$5:$B$100,A6)+SUMIFS('Inventory'!$D$5:$D$100,'Inventory'!$B$5:$B$100,A6)-SUMIFS('Inventory'!$G$5:$G$100,'Inventory'!$B$5:$B$100,A6)-SUMIFS('Inventory'!$I$5:$I$100,'Inventory'!$B$5:$B$100,A6)</x:f>
        <x:v>0</x:v>
      </x:c>
      <x:c r="G6" s="33" t="n">
        <x:f>'Cashflow'!G6-'Cashflow'!B6-'Cashflow'!F6</x:f>
        <x:v>5.820766091346741e-11</x:v>
      </x:c>
    </x:row>
    <x:row r="7" ht="23" customHeight="1">
      <x:c r="A7" s="14" t="d">
        <x:v>2026-03-01T00:00:00.000Z</x:v>
      </x:c>
      <x:c r="B7" s="33" t="n">
        <x:f>SUMIFS('Orders'!$I$5:$I$3004,'Orders'!$C$5:$C$3004,A7)-SUMIFS('Sales'!$I$5:$I$388,'Sales'!$C$5:$C$388,A7)</x:f>
        <x:v>0</x:v>
      </x:c>
      <x:c r="C7" s="33" t="n">
        <x:f>SUMIFS('Sales'!$G$5:$G$388,'Sales'!$C$5:$C$388,A7)-SUMIFS('Inventory'!$G$5:$G$100,'Inventory'!$B$5:$B$100,A7)</x:f>
        <x:v>0</x:v>
      </x:c>
      <x:c r="D7" s="33" t="n">
        <x:f>SUMIFS('RegionView'!$D$5:$D$52,'RegionView'!$B$5:$B$52,A7)-SUMIFS('Rebates'!$D$5:$D$52,'Rebates'!$B$5:$B$52,A7)</x:f>
        <x:v>0</x:v>
      </x:c>
      <x:c r="E7" s="33" t="n">
        <x:f>SUMIFS('Sales'!$K$5:$K$388,'Sales'!$C$5:$C$388,A7)-SUMIFS('Inventory'!$M$5:$M$100,'Inventory'!$B$5:$B$100,A7)</x:f>
        <x:v>0</x:v>
      </x:c>
      <x:c r="F7" s="33" t="n">
        <x:f>SUMIFS('Inventory'!$C$5:$C$100,'Inventory'!$B$5:$B$100,A7)+SUMIFS('Inventory'!$D$5:$D$100,'Inventory'!$B$5:$B$100,A7)-SUMIFS('Inventory'!$G$5:$G$100,'Inventory'!$B$5:$B$100,A7)-SUMIFS('Inventory'!$I$5:$I$100,'Inventory'!$B$5:$B$100,A7)</x:f>
        <x:v>0</x:v>
      </x:c>
      <x:c r="G7" s="33" t="n">
        <x:f>'Cashflow'!G7-'Cashflow'!B7-'Cashflow'!F7</x:f>
        <x:v>0</x:v>
      </x:c>
    </x:row>
    <x:row r="8" ht="23" customHeight="1">
      <x:c r="A8" s="14" t="d">
        <x:v>2026-04-01T00:00:00.000Z</x:v>
      </x:c>
      <x:c r="B8" s="33" t="n">
        <x:f>SUMIFS('Orders'!$I$5:$I$3004,'Orders'!$C$5:$C$3004,A8)-SUMIFS('Sales'!$I$5:$I$388,'Sales'!$C$5:$C$388,A8)</x:f>
        <x:v>1.7462298274040222e-10</x:v>
      </x:c>
      <x:c r="C8" s="33" t="n">
        <x:f>SUMIFS('Sales'!$G$5:$G$388,'Sales'!$C$5:$C$388,A8)-SUMIFS('Inventory'!$G$5:$G$100,'Inventory'!$B$5:$B$100,A8)</x:f>
        <x:v>0</x:v>
      </x:c>
      <x:c r="D8" s="33" t="n">
        <x:f>SUMIFS('RegionView'!$D$5:$D$52,'RegionView'!$B$5:$B$52,A8)-SUMIFS('Rebates'!$D$5:$D$52,'Rebates'!$B$5:$B$52,A8)</x:f>
        <x:v>0</x:v>
      </x:c>
      <x:c r="E8" s="33" t="n">
        <x:f>SUMIFS('Sales'!$K$5:$K$388,'Sales'!$C$5:$C$388,A8)-SUMIFS('Inventory'!$M$5:$M$100,'Inventory'!$B$5:$B$100,A8)</x:f>
        <x:v>0</x:v>
      </x:c>
      <x:c r="F8" s="33" t="n">
        <x:f>SUMIFS('Inventory'!$C$5:$C$100,'Inventory'!$B$5:$B$100,A8)+SUMIFS('Inventory'!$D$5:$D$100,'Inventory'!$B$5:$B$100,A8)-SUMIFS('Inventory'!$G$5:$G$100,'Inventory'!$B$5:$B$100,A8)-SUMIFS('Inventory'!$I$5:$I$100,'Inventory'!$B$5:$B$100,A8)</x:f>
        <x:v>0</x:v>
      </x:c>
      <x:c r="G8" s="33" t="n">
        <x:f>'Cashflow'!G8-'Cashflow'!B8-'Cashflow'!F8</x:f>
        <x:v>2.9103830456733704e-11</x:v>
      </x:c>
    </x:row>
    <x:row r="9" ht="23" customHeight="1">
      <x:c r="A9" s="14" t="d">
        <x:v>2026-05-01T00:00:00.000Z</x:v>
      </x:c>
      <x:c r="B9" s="33" t="n">
        <x:f>SUMIFS('Orders'!$I$5:$I$3004,'Orders'!$C$5:$C$3004,A9)-SUMIFS('Sales'!$I$5:$I$388,'Sales'!$C$5:$C$388,A9)</x:f>
        <x:v>-1.7462298274040222e-10</x:v>
      </x:c>
      <x:c r="C9" s="33" t="n">
        <x:f>SUMIFS('Sales'!$G$5:$G$388,'Sales'!$C$5:$C$388,A9)-SUMIFS('Inventory'!$G$5:$G$100,'Inventory'!$B$5:$B$100,A9)</x:f>
        <x:v>0</x:v>
      </x:c>
      <x:c r="D9" s="33" t="n">
        <x:f>SUMIFS('RegionView'!$D$5:$D$52,'RegionView'!$B$5:$B$52,A9)-SUMIFS('Rebates'!$D$5:$D$52,'Rebates'!$B$5:$B$52,A9)</x:f>
        <x:v>0</x:v>
      </x:c>
      <x:c r="E9" s="33" t="n">
        <x:f>SUMIFS('Sales'!$K$5:$K$388,'Sales'!$C$5:$C$388,A9)-SUMIFS('Inventory'!$M$5:$M$100,'Inventory'!$B$5:$B$100,A9)</x:f>
        <x:v>0</x:v>
      </x:c>
      <x:c r="F9" s="33" t="n">
        <x:f>SUMIFS('Inventory'!$C$5:$C$100,'Inventory'!$B$5:$B$100,A9)+SUMIFS('Inventory'!$D$5:$D$100,'Inventory'!$B$5:$B$100,A9)-SUMIFS('Inventory'!$G$5:$G$100,'Inventory'!$B$5:$B$100,A9)-SUMIFS('Inventory'!$I$5:$I$100,'Inventory'!$B$5:$B$100,A9)</x:f>
        <x:v>0</x:v>
      </x:c>
      <x:c r="G9" s="33" t="n">
        <x:f>'Cashflow'!G9-'Cashflow'!B9-'Cashflow'!F9</x:f>
        <x:v>0</x:v>
      </x:c>
    </x:row>
    <x:row r="10" ht="23" customHeight="1">
      <x:c r="A10" s="14" t="d">
        <x:v>2026-06-01T00:00:00.000Z</x:v>
      </x:c>
      <x:c r="B10" s="33" t="n">
        <x:f>SUMIFS('Orders'!$I$5:$I$3004,'Orders'!$C$5:$C$3004,A10)-SUMIFS('Sales'!$I$5:$I$388,'Sales'!$C$5:$C$388,A10)</x:f>
        <x:v>-2.3283064365386963e-10</x:v>
      </x:c>
      <x:c r="C10" s="33" t="n">
        <x:f>SUMIFS('Sales'!$G$5:$G$388,'Sales'!$C$5:$C$388,A10)-SUMIFS('Inventory'!$G$5:$G$100,'Inventory'!$B$5:$B$100,A10)</x:f>
        <x:v>0</x:v>
      </x:c>
      <x:c r="D10" s="33" t="n">
        <x:f>SUMIFS('RegionView'!$D$5:$D$52,'RegionView'!$B$5:$B$52,A10)-SUMIFS('Rebates'!$D$5:$D$52,'Rebates'!$B$5:$B$52,A10)</x:f>
        <x:v>0</x:v>
      </x:c>
      <x:c r="E10" s="33" t="n">
        <x:f>SUMIFS('Sales'!$K$5:$K$388,'Sales'!$C$5:$C$388,A10)-SUMIFS('Inventory'!$M$5:$M$100,'Inventory'!$B$5:$B$100,A10)</x:f>
        <x:v>0</x:v>
      </x:c>
      <x:c r="F10" s="33" t="n">
        <x:f>SUMIFS('Inventory'!$C$5:$C$100,'Inventory'!$B$5:$B$100,A10)+SUMIFS('Inventory'!$D$5:$D$100,'Inventory'!$B$5:$B$100,A10)-SUMIFS('Inventory'!$G$5:$G$100,'Inventory'!$B$5:$B$100,A10)-SUMIFS('Inventory'!$I$5:$I$100,'Inventory'!$B$5:$B$100,A10)</x:f>
        <x:v>0</x:v>
      </x:c>
      <x:c r="G10" s="33" t="n">
        <x:f>'Cashflow'!G10-'Cashflow'!B10-'Cashflow'!F10</x:f>
        <x:v>4.3655745685100555e-11</x:v>
      </x:c>
    </x:row>
    <x:row r="11" ht="23" customHeight="1">
      <x:c r="A11" s="14" t="d">
        <x:v>2026-07-01T00:00:00.000Z</x:v>
      </x:c>
      <x:c r="B11" s="33" t="str">
        <x:f>"n.a."</x:f>
        <x:v>n.a.</x:v>
      </x:c>
      <x:c r="C11" s="33" t="n">
        <x:f>SUMIFS('Sales'!$G$5:$G$388,'Sales'!$C$5:$C$388,A11)-SUMIFS('Inventory'!$G$5:$G$100,'Inventory'!$B$5:$B$100,A11)</x:f>
        <x:v>0</x:v>
      </x:c>
      <x:c r="D11" s="33" t="n">
        <x:f>SUMIFS('RegionView'!$D$5:$D$52,'RegionView'!$B$5:$B$52,A11)-SUMIFS('Rebates'!$D$5:$D$52,'Rebates'!$B$5:$B$52,A11)</x:f>
        <x:v>0</x:v>
      </x:c>
      <x:c r="E11" s="33" t="n">
        <x:f>SUMIFS('Sales'!$K$5:$K$388,'Sales'!$C$5:$C$388,A11)-SUMIFS('Inventory'!$M$5:$M$100,'Inventory'!$B$5:$B$100,A11)</x:f>
        <x:v>0</x:v>
      </x:c>
      <x:c r="F11" s="33" t="n">
        <x:f>SUMIFS('Inventory'!$C$5:$C$100,'Inventory'!$B$5:$B$100,A11)+SUMIFS('Inventory'!$D$5:$D$100,'Inventory'!$B$5:$B$100,A11)-SUMIFS('Inventory'!$G$5:$G$100,'Inventory'!$B$5:$B$100,A11)-SUMIFS('Inventory'!$I$5:$I$100,'Inventory'!$B$5:$B$100,A11)</x:f>
        <x:v>0</x:v>
      </x:c>
      <x:c r="G11" s="33" t="n">
        <x:f>'Cashflow'!G11-'Cashflow'!B11-'Cashflow'!F11</x:f>
        <x:v>0</x:v>
      </x:c>
    </x:row>
    <x:row r="12" ht="23" customHeight="1">
      <x:c r="A12" s="14" t="d">
        <x:v>2026-08-01T00:00:00.000Z</x:v>
      </x:c>
      <x:c r="B12" s="33" t="str">
        <x:f>"n.a."</x:f>
        <x:v>n.a.</x:v>
      </x:c>
      <x:c r="C12" s="33" t="n">
        <x:f>SUMIFS('Sales'!$G$5:$G$388,'Sales'!$C$5:$C$388,A12)-SUMIFS('Inventory'!$G$5:$G$100,'Inventory'!$B$5:$B$100,A12)</x:f>
        <x:v>0</x:v>
      </x:c>
      <x:c r="D12" s="33" t="n">
        <x:f>SUMIFS('RegionView'!$D$5:$D$52,'RegionView'!$B$5:$B$52,A12)-SUMIFS('Rebates'!$D$5:$D$52,'Rebates'!$B$5:$B$52,A12)</x:f>
        <x:v>0</x:v>
      </x:c>
      <x:c r="E12" s="33" t="n">
        <x:f>SUMIFS('Sales'!$K$5:$K$388,'Sales'!$C$5:$C$388,A12)-SUMIFS('Inventory'!$M$5:$M$100,'Inventory'!$B$5:$B$100,A12)</x:f>
        <x:v>-1.1641532182693481e-10</x:v>
      </x:c>
      <x:c r="F12" s="33" t="n">
        <x:f>SUMIFS('Inventory'!$C$5:$C$100,'Inventory'!$B$5:$B$100,A12)+SUMIFS('Inventory'!$D$5:$D$100,'Inventory'!$B$5:$B$100,A12)-SUMIFS('Inventory'!$G$5:$G$100,'Inventory'!$B$5:$B$100,A12)-SUMIFS('Inventory'!$I$5:$I$100,'Inventory'!$B$5:$B$100,A12)</x:f>
        <x:v>0</x:v>
      </x:c>
      <x:c r="G12" s="33" t="n">
        <x:f>'Cashflow'!G12-'Cashflow'!B12-'Cashflow'!F12</x:f>
        <x:v>0</x:v>
      </x:c>
    </x:row>
    <x:row r="13" ht="23" customHeight="1">
      <x:c r="A13" s="14" t="d">
        <x:v>2026-09-01T00:00:00.000Z</x:v>
      </x:c>
      <x:c r="B13" s="33" t="str">
        <x:f>"n.a."</x:f>
        <x:v>n.a.</x:v>
      </x:c>
      <x:c r="C13" s="33" t="n">
        <x:f>SUMIFS('Sales'!$G$5:$G$388,'Sales'!$C$5:$C$388,A13)-SUMIFS('Inventory'!$G$5:$G$100,'Inventory'!$B$5:$B$100,A13)</x:f>
        <x:v>0</x:v>
      </x:c>
      <x:c r="D13" s="33" t="n">
        <x:f>SUMIFS('RegionView'!$D$5:$D$52,'RegionView'!$B$5:$B$52,A13)-SUMIFS('Rebates'!$D$5:$D$52,'Rebates'!$B$5:$B$52,A13)</x:f>
        <x:v>0</x:v>
      </x:c>
      <x:c r="E13" s="33" t="n">
        <x:f>SUMIFS('Sales'!$K$5:$K$388,'Sales'!$C$5:$C$388,A13)-SUMIFS('Inventory'!$M$5:$M$100,'Inventory'!$B$5:$B$100,A13)</x:f>
        <x:v>1.1641532182693481e-10</x:v>
      </x:c>
      <x:c r="F13" s="33" t="n">
        <x:f>SUMIFS('Inventory'!$C$5:$C$100,'Inventory'!$B$5:$B$100,A13)+SUMIFS('Inventory'!$D$5:$D$100,'Inventory'!$B$5:$B$100,A13)-SUMIFS('Inventory'!$G$5:$G$100,'Inventory'!$B$5:$B$100,A13)-SUMIFS('Inventory'!$I$5:$I$100,'Inventory'!$B$5:$B$100,A13)</x:f>
        <x:v>0</x:v>
      </x:c>
      <x:c r="G13" s="33" t="n">
        <x:f>'Cashflow'!G13-'Cashflow'!B13-'Cashflow'!F13</x:f>
        <x:v>-2.3283064365386963e-10</x:v>
      </x:c>
    </x:row>
    <x:row r="14" ht="23" customHeight="1">
      <x:c r="A14" s="14" t="d">
        <x:v>2026-10-01T00:00:00.000Z</x:v>
      </x:c>
      <x:c r="B14" s="33" t="str">
        <x:f>"n.a."</x:f>
        <x:v>n.a.</x:v>
      </x:c>
      <x:c r="C14" s="33" t="n">
        <x:f>SUMIFS('Sales'!$G$5:$G$388,'Sales'!$C$5:$C$388,A14)-SUMIFS('Inventory'!$G$5:$G$100,'Inventory'!$B$5:$B$100,A14)</x:f>
        <x:v>0</x:v>
      </x:c>
      <x:c r="D14" s="33" t="n">
        <x:f>SUMIFS('RegionView'!$D$5:$D$52,'RegionView'!$B$5:$B$52,A14)-SUMIFS('Rebates'!$D$5:$D$52,'Rebates'!$B$5:$B$52,A14)</x:f>
        <x:v>0</x:v>
      </x:c>
      <x:c r="E14" s="33" t="n">
        <x:f>SUMIFS('Sales'!$K$5:$K$388,'Sales'!$C$5:$C$388,A14)-SUMIFS('Inventory'!$M$5:$M$100,'Inventory'!$B$5:$B$100,A14)</x:f>
        <x:v>1.1641532182693481e-10</x:v>
      </x:c>
      <x:c r="F14" s="33" t="n">
        <x:f>SUMIFS('Inventory'!$C$5:$C$100,'Inventory'!$B$5:$B$100,A14)+SUMIFS('Inventory'!$D$5:$D$100,'Inventory'!$B$5:$B$100,A14)-SUMIFS('Inventory'!$G$5:$G$100,'Inventory'!$B$5:$B$100,A14)-SUMIFS('Inventory'!$I$5:$I$100,'Inventory'!$B$5:$B$100,A14)</x:f>
        <x:v>0</x:v>
      </x:c>
      <x:c r="G14" s="33" t="n">
        <x:f>'Cashflow'!G14-'Cashflow'!B14-'Cashflow'!F14</x:f>
        <x:v>-3.4924596548080444e-10</x:v>
      </x:c>
    </x:row>
    <x:row r="15" ht="23" customHeight="1">
      <x:c r="A15" s="14" t="d">
        <x:v>2026-11-01T00:00:00.000Z</x:v>
      </x:c>
      <x:c r="B15" s="33" t="str">
        <x:f>"n.a."</x:f>
        <x:v>n.a.</x:v>
      </x:c>
      <x:c r="C15" s="33" t="n">
        <x:f>SUMIFS('Sales'!$G$5:$G$388,'Sales'!$C$5:$C$388,A15)-SUMIFS('Inventory'!$G$5:$G$100,'Inventory'!$B$5:$B$100,A15)</x:f>
        <x:v>0</x:v>
      </x:c>
      <x:c r="D15" s="33" t="n">
        <x:f>SUMIFS('RegionView'!$D$5:$D$52,'RegionView'!$B$5:$B$52,A15)-SUMIFS('Rebates'!$D$5:$D$52,'Rebates'!$B$5:$B$52,A15)</x:f>
        <x:v>0</x:v>
      </x:c>
      <x:c r="E15" s="33" t="n">
        <x:f>SUMIFS('Sales'!$K$5:$K$388,'Sales'!$C$5:$C$388,A15)-SUMIFS('Inventory'!$M$5:$M$100,'Inventory'!$B$5:$B$100,A15)</x:f>
        <x:v>0</x:v>
      </x:c>
      <x:c r="F15" s="33" t="n">
        <x:f>SUMIFS('Inventory'!$C$5:$C$100,'Inventory'!$B$5:$B$100,A15)+SUMIFS('Inventory'!$D$5:$D$100,'Inventory'!$B$5:$B$100,A15)-SUMIFS('Inventory'!$G$5:$G$100,'Inventory'!$B$5:$B$100,A15)-SUMIFS('Inventory'!$I$5:$I$100,'Inventory'!$B$5:$B$100,A15)</x:f>
        <x:v>0</x:v>
      </x:c>
      <x:c r="G15" s="33" t="n">
        <x:f>'Cashflow'!G15-'Cashflow'!B15-'Cashflow'!F15</x:f>
        <x:v>-3.4924596548080444e-10</x:v>
      </x:c>
    </x:row>
    <x:row r="16" ht="23" customHeight="1">
      <x:c r="A16" s="14" t="d">
        <x:v>2026-12-01T00:00:00.000Z</x:v>
      </x:c>
      <x:c r="B16" s="33" t="str">
        <x:f>"n.a."</x:f>
        <x:v>n.a.</x:v>
      </x:c>
      <x:c r="C16" s="33" t="n">
        <x:f>SUMIFS('Sales'!$G$5:$G$388,'Sales'!$C$5:$C$388,A16)-SUMIFS('Inventory'!$G$5:$G$100,'Inventory'!$B$5:$B$100,A16)</x:f>
        <x:v>-4.547473508864641e-13</x:v>
      </x:c>
      <x:c r="D16" s="33" t="n">
        <x:f>SUMIFS('RegionView'!$D$5:$D$52,'RegionView'!$B$5:$B$52,A16)-SUMIFS('Rebates'!$D$5:$D$52,'Rebates'!$B$5:$B$52,A16)</x:f>
        <x:v>0</x:v>
      </x:c>
      <x:c r="E16" s="33" t="n">
        <x:f>SUMIFS('Sales'!$K$5:$K$388,'Sales'!$C$5:$C$388,A16)-SUMIFS('Inventory'!$M$5:$M$100,'Inventory'!$B$5:$B$100,A16)</x:f>
        <x:v>0</x:v>
      </x:c>
      <x:c r="F16" s="33" t="n">
        <x:f>SUMIFS('Inventory'!$C$5:$C$100,'Inventory'!$B$5:$B$100,A16)+SUMIFS('Inventory'!$D$5:$D$100,'Inventory'!$B$5:$B$100,A16)-SUMIFS('Inventory'!$G$5:$G$100,'Inventory'!$B$5:$B$100,A16)-SUMIFS('Inventory'!$I$5:$I$100,'Inventory'!$B$5:$B$100,A16)</x:f>
        <x:v>0</x:v>
      </x:c>
      <x:c r="G16" s="33" t="n">
        <x:f>'Cashflow'!G16-'Cashflow'!B16-'Cashflow'!F16</x:f>
        <x:v>-3.4924596548080444e-10</x:v>
      </x:c>
    </x:row>
    <x:row r="17" ht="23" customHeight="1">
      <x:c r="A17" s="2"/>
      <x:c r="B17" s="2"/>
      <x:c r="C17" s="2"/>
      <x:c r="D17" s="2"/>
      <x:c r="E17" s="2"/>
      <x:c r="F17" s="2"/>
      <x:c r="G17" s="2"/>
    </x:row>
    <x:row r="19">
      <x:c r="A19" t="str">
        <x:v>Immutable review marker: DISTRIBUTOR-2026-071</x:v>
      </x:c>
    </x:row>
  </x:sheetData>
  <x:conditionalFormatting sqref="B5:G16">
    <x:cfRule type="expression" dxfId="2" priority="1">
      <x:formula>AND(ISNUMBER(B5),ABS(B5)&gt;0.00001)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4d7af35f14453f"/>
  </x:tableParts>
</x:worksheet>
</file>